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cat/Documents/"/>
    </mc:Choice>
  </mc:AlternateContent>
  <xr:revisionPtr revIDLastSave="1198" documentId="14_{317A47F0-4A41-DB47-B9CF-73FE2DB229B8}" xr6:coauthVersionLast="47" xr6:coauthVersionMax="47" xr10:uidLastSave="{4FBEEA95-8A14-6B42-A27D-0F1CAE096886}"/>
  <bookViews>
    <workbookView xWindow="0" yWindow="0" windowWidth="28800" windowHeight="18000" xr2:uid="{96433334-429B-2749-99EA-10E36A1E2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4" i="1" l="1"/>
  <c r="J134" i="1"/>
  <c r="L134" i="1"/>
  <c r="F135" i="1"/>
  <c r="F136" i="1"/>
  <c r="F137" i="1"/>
  <c r="F138" i="1"/>
  <c r="F139" i="1"/>
  <c r="F140" i="1"/>
  <c r="F141" i="1"/>
  <c r="F142" i="1"/>
  <c r="F143" i="1"/>
  <c r="F134" i="1"/>
  <c r="I134" i="1"/>
  <c r="H134" i="1"/>
  <c r="L143" i="1"/>
  <c r="J143" i="1"/>
  <c r="L142" i="1"/>
  <c r="J142" i="1"/>
  <c r="L141" i="1"/>
  <c r="J141" i="1"/>
  <c r="L140" i="1"/>
  <c r="J140" i="1"/>
  <c r="L139" i="1"/>
  <c r="J139" i="1"/>
  <c r="L138" i="1"/>
  <c r="J138" i="1"/>
  <c r="L137" i="1"/>
  <c r="J137" i="1"/>
  <c r="L136" i="1"/>
  <c r="J136" i="1"/>
  <c r="L135" i="1"/>
  <c r="J135" i="1"/>
  <c r="AJ82" i="1"/>
  <c r="AJ84" i="1"/>
  <c r="I110" i="1"/>
  <c r="L110" i="1" s="1"/>
  <c r="I109" i="1"/>
  <c r="L109" i="1" s="1"/>
  <c r="I108" i="1"/>
  <c r="L108" i="1" s="1"/>
  <c r="I107" i="1"/>
  <c r="L107" i="1" s="1"/>
  <c r="I106" i="1"/>
  <c r="L106" i="1" s="1"/>
  <c r="I105" i="1"/>
  <c r="L105" i="1" s="1"/>
  <c r="I104" i="1"/>
  <c r="L104" i="1" s="1"/>
  <c r="E105" i="1"/>
  <c r="E108" i="1"/>
  <c r="E109" i="1"/>
  <c r="E110" i="1"/>
  <c r="B105" i="1"/>
  <c r="B106" i="1"/>
  <c r="E106" i="1" s="1"/>
  <c r="B107" i="1"/>
  <c r="E107" i="1" s="1"/>
  <c r="B108" i="1"/>
  <c r="B109" i="1"/>
  <c r="B110" i="1"/>
  <c r="B104" i="1"/>
  <c r="E104" i="1" s="1"/>
  <c r="AJ83" i="1"/>
  <c r="AB19" i="1"/>
  <c r="AB18" i="1"/>
  <c r="AB23" i="1"/>
  <c r="AA27" i="1"/>
  <c r="AD23" i="1"/>
  <c r="AB55" i="1"/>
  <c r="AB56" i="1"/>
  <c r="AB57" i="1"/>
  <c r="AB58" i="1"/>
  <c r="AB59" i="1"/>
  <c r="AB60" i="1"/>
  <c r="AB61" i="1"/>
  <c r="AB62" i="1"/>
  <c r="AB63" i="1"/>
  <c r="AB54" i="1"/>
  <c r="V54" i="1"/>
  <c r="X54" i="1"/>
  <c r="K134" i="1" l="1"/>
  <c r="M134" i="1"/>
  <c r="N134" i="1" s="1"/>
  <c r="F54" i="1"/>
  <c r="F55" i="1"/>
  <c r="F56" i="1"/>
  <c r="S134" i="1" l="1"/>
  <c r="O134" i="1" s="1"/>
  <c r="P134" i="1" s="1"/>
  <c r="R134" i="1"/>
  <c r="AA21" i="1"/>
  <c r="R25" i="1"/>
  <c r="R26" i="1"/>
  <c r="R27" i="1"/>
  <c r="R28" i="1"/>
  <c r="R29" i="1"/>
  <c r="R30" i="1"/>
  <c r="R31" i="1"/>
  <c r="R32" i="1"/>
  <c r="R33" i="1"/>
  <c r="R34" i="1"/>
  <c r="R24" i="1"/>
  <c r="C25" i="1"/>
  <c r="C26" i="1"/>
  <c r="C27" i="1"/>
  <c r="C28" i="1"/>
  <c r="C29" i="1"/>
  <c r="C30" i="1"/>
  <c r="C31" i="1"/>
  <c r="C32" i="1"/>
  <c r="C33" i="1"/>
  <c r="C34" i="1"/>
  <c r="C24" i="1"/>
  <c r="Y12" i="1"/>
  <c r="X18" i="1"/>
  <c r="Q134" i="1" l="1"/>
  <c r="V25" i="1"/>
  <c r="V31" i="1"/>
  <c r="V29" i="1"/>
  <c r="V34" i="1"/>
  <c r="V33" i="1"/>
  <c r="C70" i="1"/>
  <c r="V42" i="1"/>
  <c r="O42" i="1"/>
  <c r="J42" i="1"/>
  <c r="J70" i="1"/>
  <c r="P42" i="1"/>
  <c r="I42" i="1"/>
  <c r="D70" i="1"/>
  <c r="D42" i="1"/>
  <c r="O70" i="1"/>
  <c r="U42" i="1"/>
  <c r="U70" i="1"/>
  <c r="V70" i="1"/>
  <c r="C42" i="1"/>
  <c r="I70" i="1"/>
  <c r="P70" i="1"/>
  <c r="V28" i="1"/>
  <c r="V24" i="1"/>
  <c r="V27" i="1"/>
  <c r="V26" i="1"/>
  <c r="V32" i="1"/>
  <c r="V30" i="1"/>
  <c r="D24" i="1" l="1"/>
  <c r="L63" i="1" l="1"/>
  <c r="L62" i="1"/>
  <c r="L61" i="1"/>
  <c r="L60" i="1"/>
  <c r="L59" i="1"/>
  <c r="L58" i="1"/>
  <c r="L57" i="1"/>
  <c r="L56" i="1"/>
  <c r="L55" i="1"/>
  <c r="L54" i="1"/>
  <c r="R63" i="1"/>
  <c r="R62" i="1"/>
  <c r="R61" i="1"/>
  <c r="R60" i="1"/>
  <c r="R59" i="1"/>
  <c r="R58" i="1"/>
  <c r="R57" i="1"/>
  <c r="R56" i="1"/>
  <c r="R55" i="1"/>
  <c r="R54" i="1"/>
  <c r="X55" i="1"/>
  <c r="X56" i="1"/>
  <c r="X57" i="1"/>
  <c r="X58" i="1"/>
  <c r="X59" i="1"/>
  <c r="X60" i="1"/>
  <c r="X61" i="1"/>
  <c r="X62" i="1"/>
  <c r="X63" i="1"/>
  <c r="F57" i="1"/>
  <c r="F58" i="1"/>
  <c r="F59" i="1"/>
  <c r="F60" i="1"/>
  <c r="F61" i="1"/>
  <c r="F62" i="1"/>
  <c r="F63" i="1"/>
  <c r="U97" i="1"/>
  <c r="R97" i="1"/>
  <c r="O97" i="1"/>
  <c r="L97" i="1"/>
  <c r="I97" i="1"/>
  <c r="F97" i="1"/>
  <c r="C97" i="1"/>
  <c r="U86" i="1"/>
  <c r="R86" i="1"/>
  <c r="O86" i="1"/>
  <c r="L86" i="1"/>
  <c r="I86" i="1"/>
  <c r="F86" i="1"/>
  <c r="C86" i="1"/>
  <c r="V63" i="1"/>
  <c r="V62" i="1"/>
  <c r="V61" i="1"/>
  <c r="V60" i="1"/>
  <c r="V59" i="1"/>
  <c r="V58" i="1"/>
  <c r="V57" i="1"/>
  <c r="V56" i="1"/>
  <c r="V55" i="1"/>
  <c r="P63" i="1"/>
  <c r="P62" i="1"/>
  <c r="P61" i="1"/>
  <c r="P60" i="1"/>
  <c r="P59" i="1"/>
  <c r="P58" i="1"/>
  <c r="P57" i="1"/>
  <c r="P56" i="1"/>
  <c r="P55" i="1"/>
  <c r="P54" i="1"/>
  <c r="J63" i="1"/>
  <c r="J62" i="1"/>
  <c r="J61" i="1"/>
  <c r="J60" i="1"/>
  <c r="J59" i="1"/>
  <c r="J58" i="1"/>
  <c r="J57" i="1"/>
  <c r="J56" i="1"/>
  <c r="J55" i="1"/>
  <c r="J54" i="1"/>
  <c r="D63" i="1"/>
  <c r="D62" i="1"/>
  <c r="D61" i="1"/>
  <c r="D60" i="1"/>
  <c r="D59" i="1"/>
  <c r="D58" i="1"/>
  <c r="D57" i="1"/>
  <c r="D56" i="1"/>
  <c r="D55" i="1"/>
  <c r="D54" i="1"/>
  <c r="S24" i="1"/>
  <c r="S34" i="1"/>
  <c r="S33" i="1"/>
  <c r="S32" i="1"/>
  <c r="S31" i="1"/>
  <c r="S30" i="1"/>
  <c r="S29" i="1"/>
  <c r="S28" i="1"/>
  <c r="S27" i="1"/>
  <c r="S26" i="1"/>
  <c r="S25" i="1"/>
  <c r="N34" i="1"/>
  <c r="N33" i="1"/>
  <c r="N32" i="1"/>
  <c r="N31" i="1"/>
  <c r="N30" i="1"/>
  <c r="N29" i="1"/>
  <c r="N28" i="1"/>
  <c r="N27" i="1"/>
  <c r="N26" i="1"/>
  <c r="N25" i="1"/>
  <c r="N24" i="1"/>
  <c r="I34" i="1"/>
  <c r="I33" i="1"/>
  <c r="I32" i="1"/>
  <c r="I31" i="1"/>
  <c r="I30" i="1"/>
  <c r="I29" i="1"/>
  <c r="I28" i="1"/>
  <c r="I27" i="1"/>
  <c r="I26" i="1"/>
  <c r="I25" i="1"/>
  <c r="I24" i="1"/>
  <c r="D25" i="1"/>
  <c r="D26" i="1"/>
  <c r="D27" i="1"/>
  <c r="D28" i="1"/>
  <c r="D29" i="1"/>
  <c r="D30" i="1"/>
  <c r="D31" i="1"/>
  <c r="D32" i="1"/>
  <c r="D33" i="1"/>
  <c r="D34" i="1"/>
  <c r="I5" i="1"/>
  <c r="I6" i="1"/>
  <c r="I7" i="1"/>
  <c r="I8" i="1"/>
  <c r="I9" i="1"/>
  <c r="I10" i="1"/>
  <c r="I11" i="1"/>
  <c r="I12" i="1"/>
  <c r="J12" i="1"/>
  <c r="J5" i="1"/>
  <c r="J6" i="1"/>
  <c r="J7" i="1"/>
  <c r="J8" i="1"/>
  <c r="J9" i="1"/>
  <c r="J10" i="1"/>
  <c r="J11" i="1"/>
  <c r="J4" i="1"/>
  <c r="I4" i="1"/>
</calcChain>
</file>

<file path=xl/sharedStrings.xml><?xml version="1.0" encoding="utf-8"?>
<sst xmlns="http://schemas.openxmlformats.org/spreadsheetml/2006/main" count="383" uniqueCount="85">
  <si>
    <t>Solenoide inductor</t>
  </si>
  <si>
    <t>L = 75 cm</t>
  </si>
  <si>
    <t>Valors eficaços</t>
  </si>
  <si>
    <t>Vo</t>
  </si>
  <si>
    <t>Io</t>
  </si>
  <si>
    <t>V_ef</t>
  </si>
  <si>
    <t>I_ef</t>
  </si>
  <si>
    <t>el que mesuram…</t>
  </si>
  <si>
    <t>I = 120 mA</t>
  </si>
  <si>
    <t>FIXAM:</t>
  </si>
  <si>
    <t>Diàmetre (m)</t>
  </si>
  <si>
    <t>N</t>
  </si>
  <si>
    <t>f = 1450 Hz</t>
  </si>
  <si>
    <t>V_in (v)</t>
  </si>
  <si>
    <t>f = 1400 Hz</t>
  </si>
  <si>
    <t>I_ef = 120 mA</t>
  </si>
  <si>
    <t>f = 700 Hz</t>
  </si>
  <si>
    <t>I_ef = 60 mA</t>
  </si>
  <si>
    <t>Incerteses</t>
  </si>
  <si>
    <t>Intensitat</t>
  </si>
  <si>
    <t>Voltatge</t>
  </si>
  <si>
    <t>Distància</t>
  </si>
  <si>
    <t>Freqüència</t>
  </si>
  <si>
    <t>±</t>
  </si>
  <si>
    <t>V_ef (mv)</t>
  </si>
  <si>
    <t>EFECTIU</t>
  </si>
  <si>
    <t>I_ef (mA)</t>
  </si>
  <si>
    <t>Vo (mv)</t>
  </si>
  <si>
    <t>Io (mA)</t>
  </si>
  <si>
    <t>Frequència (±1Hz)</t>
  </si>
  <si>
    <t>±0,1 mA</t>
  </si>
  <si>
    <t>±0,01 mV</t>
  </si>
  <si>
    <t>0,5 mV</t>
  </si>
  <si>
    <t>±1 Hz</t>
  </si>
  <si>
    <t>diametre no</t>
  </si>
  <si>
    <t>L (m)</t>
  </si>
  <si>
    <t>INCERTESA MAJOR EN AQUESTA MESURA</t>
  </si>
  <si>
    <t>R^2</t>
  </si>
  <si>
    <t>A</t>
  </si>
  <si>
    <t>B</t>
  </si>
  <si>
    <t>y = Bx + A</t>
  </si>
  <si>
    <t>dA</t>
  </si>
  <si>
    <t>dB</t>
  </si>
  <si>
    <t>mu_0</t>
  </si>
  <si>
    <t>n</t>
  </si>
  <si>
    <t>S</t>
  </si>
  <si>
    <t>RADI GRAN</t>
  </si>
  <si>
    <t>diàmetre gran</t>
  </si>
  <si>
    <t>m</t>
  </si>
  <si>
    <t>PENDENT</t>
  </si>
  <si>
    <t>S PETITA</t>
  </si>
  <si>
    <t>w (rad/s)</t>
  </si>
  <si>
    <t>Vout teoric</t>
  </si>
  <si>
    <t>Ief</t>
  </si>
  <si>
    <t>INCERTESA</t>
  </si>
  <si>
    <t>INCERTESA S</t>
  </si>
  <si>
    <t>INCERTESA IO</t>
  </si>
  <si>
    <t>no incertesa de radi…</t>
  </si>
  <si>
    <t>incertesa w</t>
  </si>
  <si>
    <t>w 2n apartat</t>
  </si>
  <si>
    <t>d = 26 mm</t>
  </si>
  <si>
    <t>d = 41 mm</t>
  </si>
  <si>
    <t>N = 300</t>
  </si>
  <si>
    <t>N*S</t>
  </si>
  <si>
    <t>d</t>
  </si>
  <si>
    <t>mA</t>
  </si>
  <si>
    <t>mT</t>
  </si>
  <si>
    <t>Sin pesos</t>
  </si>
  <si>
    <t>x</t>
  </si>
  <si>
    <t>y</t>
  </si>
  <si>
    <t>Incertidumbre de x</t>
  </si>
  <si>
    <t>Incertidumbre de y</t>
  </si>
  <si>
    <t>Sn</t>
  </si>
  <si>
    <t>Sx</t>
  </si>
  <si>
    <t>Sy</t>
  </si>
  <si>
    <t>xy</t>
  </si>
  <si>
    <t>Sxy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</si>
  <si>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</si>
  <si>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Sx</t>
    </r>
    <r>
      <rPr>
        <vertAlign val="superscript"/>
        <sz val="11"/>
        <color theme="1"/>
        <rFont val="Calibri"/>
        <family val="2"/>
        <scheme val="minor"/>
      </rPr>
      <t>2</t>
    </r>
  </si>
  <si>
    <t>Δ</t>
  </si>
  <si>
    <r>
      <t>σ</t>
    </r>
    <r>
      <rPr>
        <vertAlign val="subscript"/>
        <sz val="11"/>
        <rFont val="Calibri"/>
        <family val="2"/>
      </rPr>
      <t>y (equivalente)</t>
    </r>
  </si>
  <si>
    <r>
      <t>σ</t>
    </r>
    <r>
      <rPr>
        <vertAlign val="subscript"/>
        <sz val="11"/>
        <rFont val="Calibri"/>
        <family val="2"/>
      </rPr>
      <t>A</t>
    </r>
  </si>
  <si>
    <r>
      <t>σ</t>
    </r>
    <r>
      <rPr>
        <vertAlign val="subscript"/>
        <sz val="11"/>
        <rFont val="Calibri"/>
        <family val="2"/>
      </rPr>
      <t>B</t>
    </r>
  </si>
  <si>
    <t>incertesa NS</t>
  </si>
  <si>
    <t>TAMBÉ ES PODRIA COMPARAR AMB RESULTAT TEÒRIC PERÒ JA TENC PROU FEINA…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</si>
</sst>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</font>
    <font>
      <vertAlign val="subscript"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" xfId="0" applyBorder="1"/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0" i="0" baseline="0">
                <a:effectLst/>
              </a:rPr>
              <a:t>Vo Vs. S. Cas N = 300, f = 700 Hz, Ief = 60 mA</a:t>
            </a:r>
            <a:endParaRPr lang="en-E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0"/>
            <c:backward val="10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7.0700000000000016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Sheet1!$C$134:$C$143</c:f>
              <c:numCache>
                <c:formatCode>General</c:formatCode>
                <c:ptCount val="10"/>
                <c:pt idx="0">
                  <c:v>0.15927874753700252</c:v>
                </c:pt>
                <c:pt idx="1">
                  <c:v>0.31855749507400505</c:v>
                </c:pt>
                <c:pt idx="2">
                  <c:v>0.6371149901480101</c:v>
                </c:pt>
                <c:pt idx="3">
                  <c:v>1.0263583199277855</c:v>
                </c:pt>
                <c:pt idx="4">
                  <c:v>0.52810172506844422</c:v>
                </c:pt>
                <c:pt idx="5">
                  <c:v>1.0562034501368884</c:v>
                </c:pt>
                <c:pt idx="6">
                  <c:v>1.5843051752053328</c:v>
                </c:pt>
              </c:numCache>
            </c:numRef>
          </c:xVal>
          <c:yVal>
            <c:numRef>
              <c:f>Sheet1!$D$134:$D$143</c:f>
              <c:numCache>
                <c:formatCode>General</c:formatCode>
                <c:ptCount val="10"/>
                <c:pt idx="0">
                  <c:v>9.1782460198013887</c:v>
                </c:pt>
                <c:pt idx="1">
                  <c:v>18.059507191504423</c:v>
                </c:pt>
                <c:pt idx="2">
                  <c:v>34.747227227506947</c:v>
                </c:pt>
                <c:pt idx="3">
                  <c:v>56.70996385116112</c:v>
                </c:pt>
                <c:pt idx="4">
                  <c:v>28.963093757400991</c:v>
                </c:pt>
                <c:pt idx="5">
                  <c:v>58.647436431612256</c:v>
                </c:pt>
                <c:pt idx="6">
                  <c:v>91.216774773064643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66-FC46-B0E7-0ECF9A286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656608"/>
        <c:axId val="788711072"/>
      </c:scatterChart>
      <c:valAx>
        <c:axId val="683656608"/>
        <c:scaling>
          <c:orientation val="minMax"/>
          <c:max val="7.0000000000000019E-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</a:t>
                </a:r>
                <a:r>
                  <a:rPr lang="en-GB" baseline="0"/>
                  <a:t> (m^2)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788711072"/>
        <c:crosses val="autoZero"/>
        <c:crossBetween val="midCat"/>
      </c:valAx>
      <c:valAx>
        <c:axId val="788711072"/>
        <c:scaling>
          <c:orientation val="minMax"/>
          <c:max val="4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 (</a:t>
                </a:r>
                <a:r>
                  <a:rPr lang="en-GB" sz="1000" b="0" i="0" u="none" strike="noStrike" baseline="0">
                    <a:effectLst/>
                  </a:rPr>
                  <a:t>± 0,014 mV)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8365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8466</xdr:colOff>
      <xdr:row>146</xdr:row>
      <xdr:rowOff>118533</xdr:rowOff>
    </xdr:from>
    <xdr:to>
      <xdr:col>9</xdr:col>
      <xdr:colOff>313266</xdr:colOff>
      <xdr:row>160</xdr:row>
      <xdr:rowOff>16933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1007002-C51C-CACB-80BA-C802F0480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96B1-7DFC-3F49-9550-B00CEAF69A11}">
  <dimension ref="A1:AN162"/>
  <sheetViews>
    <sheetView tabSelected="1" topLeftCell="C99" zoomScale="86" workbookViewId="0">
      <selection activeCell="L153" sqref="L153"/>
    </sheetView>
  </sheetViews>
  <sheetFormatPr baseColWidth="10" defaultRowHeight="16" x14ac:dyDescent="0.2"/>
  <cols>
    <col min="3" max="3" width="15.6640625" customWidth="1"/>
    <col min="4" max="4" width="12.6640625" customWidth="1"/>
    <col min="5" max="5" width="15.33203125" customWidth="1"/>
    <col min="6" max="6" width="15.83203125" customWidth="1"/>
    <col min="8" max="8" width="16" customWidth="1"/>
    <col min="9" max="9" width="13.33203125" customWidth="1"/>
    <col min="10" max="10" width="13.33203125" bestFit="1" customWidth="1"/>
    <col min="12" max="12" width="12.1640625" customWidth="1"/>
    <col min="13" max="13" width="15.5" customWidth="1"/>
    <col min="15" max="15" width="13.1640625" customWidth="1"/>
    <col min="16" max="16" width="13.33203125" bestFit="1" customWidth="1"/>
    <col min="17" max="17" width="13.6640625" customWidth="1"/>
    <col min="18" max="18" width="15" customWidth="1"/>
    <col min="21" max="21" width="13" customWidth="1"/>
    <col min="22" max="22" width="12.83203125" customWidth="1"/>
    <col min="24" max="24" width="12.1640625" bestFit="1" customWidth="1"/>
    <col min="27" max="27" width="12.1640625" bestFit="1" customWidth="1"/>
    <col min="28" max="28" width="13.33203125" bestFit="1" customWidth="1"/>
  </cols>
  <sheetData>
    <row r="1" spans="2:26" x14ac:dyDescent="0.2">
      <c r="F1" t="s">
        <v>2</v>
      </c>
    </row>
    <row r="2" spans="2:26" x14ac:dyDescent="0.2">
      <c r="F2" t="s">
        <v>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</row>
    <row r="3" spans="2:26" x14ac:dyDescent="0.2">
      <c r="B3" t="s">
        <v>0</v>
      </c>
      <c r="F3" s="2" t="s">
        <v>5</v>
      </c>
      <c r="G3" s="2" t="s">
        <v>6</v>
      </c>
      <c r="I3" s="2" t="s">
        <v>3</v>
      </c>
      <c r="J3" s="2" t="s">
        <v>4</v>
      </c>
      <c r="M3" s="1"/>
      <c r="N3" s="1" t="s">
        <v>30</v>
      </c>
      <c r="O3" s="1" t="s">
        <v>31</v>
      </c>
      <c r="P3" s="1" t="s">
        <v>23</v>
      </c>
      <c r="Q3" s="1" t="s">
        <v>33</v>
      </c>
    </row>
    <row r="4" spans="2:26" x14ac:dyDescent="0.2">
      <c r="B4" t="s">
        <v>1</v>
      </c>
      <c r="F4" s="2"/>
      <c r="G4" s="2"/>
      <c r="I4" s="2">
        <f>F4*SQRT(2)</f>
        <v>0</v>
      </c>
      <c r="J4" s="2">
        <f>G4*SQRT(2)</f>
        <v>0</v>
      </c>
      <c r="P4" t="s">
        <v>34</v>
      </c>
    </row>
    <row r="5" spans="2:26" x14ac:dyDescent="0.2">
      <c r="F5" s="2"/>
      <c r="G5" s="2"/>
      <c r="I5" s="2">
        <f t="shared" ref="I5:I12" si="0">F5*SQRT(2)</f>
        <v>0</v>
      </c>
      <c r="J5" s="2">
        <f t="shared" ref="J5:J11" si="1">G5*SQRT(2)</f>
        <v>0</v>
      </c>
    </row>
    <row r="6" spans="2:26" x14ac:dyDescent="0.2">
      <c r="F6" s="2"/>
      <c r="G6" s="2"/>
      <c r="I6" s="2">
        <f t="shared" si="0"/>
        <v>0</v>
      </c>
      <c r="J6" s="2">
        <f t="shared" si="1"/>
        <v>0</v>
      </c>
    </row>
    <row r="7" spans="2:26" x14ac:dyDescent="0.2">
      <c r="F7" s="2"/>
      <c r="G7" s="2"/>
      <c r="I7" s="2">
        <f t="shared" si="0"/>
        <v>0</v>
      </c>
      <c r="J7" s="2">
        <f t="shared" si="1"/>
        <v>0</v>
      </c>
    </row>
    <row r="8" spans="2:26" x14ac:dyDescent="0.2">
      <c r="F8" s="2"/>
      <c r="G8" s="2"/>
      <c r="I8" s="2">
        <f t="shared" si="0"/>
        <v>0</v>
      </c>
      <c r="J8" s="2">
        <f t="shared" si="1"/>
        <v>0</v>
      </c>
    </row>
    <row r="9" spans="2:26" x14ac:dyDescent="0.2">
      <c r="F9" s="2"/>
      <c r="G9" s="2"/>
      <c r="I9" s="2">
        <f t="shared" si="0"/>
        <v>0</v>
      </c>
      <c r="J9" s="2">
        <f t="shared" si="1"/>
        <v>0</v>
      </c>
      <c r="T9" s="1" t="s">
        <v>11</v>
      </c>
      <c r="U9" s="1">
        <v>300</v>
      </c>
    </row>
    <row r="10" spans="2:26" x14ac:dyDescent="0.2">
      <c r="F10" s="2"/>
      <c r="G10" s="2"/>
      <c r="I10" s="2">
        <f t="shared" si="0"/>
        <v>0</v>
      </c>
      <c r="J10" s="2">
        <f t="shared" si="1"/>
        <v>0</v>
      </c>
      <c r="T10" s="1" t="s">
        <v>10</v>
      </c>
      <c r="U10" s="1">
        <v>3.3000000000000002E-2</v>
      </c>
    </row>
    <row r="11" spans="2:26" x14ac:dyDescent="0.2">
      <c r="F11" s="2"/>
      <c r="G11" s="2"/>
      <c r="I11" s="2">
        <f t="shared" si="0"/>
        <v>0</v>
      </c>
      <c r="J11" s="2">
        <f t="shared" si="1"/>
        <v>0</v>
      </c>
      <c r="T11" s="6" t="s">
        <v>35</v>
      </c>
      <c r="U11" s="6">
        <v>0.16300000000000001</v>
      </c>
      <c r="X11" t="s">
        <v>47</v>
      </c>
      <c r="Y11">
        <v>7.4999999999999997E-2</v>
      </c>
      <c r="Z11" t="s">
        <v>48</v>
      </c>
    </row>
    <row r="12" spans="2:26" x14ac:dyDescent="0.2">
      <c r="F12" s="2"/>
      <c r="G12" s="2"/>
      <c r="I12" s="2">
        <f t="shared" si="0"/>
        <v>0</v>
      </c>
      <c r="J12" s="2">
        <f>G12*SQRT(2)</f>
        <v>0</v>
      </c>
      <c r="X12" t="s">
        <v>46</v>
      </c>
      <c r="Y12">
        <f>Y11/2</f>
        <v>3.7499999999999999E-2</v>
      </c>
      <c r="Z12" t="s">
        <v>48</v>
      </c>
    </row>
    <row r="15" spans="2:26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26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3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X17" t="s">
        <v>43</v>
      </c>
      <c r="Y17" t="s">
        <v>44</v>
      </c>
      <c r="Z17" t="s">
        <v>11</v>
      </c>
      <c r="AA17" t="s">
        <v>53</v>
      </c>
      <c r="AB17" t="s">
        <v>50</v>
      </c>
      <c r="AD17" t="s">
        <v>55</v>
      </c>
    </row>
    <row r="18" spans="2:31" x14ac:dyDescent="0.2">
      <c r="B18" s="1"/>
      <c r="C18" s="3" t="s">
        <v>9</v>
      </c>
      <c r="D18" s="3" t="s">
        <v>8</v>
      </c>
      <c r="E18" s="1" t="s">
        <v>25</v>
      </c>
      <c r="F18" s="1"/>
      <c r="G18" s="1"/>
      <c r="H18" s="3" t="s">
        <v>9</v>
      </c>
      <c r="I18" s="3" t="s">
        <v>8</v>
      </c>
      <c r="J18" s="1"/>
      <c r="K18" s="1"/>
      <c r="L18" s="1"/>
      <c r="M18" s="3" t="s">
        <v>9</v>
      </c>
      <c r="N18" s="3" t="s">
        <v>8</v>
      </c>
      <c r="O18" s="1"/>
      <c r="P18" s="1"/>
      <c r="R18" s="3" t="s">
        <v>9</v>
      </c>
      <c r="S18" s="3" t="s">
        <v>8</v>
      </c>
      <c r="X18">
        <f xml:space="preserve"> 4 * PI() *10^-7</f>
        <v>1.2566370614359173E-6</v>
      </c>
      <c r="Y18">
        <v>485</v>
      </c>
      <c r="Z18">
        <v>300</v>
      </c>
      <c r="AA18">
        <v>0.12</v>
      </c>
      <c r="AB18">
        <f>PI()*(S21/2)^2</f>
        <v>8.5529859993982123E-4</v>
      </c>
      <c r="AC18">
        <v>33</v>
      </c>
      <c r="AD18">
        <v>0</v>
      </c>
      <c r="AE18" t="s">
        <v>57</v>
      </c>
    </row>
    <row r="19" spans="2:3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Z19">
        <v>150</v>
      </c>
      <c r="AB19">
        <f>PI()*(N21/2)^2</f>
        <v>5.3092915845667505E-4</v>
      </c>
      <c r="AC19">
        <v>26</v>
      </c>
      <c r="AD19">
        <v>0</v>
      </c>
    </row>
    <row r="20" spans="2:31" x14ac:dyDescent="0.2">
      <c r="B20" s="1"/>
      <c r="C20" s="1" t="s">
        <v>11</v>
      </c>
      <c r="D20" s="1">
        <v>75</v>
      </c>
      <c r="E20" s="1"/>
      <c r="F20" s="1"/>
      <c r="G20" s="1"/>
      <c r="H20" s="1" t="s">
        <v>11</v>
      </c>
      <c r="I20" s="1">
        <v>150</v>
      </c>
      <c r="J20" s="1"/>
      <c r="K20" s="1"/>
      <c r="L20" s="1"/>
      <c r="M20" s="1" t="s">
        <v>11</v>
      </c>
      <c r="N20" s="1">
        <v>300</v>
      </c>
      <c r="O20" s="1"/>
      <c r="P20" s="1"/>
      <c r="Q20" s="1"/>
      <c r="R20" s="1" t="s">
        <v>11</v>
      </c>
      <c r="S20" s="1">
        <v>300</v>
      </c>
      <c r="Z20">
        <v>75</v>
      </c>
      <c r="AA20" t="s">
        <v>4</v>
      </c>
    </row>
    <row r="21" spans="2:31" x14ac:dyDescent="0.2">
      <c r="B21" s="1"/>
      <c r="C21" s="1" t="s">
        <v>10</v>
      </c>
      <c r="D21" s="1">
        <v>2.5999999999999999E-2</v>
      </c>
      <c r="E21" s="1"/>
      <c r="F21" s="1"/>
      <c r="G21" s="1"/>
      <c r="H21" s="1" t="s">
        <v>10</v>
      </c>
      <c r="I21" s="1">
        <v>2.5999999999999999E-2</v>
      </c>
      <c r="J21" s="1"/>
      <c r="K21" s="1"/>
      <c r="L21" s="1"/>
      <c r="M21" s="1" t="s">
        <v>10</v>
      </c>
      <c r="N21" s="1">
        <v>2.5999999999999999E-2</v>
      </c>
      <c r="O21" s="1"/>
      <c r="P21" s="1"/>
      <c r="Q21" s="1"/>
      <c r="R21" s="1" t="s">
        <v>10</v>
      </c>
      <c r="S21" s="1">
        <v>3.3000000000000002E-2</v>
      </c>
      <c r="AA21">
        <f>AA18*SQRT(2)</f>
        <v>0.16970562748477142</v>
      </c>
    </row>
    <row r="22" spans="2:31" x14ac:dyDescent="0.2">
      <c r="B22" s="1"/>
      <c r="E22" s="1">
        <v>0.01</v>
      </c>
      <c r="F22" s="1"/>
      <c r="G22" s="1"/>
      <c r="H22" s="1"/>
      <c r="I22" s="1"/>
      <c r="J22" s="1">
        <v>0.01</v>
      </c>
      <c r="K22" s="1"/>
      <c r="L22" s="1"/>
      <c r="M22" s="1"/>
      <c r="N22" s="1"/>
      <c r="O22" s="1"/>
      <c r="P22" s="1"/>
    </row>
    <row r="23" spans="2:31" x14ac:dyDescent="0.2">
      <c r="B23" s="2" t="s">
        <v>29</v>
      </c>
      <c r="C23" s="1" t="s">
        <v>51</v>
      </c>
      <c r="D23" s="2" t="s">
        <v>27</v>
      </c>
      <c r="E23" s="2" t="s">
        <v>24</v>
      </c>
      <c r="F23" s="1"/>
      <c r="G23" s="1"/>
      <c r="H23" s="2" t="s">
        <v>29</v>
      </c>
      <c r="I23" s="2" t="s">
        <v>27</v>
      </c>
      <c r="J23" s="2" t="s">
        <v>24</v>
      </c>
      <c r="K23" s="1"/>
      <c r="L23" s="1"/>
      <c r="M23" s="2" t="s">
        <v>29</v>
      </c>
      <c r="N23" s="2" t="s">
        <v>27</v>
      </c>
      <c r="O23" s="2" t="s">
        <v>24</v>
      </c>
      <c r="P23" s="1"/>
      <c r="Q23" s="2" t="s">
        <v>29</v>
      </c>
      <c r="R23" s="2" t="s">
        <v>29</v>
      </c>
      <c r="S23" s="2" t="s">
        <v>27</v>
      </c>
      <c r="T23" s="2" t="s">
        <v>24</v>
      </c>
      <c r="V23" s="8" t="s">
        <v>52</v>
      </c>
      <c r="AA23" t="s">
        <v>56</v>
      </c>
      <c r="AB23">
        <f>0.00001*SQRT(2)</f>
        <v>1.4142135623730953E-5</v>
      </c>
      <c r="AC23" t="s">
        <v>58</v>
      </c>
      <c r="AD23">
        <f>2*PI()</f>
        <v>6.2831853071795862</v>
      </c>
    </row>
    <row r="24" spans="2:31" x14ac:dyDescent="0.2">
      <c r="B24" s="2">
        <v>500</v>
      </c>
      <c r="C24" s="2">
        <f>B24*2*PI()</f>
        <v>3141.5926535897929</v>
      </c>
      <c r="D24" s="2">
        <f>E24*SQRT(2)</f>
        <v>12.727922061357857</v>
      </c>
      <c r="E24" s="2">
        <v>9</v>
      </c>
      <c r="F24" s="1"/>
      <c r="G24" s="1"/>
      <c r="H24" s="2">
        <v>500</v>
      </c>
      <c r="I24" s="2">
        <f>J24*SQRT(2)</f>
        <v>25.880108191427642</v>
      </c>
      <c r="J24" s="2">
        <v>18.3</v>
      </c>
      <c r="K24" s="1"/>
      <c r="L24" s="1"/>
      <c r="M24" s="2">
        <v>500</v>
      </c>
      <c r="N24" s="2">
        <f>O24*SQRT(2)</f>
        <v>49.242916241831175</v>
      </c>
      <c r="O24" s="2">
        <v>34.82</v>
      </c>
      <c r="P24" s="1"/>
      <c r="Q24" s="2">
        <v>500</v>
      </c>
      <c r="R24" s="2">
        <f>2*PI()*Q24</f>
        <v>3141.5926535897929</v>
      </c>
      <c r="S24" s="2">
        <f>T24*SQRT(2)</f>
        <v>81.119289937720737</v>
      </c>
      <c r="T24" s="2">
        <v>57.36</v>
      </c>
      <c r="V24">
        <f>$X$18*$Y$18*$Z$18*$AA$21*$AB$18*R24*1000</f>
        <v>83.375170498765954</v>
      </c>
    </row>
    <row r="25" spans="2:31" x14ac:dyDescent="0.2">
      <c r="B25" s="2">
        <v>600</v>
      </c>
      <c r="C25" s="2">
        <f t="shared" ref="C25:C34" si="2">B25*2*PI()</f>
        <v>3769.9111843077517</v>
      </c>
      <c r="D25" s="2">
        <f t="shared" ref="D25:D34" si="3">E25*SQRT(2)</f>
        <v>15.273506473629428</v>
      </c>
      <c r="E25" s="2">
        <v>10.8</v>
      </c>
      <c r="F25" s="1"/>
      <c r="G25" s="1"/>
      <c r="H25" s="2">
        <v>600</v>
      </c>
      <c r="I25" s="2">
        <f t="shared" ref="I25:I34" si="4">J25*SQRT(2)</f>
        <v>31.041987694089439</v>
      </c>
      <c r="J25" s="2">
        <v>21.95</v>
      </c>
      <c r="K25" s="1"/>
      <c r="L25" s="1"/>
      <c r="M25" s="2">
        <v>600</v>
      </c>
      <c r="N25" s="2">
        <f t="shared" ref="N25:N34" si="5">O25*SQRT(2)</f>
        <v>59.11412690719537</v>
      </c>
      <c r="O25" s="2">
        <v>41.8</v>
      </c>
      <c r="P25" s="1"/>
      <c r="Q25" s="2">
        <v>600</v>
      </c>
      <c r="R25" s="2">
        <f t="shared" ref="R25:R34" si="6">2*PI()*Q25</f>
        <v>3769.9111843077517</v>
      </c>
      <c r="S25" s="2">
        <f t="shared" ref="S25:S34" si="7">T25*SQRT(2)</f>
        <v>97.213040277526559</v>
      </c>
      <c r="T25" s="2">
        <v>68.739999999999995</v>
      </c>
      <c r="V25">
        <f t="shared" ref="V25:V34" si="8">$X$18*$Y$18*$Z$18*$AA$21*$AB$18*R25*1000</f>
        <v>100.05020459851914</v>
      </c>
    </row>
    <row r="26" spans="2:31" x14ac:dyDescent="0.2">
      <c r="B26" s="2">
        <v>700</v>
      </c>
      <c r="C26" s="2">
        <f t="shared" si="2"/>
        <v>4398.22971502571</v>
      </c>
      <c r="D26" s="2">
        <f t="shared" si="3"/>
        <v>17.790806614653537</v>
      </c>
      <c r="E26" s="2">
        <v>12.58</v>
      </c>
      <c r="F26" s="1"/>
      <c r="G26" s="1"/>
      <c r="H26" s="2">
        <v>700</v>
      </c>
      <c r="I26" s="2">
        <f t="shared" si="4"/>
        <v>36.189725061127504</v>
      </c>
      <c r="J26" s="2">
        <v>25.59</v>
      </c>
      <c r="K26" s="1"/>
      <c r="L26" s="1"/>
      <c r="M26" s="2">
        <v>700</v>
      </c>
      <c r="N26" s="2">
        <f t="shared" si="5"/>
        <v>68.914626894440929</v>
      </c>
      <c r="O26" s="2">
        <v>48.73</v>
      </c>
      <c r="P26" s="1"/>
      <c r="Q26" s="2">
        <v>700</v>
      </c>
      <c r="R26" s="2">
        <f t="shared" si="6"/>
        <v>4398.22971502571</v>
      </c>
      <c r="S26" s="2">
        <f t="shared" si="7"/>
        <v>113.25022207483745</v>
      </c>
      <c r="T26" s="2">
        <v>80.08</v>
      </c>
      <c r="V26">
        <f t="shared" si="8"/>
        <v>116.72523869827232</v>
      </c>
      <c r="AA26" t="s">
        <v>59</v>
      </c>
    </row>
    <row r="27" spans="2:31" x14ac:dyDescent="0.2">
      <c r="B27" s="2">
        <v>800</v>
      </c>
      <c r="C27" s="2">
        <f t="shared" si="2"/>
        <v>5026.5482457436692</v>
      </c>
      <c r="D27" s="2">
        <f t="shared" si="3"/>
        <v>20.3788174337963</v>
      </c>
      <c r="E27" s="2">
        <v>14.41</v>
      </c>
      <c r="F27" s="1"/>
      <c r="G27" s="1"/>
      <c r="H27" s="2">
        <v>800</v>
      </c>
      <c r="I27" s="2">
        <f t="shared" si="4"/>
        <v>41.394030970660495</v>
      </c>
      <c r="J27" s="2">
        <v>29.27</v>
      </c>
      <c r="K27" s="1"/>
      <c r="L27" s="1"/>
      <c r="M27" s="2">
        <v>800</v>
      </c>
      <c r="N27" s="2">
        <f t="shared" si="5"/>
        <v>78.771695424181402</v>
      </c>
      <c r="O27" s="2">
        <v>55.7</v>
      </c>
      <c r="P27" s="1"/>
      <c r="Q27" s="2">
        <v>800</v>
      </c>
      <c r="R27" s="2">
        <f t="shared" si="6"/>
        <v>5026.5482457436692</v>
      </c>
      <c r="S27" s="2">
        <f t="shared" si="7"/>
        <v>129.54196231337551</v>
      </c>
      <c r="T27" s="2">
        <v>91.6</v>
      </c>
      <c r="V27">
        <f t="shared" si="8"/>
        <v>133.40027279802555</v>
      </c>
      <c r="AA27">
        <f>1450*2*PI()</f>
        <v>9110.6186954103996</v>
      </c>
    </row>
    <row r="28" spans="2:31" x14ac:dyDescent="0.2">
      <c r="B28" s="2">
        <v>900</v>
      </c>
      <c r="C28" s="2">
        <f t="shared" si="2"/>
        <v>5654.8667764616275</v>
      </c>
      <c r="D28" s="2">
        <f t="shared" si="3"/>
        <v>22.896117574820412</v>
      </c>
      <c r="E28" s="2">
        <v>16.190000000000001</v>
      </c>
      <c r="F28" s="1"/>
      <c r="G28" s="1"/>
      <c r="H28" s="2">
        <v>900</v>
      </c>
      <c r="I28" s="2">
        <f t="shared" si="4"/>
        <v>46.527626202074828</v>
      </c>
      <c r="J28" s="2">
        <v>32.9</v>
      </c>
      <c r="K28" s="1"/>
      <c r="L28" s="1"/>
      <c r="M28" s="2">
        <v>900</v>
      </c>
      <c r="N28" s="2">
        <f t="shared" si="5"/>
        <v>88.48734259768456</v>
      </c>
      <c r="O28" s="2">
        <v>62.57</v>
      </c>
      <c r="P28" s="1"/>
      <c r="Q28" s="2">
        <v>900</v>
      </c>
      <c r="R28" s="2">
        <f t="shared" si="6"/>
        <v>5654.8667764616275</v>
      </c>
      <c r="S28" s="2">
        <f t="shared" si="7"/>
        <v>145.64985478880507</v>
      </c>
      <c r="T28" s="2">
        <v>102.99</v>
      </c>
      <c r="V28">
        <f t="shared" si="8"/>
        <v>150.07530689777874</v>
      </c>
    </row>
    <row r="29" spans="2:31" x14ac:dyDescent="0.2">
      <c r="B29" s="2">
        <v>1000</v>
      </c>
      <c r="C29" s="2">
        <f t="shared" si="2"/>
        <v>6283.1853071795858</v>
      </c>
      <c r="D29" s="2">
        <f t="shared" si="3"/>
        <v>25.484128393963175</v>
      </c>
      <c r="E29" s="2">
        <v>18.02</v>
      </c>
      <c r="F29" s="1"/>
      <c r="G29" s="1"/>
      <c r="H29" s="2">
        <v>1000</v>
      </c>
      <c r="I29" s="2">
        <f t="shared" si="4"/>
        <v>51.746074247231554</v>
      </c>
      <c r="J29" s="2">
        <v>36.590000000000003</v>
      </c>
      <c r="K29" s="1"/>
      <c r="L29" s="1"/>
      <c r="M29" s="2">
        <v>1000</v>
      </c>
      <c r="N29" s="2">
        <f t="shared" si="5"/>
        <v>98.372695398672505</v>
      </c>
      <c r="O29" s="2">
        <v>69.56</v>
      </c>
      <c r="P29" s="1"/>
      <c r="Q29" s="2">
        <v>1000</v>
      </c>
      <c r="R29" s="2">
        <f t="shared" si="6"/>
        <v>6283.1853071795858</v>
      </c>
      <c r="S29" s="2">
        <f t="shared" si="7"/>
        <v>161.70117872173969</v>
      </c>
      <c r="T29" s="2">
        <v>114.34</v>
      </c>
      <c r="V29">
        <f t="shared" si="8"/>
        <v>166.75034099753191</v>
      </c>
    </row>
    <row r="30" spans="2:31" x14ac:dyDescent="0.2">
      <c r="B30" s="2">
        <v>1100</v>
      </c>
      <c r="C30" s="2">
        <f t="shared" si="2"/>
        <v>6911.5038378975451</v>
      </c>
      <c r="D30" s="2">
        <f t="shared" si="3"/>
        <v>27.987286399363551</v>
      </c>
      <c r="E30" s="2">
        <v>19.79</v>
      </c>
      <c r="F30" s="1"/>
      <c r="G30" s="1"/>
      <c r="H30" s="2">
        <v>1100</v>
      </c>
      <c r="I30" s="2">
        <f t="shared" si="4"/>
        <v>56.85138520739843</v>
      </c>
      <c r="J30" s="2">
        <v>40.200000000000003</v>
      </c>
      <c r="K30" s="1"/>
      <c r="L30" s="1"/>
      <c r="M30" s="2">
        <v>1100</v>
      </c>
      <c r="N30" s="2">
        <f t="shared" si="5"/>
        <v>108.20147965716552</v>
      </c>
      <c r="O30" s="2">
        <v>76.510000000000005</v>
      </c>
      <c r="P30" s="1"/>
      <c r="Q30" s="2">
        <v>1100</v>
      </c>
      <c r="R30" s="2">
        <f t="shared" si="6"/>
        <v>6911.5038378975451</v>
      </c>
      <c r="S30" s="2">
        <f t="shared" si="7"/>
        <v>177.99291896027776</v>
      </c>
      <c r="T30" s="2">
        <v>125.86</v>
      </c>
      <c r="V30">
        <f t="shared" si="8"/>
        <v>183.4253750972851</v>
      </c>
    </row>
    <row r="31" spans="2:31" x14ac:dyDescent="0.2">
      <c r="B31" s="2">
        <v>1200</v>
      </c>
      <c r="C31" s="2">
        <f t="shared" si="2"/>
        <v>7539.8223686155034</v>
      </c>
      <c r="D31" s="2">
        <f t="shared" si="3"/>
        <v>30.547012947258857</v>
      </c>
      <c r="E31" s="2">
        <v>21.6</v>
      </c>
      <c r="F31" s="1"/>
      <c r="G31" s="1"/>
      <c r="H31" s="2">
        <v>1200</v>
      </c>
      <c r="I31" s="2">
        <f t="shared" si="4"/>
        <v>62.112259659426343</v>
      </c>
      <c r="J31" s="2">
        <v>43.92</v>
      </c>
      <c r="K31" s="1"/>
      <c r="L31" s="1"/>
      <c r="M31" s="2">
        <v>1200</v>
      </c>
      <c r="N31" s="2">
        <f t="shared" si="5"/>
        <v>118.14340100064838</v>
      </c>
      <c r="O31" s="2">
        <v>83.54</v>
      </c>
      <c r="P31" s="1"/>
      <c r="Q31" s="2">
        <v>1200</v>
      </c>
      <c r="R31" s="2">
        <f t="shared" si="6"/>
        <v>7539.8223686155034</v>
      </c>
      <c r="S31" s="2">
        <f t="shared" si="7"/>
        <v>193.86039513010391</v>
      </c>
      <c r="T31" s="2">
        <v>137.08000000000001</v>
      </c>
      <c r="V31">
        <f t="shared" si="8"/>
        <v>200.10040919703829</v>
      </c>
    </row>
    <row r="32" spans="2:31" x14ac:dyDescent="0.2">
      <c r="B32" s="2">
        <v>1300</v>
      </c>
      <c r="C32" s="2">
        <f t="shared" si="2"/>
        <v>8168.1408993334617</v>
      </c>
      <c r="D32" s="2">
        <f t="shared" si="3"/>
        <v>33.092597359530423</v>
      </c>
      <c r="E32" s="2">
        <v>23.4</v>
      </c>
      <c r="F32" s="1"/>
      <c r="G32" s="1"/>
      <c r="H32" s="2">
        <v>1300</v>
      </c>
      <c r="I32" s="2">
        <f t="shared" si="4"/>
        <v>67.302423433335605</v>
      </c>
      <c r="J32" s="2">
        <v>47.59</v>
      </c>
      <c r="K32" s="1"/>
      <c r="L32" s="1"/>
      <c r="M32" s="2">
        <v>1300</v>
      </c>
      <c r="N32" s="2">
        <f t="shared" si="5"/>
        <v>127.77419536040914</v>
      </c>
      <c r="O32" s="2">
        <v>90.35</v>
      </c>
      <c r="P32" s="1"/>
      <c r="Q32" s="2">
        <v>1300</v>
      </c>
      <c r="R32" s="2">
        <f t="shared" si="6"/>
        <v>8168.1408993334617</v>
      </c>
      <c r="S32" s="2">
        <f t="shared" si="7"/>
        <v>210.307698860503</v>
      </c>
      <c r="T32" s="2">
        <v>148.71</v>
      </c>
      <c r="V32">
        <f t="shared" si="8"/>
        <v>216.77544329679145</v>
      </c>
    </row>
    <row r="33" spans="2:24" x14ac:dyDescent="0.2">
      <c r="B33" s="2">
        <v>1400</v>
      </c>
      <c r="C33" s="2">
        <f t="shared" si="2"/>
        <v>8796.45943005142</v>
      </c>
      <c r="D33" s="2">
        <f t="shared" si="3"/>
        <v>35.652323907425732</v>
      </c>
      <c r="E33" s="2">
        <v>25.21</v>
      </c>
      <c r="F33" s="1"/>
      <c r="G33" s="1"/>
      <c r="H33" s="2">
        <v>1400</v>
      </c>
      <c r="I33" s="2">
        <f t="shared" si="4"/>
        <v>72.351165851007536</v>
      </c>
      <c r="J33" s="2">
        <v>51.16</v>
      </c>
      <c r="K33" s="1"/>
      <c r="L33" s="1"/>
      <c r="M33" s="2">
        <v>1400</v>
      </c>
      <c r="N33" s="2">
        <f t="shared" si="5"/>
        <v>137.78682738201067</v>
      </c>
      <c r="O33" s="2">
        <v>97.43</v>
      </c>
      <c r="P33" s="1"/>
      <c r="Q33" s="2">
        <v>1400</v>
      </c>
      <c r="R33" s="2">
        <f t="shared" si="6"/>
        <v>8796.45943005142</v>
      </c>
      <c r="S33" s="2">
        <f t="shared" si="7"/>
        <v>226.06203794533926</v>
      </c>
      <c r="T33" s="2">
        <v>159.85</v>
      </c>
      <c r="V33">
        <f t="shared" si="8"/>
        <v>233.45047739654464</v>
      </c>
    </row>
    <row r="34" spans="2:24" x14ac:dyDescent="0.2">
      <c r="B34" s="2">
        <v>1500</v>
      </c>
      <c r="C34" s="2">
        <f t="shared" si="2"/>
        <v>9424.7779607693792</v>
      </c>
      <c r="D34" s="2">
        <f t="shared" si="3"/>
        <v>38.212050455321027</v>
      </c>
      <c r="E34" s="2">
        <v>27.02</v>
      </c>
      <c r="F34" s="1"/>
      <c r="G34" s="1"/>
      <c r="H34" s="2">
        <v>1500</v>
      </c>
      <c r="I34" s="2">
        <f t="shared" si="4"/>
        <v>77.56961389616427</v>
      </c>
      <c r="J34" s="2">
        <v>54.85</v>
      </c>
      <c r="K34" s="1"/>
      <c r="L34" s="1"/>
      <c r="M34" s="2">
        <v>1500</v>
      </c>
      <c r="N34" s="2">
        <f t="shared" si="5"/>
        <v>147.61561164050366</v>
      </c>
      <c r="O34" s="2">
        <v>104.38</v>
      </c>
      <c r="P34" s="1"/>
      <c r="Q34" s="2">
        <v>1500</v>
      </c>
      <c r="R34" s="2">
        <f t="shared" si="6"/>
        <v>9424.7779607693792</v>
      </c>
      <c r="S34" s="2">
        <f t="shared" si="7"/>
        <v>242.53762594698583</v>
      </c>
      <c r="T34" s="2">
        <v>171.5</v>
      </c>
      <c r="V34">
        <f t="shared" si="8"/>
        <v>250.12551149629786</v>
      </c>
    </row>
    <row r="35" spans="2:24" x14ac:dyDescent="0.2">
      <c r="B35" s="1"/>
    </row>
    <row r="36" spans="2:24" x14ac:dyDescent="0.2"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24" x14ac:dyDescent="0.2">
      <c r="B37" s="1" t="s">
        <v>40</v>
      </c>
      <c r="C37" s="1"/>
      <c r="D37" s="1"/>
      <c r="E37" s="1"/>
      <c r="F37" s="1"/>
      <c r="G37" s="1"/>
      <c r="H37" s="1" t="s">
        <v>40</v>
      </c>
      <c r="I37" s="1"/>
      <c r="J37" s="1"/>
      <c r="K37" s="1"/>
      <c r="L37" s="1"/>
      <c r="M37" s="1"/>
      <c r="N37" s="1" t="s">
        <v>40</v>
      </c>
      <c r="O37" s="1"/>
      <c r="P37" s="1"/>
      <c r="Q37" s="1"/>
      <c r="R37" s="1"/>
      <c r="T37" s="1" t="s">
        <v>40</v>
      </c>
      <c r="U37" s="1"/>
      <c r="V37" s="1"/>
      <c r="W37" s="1"/>
      <c r="X37" s="1"/>
    </row>
    <row r="38" spans="2:24" x14ac:dyDescent="0.2">
      <c r="B38" s="1" t="s">
        <v>37</v>
      </c>
      <c r="C38" s="1" t="s">
        <v>39</v>
      </c>
      <c r="D38" s="1" t="s">
        <v>42</v>
      </c>
      <c r="E38" s="1" t="s">
        <v>38</v>
      </c>
      <c r="F38" s="1" t="s">
        <v>41</v>
      </c>
      <c r="G38" s="1"/>
      <c r="H38" s="1" t="s">
        <v>37</v>
      </c>
      <c r="I38" s="1" t="s">
        <v>39</v>
      </c>
      <c r="J38" s="1" t="s">
        <v>42</v>
      </c>
      <c r="K38" s="1" t="s">
        <v>38</v>
      </c>
      <c r="L38" s="1" t="s">
        <v>41</v>
      </c>
      <c r="M38" s="1"/>
      <c r="N38" s="1" t="s">
        <v>37</v>
      </c>
      <c r="O38" s="1" t="s">
        <v>39</v>
      </c>
      <c r="P38" s="1" t="s">
        <v>42</v>
      </c>
      <c r="Q38" s="1" t="s">
        <v>38</v>
      </c>
      <c r="R38" s="1" t="s">
        <v>41</v>
      </c>
      <c r="T38" s="1" t="s">
        <v>37</v>
      </c>
      <c r="U38" s="1" t="s">
        <v>39</v>
      </c>
      <c r="V38" s="1" t="s">
        <v>42</v>
      </c>
      <c r="W38" s="1" t="s">
        <v>38</v>
      </c>
      <c r="X38" s="1" t="s">
        <v>41</v>
      </c>
    </row>
    <row r="39" spans="2:24" x14ac:dyDescent="0.2">
      <c r="B39" s="1">
        <v>1</v>
      </c>
      <c r="C39" s="1">
        <v>4.0549999999999996E-3</v>
      </c>
      <c r="D39" s="1">
        <v>3.9999999999999998E-6</v>
      </c>
      <c r="E39" s="1">
        <v>-0.02</v>
      </c>
      <c r="F39" s="1">
        <v>0.03</v>
      </c>
      <c r="G39" s="1"/>
      <c r="H39" s="1">
        <v>1</v>
      </c>
      <c r="I39" s="1">
        <v>8.2299999999999995E-3</v>
      </c>
      <c r="J39" s="1">
        <v>7.9999999999999996E-6</v>
      </c>
      <c r="K39" s="1">
        <v>0.02</v>
      </c>
      <c r="L39" s="1">
        <v>0.05</v>
      </c>
      <c r="M39" s="1"/>
      <c r="N39" s="1">
        <v>1</v>
      </c>
      <c r="O39" s="1">
        <v>1.5649E-2</v>
      </c>
      <c r="P39" s="1">
        <v>1.5E-5</v>
      </c>
      <c r="Q39" s="1">
        <v>0.1</v>
      </c>
      <c r="R39" s="1">
        <v>0.1</v>
      </c>
      <c r="T39" s="1">
        <v>1</v>
      </c>
      <c r="U39" s="1">
        <v>2.5680000000000001E-2</v>
      </c>
      <c r="V39" s="1">
        <v>2.5000000000000001E-5</v>
      </c>
      <c r="W39" s="1">
        <v>0.42</v>
      </c>
      <c r="X39" s="1">
        <v>0.16</v>
      </c>
    </row>
    <row r="40" spans="2:24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24" x14ac:dyDescent="0.2">
      <c r="C41" s="15" t="s">
        <v>49</v>
      </c>
      <c r="D41" s="2" t="s">
        <v>54</v>
      </c>
      <c r="I41" s="15" t="s">
        <v>49</v>
      </c>
      <c r="J41" s="2" t="s">
        <v>54</v>
      </c>
      <c r="O41" s="15" t="s">
        <v>49</v>
      </c>
      <c r="P41" s="2" t="s">
        <v>54</v>
      </c>
      <c r="U41" s="15" t="s">
        <v>49</v>
      </c>
      <c r="V41" s="2" t="s">
        <v>54</v>
      </c>
    </row>
    <row r="42" spans="2:24" x14ac:dyDescent="0.2">
      <c r="C42" s="15">
        <f>$X$18*$Y$18*Z20*$AA$21*$AB$19*1000</f>
        <v>4.1185627496884859E-3</v>
      </c>
      <c r="D42" s="2">
        <f>$X$18*$Y$18*$Z$20*$AB$19*$AB$23*1000</f>
        <v>3.4321356247404047E-7</v>
      </c>
      <c r="I42" s="15">
        <f>$X$18*$Y$18*Z19*$AA$21*$AB$19*1000</f>
        <v>8.2371254993769717E-3</v>
      </c>
      <c r="J42" s="2">
        <f>$X$18*$Y$18*$Z$19*$AB$19*$AB$23*1000</f>
        <v>6.8642712494808094E-7</v>
      </c>
      <c r="O42" s="15">
        <f>$X$18*$Y$18*Z18*$AA$21*$AB$19*1000</f>
        <v>1.6474250998753943E-2</v>
      </c>
      <c r="P42" s="2">
        <f>$X$18*$Y$18*$Z$18*$AB$19*$AB$23*1000</f>
        <v>1.3728542498961619E-6</v>
      </c>
      <c r="U42" s="15">
        <f>$X$18*$Y$18*Z18*$AA$21*$AB$18*1000</f>
        <v>2.6539141032016336E-2</v>
      </c>
      <c r="V42" s="2">
        <f>$X$18*$Y$18*$Z$18*$AB$18*$AB$23*1000</f>
        <v>2.2115950860013615E-6</v>
      </c>
    </row>
    <row r="47" spans="2:24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R47" s="16"/>
    </row>
    <row r="48" spans="2:24" x14ac:dyDescent="0.2">
      <c r="B48" s="1"/>
      <c r="C48" s="3" t="s">
        <v>9</v>
      </c>
      <c r="D48" s="3" t="s">
        <v>12</v>
      </c>
      <c r="E48" s="1"/>
      <c r="F48" s="1"/>
      <c r="G48" s="1"/>
      <c r="I48" s="3" t="s">
        <v>9</v>
      </c>
      <c r="J48" s="3" t="s">
        <v>12</v>
      </c>
      <c r="K48" s="1"/>
      <c r="L48" s="1"/>
      <c r="M48" s="1"/>
      <c r="O48" s="3" t="s">
        <v>9</v>
      </c>
      <c r="P48" s="3" t="s">
        <v>12</v>
      </c>
      <c r="Q48" s="1"/>
      <c r="R48" s="1"/>
      <c r="U48" s="3" t="s">
        <v>9</v>
      </c>
      <c r="V48" s="3" t="s">
        <v>12</v>
      </c>
    </row>
    <row r="49" spans="2:28" x14ac:dyDescent="0.2">
      <c r="B49" s="1"/>
      <c r="C49" s="1"/>
      <c r="D49" s="1"/>
      <c r="E49" s="1"/>
      <c r="F49" s="1"/>
      <c r="G49" s="1"/>
      <c r="I49" s="1"/>
      <c r="J49" s="1"/>
      <c r="K49" s="1"/>
      <c r="L49" s="1"/>
      <c r="M49" s="1"/>
      <c r="O49" s="1"/>
      <c r="P49" s="1"/>
      <c r="Q49" s="1"/>
      <c r="R49" s="17"/>
    </row>
    <row r="50" spans="2:28" x14ac:dyDescent="0.2">
      <c r="B50" s="1"/>
      <c r="C50" s="1" t="s">
        <v>11</v>
      </c>
      <c r="D50" s="1">
        <v>75</v>
      </c>
      <c r="E50" s="1"/>
      <c r="F50" s="1"/>
      <c r="G50" s="1"/>
      <c r="I50" s="1" t="s">
        <v>11</v>
      </c>
      <c r="J50" s="1">
        <v>150</v>
      </c>
      <c r="K50" s="1"/>
      <c r="L50" s="1"/>
      <c r="M50" s="1"/>
      <c r="O50" s="1" t="s">
        <v>11</v>
      </c>
      <c r="P50" s="1">
        <v>300</v>
      </c>
      <c r="Q50" s="1"/>
      <c r="R50" s="1"/>
      <c r="S50" s="1"/>
      <c r="U50" s="1" t="s">
        <v>11</v>
      </c>
      <c r="V50" s="1">
        <v>300</v>
      </c>
    </row>
    <row r="51" spans="2:28" x14ac:dyDescent="0.2">
      <c r="B51" s="1"/>
      <c r="C51" s="1" t="s">
        <v>10</v>
      </c>
      <c r="D51" s="1">
        <v>2.5999999999999999E-2</v>
      </c>
      <c r="E51" s="1"/>
      <c r="F51" s="1"/>
      <c r="G51" s="1"/>
      <c r="I51" s="1" t="s">
        <v>10</v>
      </c>
      <c r="J51" s="1">
        <v>2.5999999999999999E-2</v>
      </c>
      <c r="K51" s="1"/>
      <c r="L51" s="1"/>
      <c r="M51" s="1"/>
      <c r="O51" s="1" t="s">
        <v>10</v>
      </c>
      <c r="P51" s="1">
        <v>2.5999999999999999E-2</v>
      </c>
      <c r="Q51" s="1"/>
      <c r="R51" s="1"/>
      <c r="S51" s="1"/>
      <c r="U51" s="1" t="s">
        <v>10</v>
      </c>
      <c r="V51" s="1">
        <v>3.3000000000000002E-2</v>
      </c>
    </row>
    <row r="52" spans="2:28" x14ac:dyDescent="0.2">
      <c r="B52" s="1"/>
      <c r="C52" s="1"/>
      <c r="D52" s="1"/>
      <c r="E52" s="1"/>
      <c r="F52" s="1"/>
      <c r="G52" s="1"/>
      <c r="I52" s="1"/>
      <c r="J52" s="1"/>
      <c r="K52" s="1"/>
      <c r="L52" s="1"/>
      <c r="M52" s="1"/>
      <c r="O52" s="1"/>
      <c r="P52" s="1"/>
      <c r="Q52" s="1"/>
      <c r="R52" s="1"/>
    </row>
    <row r="53" spans="2:28" x14ac:dyDescent="0.2">
      <c r="B53" s="1"/>
      <c r="C53" s="2" t="s">
        <v>13</v>
      </c>
      <c r="D53" s="2" t="s">
        <v>27</v>
      </c>
      <c r="E53" s="2" t="s">
        <v>24</v>
      </c>
      <c r="F53" s="2" t="s">
        <v>28</v>
      </c>
      <c r="G53" s="2" t="s">
        <v>26</v>
      </c>
      <c r="I53" s="2" t="s">
        <v>13</v>
      </c>
      <c r="J53" s="2" t="s">
        <v>27</v>
      </c>
      <c r="K53" s="2" t="s">
        <v>24</v>
      </c>
      <c r="L53" s="2" t="s">
        <v>28</v>
      </c>
      <c r="M53" s="2" t="s">
        <v>26</v>
      </c>
      <c r="O53" s="2" t="s">
        <v>13</v>
      </c>
      <c r="P53" s="2" t="s">
        <v>27</v>
      </c>
      <c r="Q53" s="2" t="s">
        <v>24</v>
      </c>
      <c r="R53" s="2" t="s">
        <v>28</v>
      </c>
      <c r="S53" s="2" t="s">
        <v>26</v>
      </c>
      <c r="U53" s="2" t="s">
        <v>13</v>
      </c>
      <c r="V53" s="2" t="s">
        <v>27</v>
      </c>
      <c r="W53" s="2" t="s">
        <v>24</v>
      </c>
      <c r="X53" s="2" t="s">
        <v>28</v>
      </c>
      <c r="Y53" s="2" t="s">
        <v>26</v>
      </c>
      <c r="AB53" s="2" t="s">
        <v>27</v>
      </c>
    </row>
    <row r="54" spans="2:28" x14ac:dyDescent="0.2">
      <c r="B54" s="1"/>
      <c r="C54" s="2">
        <v>1</v>
      </c>
      <c r="D54" s="2">
        <f>E54*SQRT(2)</f>
        <v>4.3416356364854023</v>
      </c>
      <c r="E54" s="2">
        <v>3.07</v>
      </c>
      <c r="F54" s="2">
        <f>G54*SQRT(2)</f>
        <v>19.233304448274094</v>
      </c>
      <c r="G54" s="2">
        <v>13.6</v>
      </c>
      <c r="I54" s="2">
        <v>1</v>
      </c>
      <c r="J54" s="2">
        <f>K54*SQRT(2)</f>
        <v>8.4994235098623019</v>
      </c>
      <c r="K54" s="2">
        <v>6.01</v>
      </c>
      <c r="L54" s="2">
        <f>M54*SQRT(2)</f>
        <v>19.233304448274094</v>
      </c>
      <c r="M54" s="2">
        <v>13.6</v>
      </c>
      <c r="O54" s="2">
        <v>1</v>
      </c>
      <c r="P54" s="2">
        <f>Q54*SQRT(2)</f>
        <v>16.334166645409251</v>
      </c>
      <c r="Q54" s="2">
        <v>11.55</v>
      </c>
      <c r="R54" s="2">
        <f>S54*SQRT(2)</f>
        <v>19.233304448274094</v>
      </c>
      <c r="S54" s="7">
        <v>13.6</v>
      </c>
      <c r="U54" s="2">
        <v>1</v>
      </c>
      <c r="V54" s="2">
        <f>W54*SQRT(2)</f>
        <v>2.7011479041326116</v>
      </c>
      <c r="W54" s="2">
        <v>1.91</v>
      </c>
      <c r="X54" s="2">
        <f>Y54*SQRT(2)</f>
        <v>19.516147160748712</v>
      </c>
      <c r="Y54" s="7">
        <v>13.8</v>
      </c>
      <c r="AB54" s="2">
        <f>W54*10*SQRT(2)</f>
        <v>27.011479041326115</v>
      </c>
    </row>
    <row r="55" spans="2:28" x14ac:dyDescent="0.2">
      <c r="B55" s="1"/>
      <c r="C55" s="2">
        <v>2</v>
      </c>
      <c r="D55" s="2">
        <f t="shared" ref="D55:D63" si="9">E55*SQRT(2)</f>
        <v>8.61256059485215</v>
      </c>
      <c r="E55" s="2">
        <v>6.09</v>
      </c>
      <c r="F55" s="2">
        <f t="shared" ref="F55:F63" si="10">G55*SQRT(2)</f>
        <v>38.466608896548188</v>
      </c>
      <c r="G55" s="2">
        <v>27.2</v>
      </c>
      <c r="I55" s="2">
        <v>2</v>
      </c>
      <c r="J55" s="2">
        <f t="shared" ref="J55:J63" si="11">K55*SQRT(2)</f>
        <v>16.928136341605949</v>
      </c>
      <c r="K55" s="2">
        <v>11.97</v>
      </c>
      <c r="L55" s="2">
        <f t="shared" ref="L55:L63" si="12">M55*SQRT(2)</f>
        <v>38.466608896548188</v>
      </c>
      <c r="M55" s="2">
        <v>27.2</v>
      </c>
      <c r="O55" s="2">
        <v>2</v>
      </c>
      <c r="P55" s="2">
        <f t="shared" ref="P55:P63" si="13">Q55*SQRT(2)</f>
        <v>32.512769798957457</v>
      </c>
      <c r="Q55" s="2">
        <v>22.99</v>
      </c>
      <c r="R55" s="2">
        <f t="shared" ref="R55:R63" si="14">S55*SQRT(2)</f>
        <v>38.325187540310878</v>
      </c>
      <c r="S55" s="7">
        <v>27.1</v>
      </c>
      <c r="U55" s="2">
        <v>2</v>
      </c>
      <c r="V55" s="2">
        <f t="shared" ref="V55:V63" si="15">W55*SQRT(2)</f>
        <v>5.3457272657702992</v>
      </c>
      <c r="W55" s="2">
        <v>3.78</v>
      </c>
      <c r="X55" s="2">
        <f t="shared" ref="X55:X63" si="16">Y55*SQRT(2)</f>
        <v>38.608030252785497</v>
      </c>
      <c r="Y55" s="7">
        <v>27.3</v>
      </c>
      <c r="AB55" s="2">
        <f t="shared" ref="AB55:AB63" si="17">W55*10*SQRT(2)</f>
        <v>53.457272657702994</v>
      </c>
    </row>
    <row r="56" spans="2:28" x14ac:dyDescent="0.2">
      <c r="B56" s="1"/>
      <c r="C56" s="2">
        <v>3</v>
      </c>
      <c r="D56" s="2">
        <f t="shared" si="9"/>
        <v>12.897627688842627</v>
      </c>
      <c r="E56" s="2">
        <v>9.1199999999999992</v>
      </c>
      <c r="F56" s="2">
        <f t="shared" si="10"/>
        <v>57.558491988584976</v>
      </c>
      <c r="G56" s="2">
        <v>40.700000000000003</v>
      </c>
      <c r="I56" s="2">
        <v>3</v>
      </c>
      <c r="J56" s="2">
        <f t="shared" si="11"/>
        <v>25.300280630854672</v>
      </c>
      <c r="K56" s="2">
        <v>17.89</v>
      </c>
      <c r="L56" s="2">
        <f t="shared" si="12"/>
        <v>57.417070632347667</v>
      </c>
      <c r="M56" s="2">
        <v>40.6</v>
      </c>
      <c r="O56" s="2">
        <v>3</v>
      </c>
      <c r="P56" s="2">
        <f t="shared" si="13"/>
        <v>48.578235867515822</v>
      </c>
      <c r="Q56" s="2">
        <v>34.35</v>
      </c>
      <c r="R56" s="2">
        <f t="shared" si="14"/>
        <v>57.27564927611035</v>
      </c>
      <c r="S56" s="7">
        <v>40.5</v>
      </c>
      <c r="U56" s="2">
        <v>3</v>
      </c>
      <c r="V56" s="2">
        <f t="shared" si="15"/>
        <v>8.0185908986554502</v>
      </c>
      <c r="W56" s="2">
        <v>5.67</v>
      </c>
      <c r="X56" s="2">
        <f t="shared" si="16"/>
        <v>57.982756057296903</v>
      </c>
      <c r="Y56" s="7">
        <v>41</v>
      </c>
      <c r="AB56" s="2">
        <f t="shared" si="17"/>
        <v>80.185908986554495</v>
      </c>
    </row>
    <row r="57" spans="2:28" x14ac:dyDescent="0.2">
      <c r="C57" s="2">
        <v>4</v>
      </c>
      <c r="D57" s="2">
        <f t="shared" si="9"/>
        <v>17.182694782833106</v>
      </c>
      <c r="E57" s="2">
        <v>12.15</v>
      </c>
      <c r="F57" s="2">
        <f t="shared" si="10"/>
        <v>76.650375080621757</v>
      </c>
      <c r="G57" s="2">
        <v>54.2</v>
      </c>
      <c r="I57" s="2">
        <v>4</v>
      </c>
      <c r="J57" s="2">
        <f t="shared" si="11"/>
        <v>33.728993462598318</v>
      </c>
      <c r="K57" s="2">
        <v>23.85</v>
      </c>
      <c r="L57" s="2">
        <f t="shared" si="12"/>
        <v>76.508953724384455</v>
      </c>
      <c r="M57" s="2">
        <v>54.1</v>
      </c>
      <c r="O57" s="2">
        <v>4</v>
      </c>
      <c r="P57" s="2">
        <f t="shared" si="13"/>
        <v>64.728554749816567</v>
      </c>
      <c r="Q57" s="2">
        <v>45.77</v>
      </c>
      <c r="R57" s="2">
        <f t="shared" si="14"/>
        <v>76.367532368147138</v>
      </c>
      <c r="S57" s="7">
        <v>54</v>
      </c>
      <c r="U57" s="2">
        <v>4</v>
      </c>
      <c r="V57" s="2">
        <f t="shared" si="15"/>
        <v>10.691454531540598</v>
      </c>
      <c r="W57" s="2">
        <v>7.56</v>
      </c>
      <c r="X57" s="2">
        <f t="shared" si="16"/>
        <v>77.35748186180831</v>
      </c>
      <c r="Y57" s="7">
        <v>54.7</v>
      </c>
      <c r="AB57" s="2">
        <f t="shared" si="17"/>
        <v>106.91454531540599</v>
      </c>
    </row>
    <row r="58" spans="2:28" x14ac:dyDescent="0.2">
      <c r="C58" s="2">
        <v>5</v>
      </c>
      <c r="D58" s="2">
        <f t="shared" si="9"/>
        <v>21.42533546995239</v>
      </c>
      <c r="E58" s="2">
        <v>15.15</v>
      </c>
      <c r="F58" s="2">
        <f t="shared" si="10"/>
        <v>95.600836816421221</v>
      </c>
      <c r="G58" s="2">
        <v>67.599999999999994</v>
      </c>
      <c r="I58" s="2">
        <v>5</v>
      </c>
      <c r="J58" s="2">
        <f t="shared" si="11"/>
        <v>42.157706294341963</v>
      </c>
      <c r="K58" s="2">
        <v>29.81</v>
      </c>
      <c r="L58" s="2">
        <f t="shared" si="12"/>
        <v>95.742258172658552</v>
      </c>
      <c r="M58" s="2">
        <v>67.7</v>
      </c>
      <c r="O58" s="2">
        <v>5</v>
      </c>
      <c r="P58" s="2">
        <f t="shared" si="13"/>
        <v>80.878873632117305</v>
      </c>
      <c r="Q58" s="2">
        <v>57.19</v>
      </c>
      <c r="R58" s="2">
        <f t="shared" si="14"/>
        <v>95.459415460183919</v>
      </c>
      <c r="S58" s="7">
        <v>67.5</v>
      </c>
      <c r="U58" s="2">
        <v>5</v>
      </c>
      <c r="V58" s="2">
        <f t="shared" si="15"/>
        <v>13.378460300049481</v>
      </c>
      <c r="W58" s="2">
        <v>9.4600000000000009</v>
      </c>
      <c r="X58" s="2">
        <f t="shared" si="16"/>
        <v>96.590786310082393</v>
      </c>
      <c r="Y58" s="7">
        <v>68.3</v>
      </c>
      <c r="AB58" s="2">
        <f t="shared" si="17"/>
        <v>133.78460300049483</v>
      </c>
    </row>
    <row r="59" spans="2:28" x14ac:dyDescent="0.2">
      <c r="C59" s="2">
        <v>6</v>
      </c>
      <c r="D59" s="2">
        <f t="shared" si="9"/>
        <v>25.738686835190332</v>
      </c>
      <c r="E59" s="2">
        <v>18.2</v>
      </c>
      <c r="F59" s="2">
        <f t="shared" si="10"/>
        <v>114.83414126469533</v>
      </c>
      <c r="G59" s="2">
        <v>81.2</v>
      </c>
      <c r="I59" s="2">
        <v>6</v>
      </c>
      <c r="J59" s="2">
        <f t="shared" si="11"/>
        <v>50.600561261709345</v>
      </c>
      <c r="K59" s="2">
        <v>35.78</v>
      </c>
      <c r="L59" s="2">
        <f t="shared" si="12"/>
        <v>114.83414126469533</v>
      </c>
      <c r="M59" s="2">
        <v>81.2</v>
      </c>
      <c r="O59" s="2">
        <v>6</v>
      </c>
      <c r="P59" s="2">
        <f t="shared" si="13"/>
        <v>97.015050378794314</v>
      </c>
      <c r="Q59" s="2">
        <v>68.599999999999994</v>
      </c>
      <c r="R59" s="2">
        <f t="shared" si="14"/>
        <v>114.5512985522207</v>
      </c>
      <c r="S59" s="7">
        <v>81</v>
      </c>
      <c r="U59" s="2">
        <v>6</v>
      </c>
      <c r="V59" s="2">
        <f t="shared" si="15"/>
        <v>16.051323932934629</v>
      </c>
      <c r="W59" s="2">
        <v>11.35</v>
      </c>
      <c r="X59" s="2">
        <f t="shared" si="16"/>
        <v>115.8240907583565</v>
      </c>
      <c r="Y59" s="7">
        <v>81.900000000000006</v>
      </c>
      <c r="AB59" s="2">
        <f t="shared" si="17"/>
        <v>160.51323932934631</v>
      </c>
    </row>
    <row r="60" spans="2:28" x14ac:dyDescent="0.2">
      <c r="C60" s="2">
        <v>7</v>
      </c>
      <c r="D60" s="2">
        <f t="shared" si="9"/>
        <v>30.037896064804539</v>
      </c>
      <c r="E60" s="2">
        <v>21.24</v>
      </c>
      <c r="F60" s="2">
        <f t="shared" si="10"/>
        <v>133.92602435673211</v>
      </c>
      <c r="G60" s="2">
        <v>94.7</v>
      </c>
      <c r="I60" s="2">
        <v>7</v>
      </c>
      <c r="J60" s="2">
        <f t="shared" si="11"/>
        <v>58.576725753493605</v>
      </c>
      <c r="K60" s="2">
        <v>41.42</v>
      </c>
      <c r="L60" s="2">
        <f t="shared" si="12"/>
        <v>133.92602435673211</v>
      </c>
      <c r="M60" s="2">
        <v>94.7</v>
      </c>
      <c r="O60" s="2">
        <v>7</v>
      </c>
      <c r="P60" s="2">
        <f t="shared" si="13"/>
        <v>113.09465858297642</v>
      </c>
      <c r="Q60" s="2">
        <v>79.97</v>
      </c>
      <c r="R60" s="2">
        <f t="shared" si="14"/>
        <v>133.50176028802019</v>
      </c>
      <c r="S60" s="7">
        <v>94.4</v>
      </c>
      <c r="U60" s="2">
        <v>7</v>
      </c>
      <c r="V60" s="2">
        <f t="shared" si="15"/>
        <v>18.75247183706724</v>
      </c>
      <c r="W60" s="2">
        <v>13.26</v>
      </c>
      <c r="X60" s="2">
        <f t="shared" si="16"/>
        <v>135.05739520663059</v>
      </c>
      <c r="Y60" s="7">
        <v>95.5</v>
      </c>
      <c r="AB60" s="2">
        <f t="shared" si="17"/>
        <v>187.52471837067242</v>
      </c>
    </row>
    <row r="61" spans="2:28" x14ac:dyDescent="0.2">
      <c r="C61" s="2">
        <v>8</v>
      </c>
      <c r="D61" s="2">
        <f t="shared" si="9"/>
        <v>34.322963158795019</v>
      </c>
      <c r="E61" s="2">
        <v>24.27</v>
      </c>
      <c r="F61" s="2">
        <f t="shared" si="10"/>
        <v>153.1593288050062</v>
      </c>
      <c r="G61" s="2">
        <v>108.3</v>
      </c>
      <c r="I61" s="2">
        <v>8</v>
      </c>
      <c r="J61" s="2">
        <f t="shared" si="11"/>
        <v>67.443844789572907</v>
      </c>
      <c r="K61" s="2">
        <v>47.69</v>
      </c>
      <c r="L61" s="2">
        <f t="shared" si="12"/>
        <v>153.01790744876891</v>
      </c>
      <c r="M61" s="2">
        <v>108.2</v>
      </c>
      <c r="O61" s="2">
        <v>8</v>
      </c>
      <c r="P61" s="2">
        <f t="shared" si="13"/>
        <v>129.2591196009009</v>
      </c>
      <c r="Q61" s="2">
        <v>91.4</v>
      </c>
      <c r="R61" s="2">
        <f t="shared" si="14"/>
        <v>152.59364338005696</v>
      </c>
      <c r="S61" s="7">
        <v>107.9</v>
      </c>
      <c r="U61" s="2">
        <v>8</v>
      </c>
      <c r="V61" s="2">
        <f t="shared" si="15"/>
        <v>21.439477605576123</v>
      </c>
      <c r="W61" s="2">
        <v>15.16</v>
      </c>
      <c r="X61" s="2">
        <f t="shared" si="16"/>
        <v>154.43212101114199</v>
      </c>
      <c r="Y61" s="7">
        <v>109.2</v>
      </c>
      <c r="AB61" s="2">
        <f t="shared" si="17"/>
        <v>214.39477605576121</v>
      </c>
    </row>
    <row r="62" spans="2:28" x14ac:dyDescent="0.2">
      <c r="C62" s="2">
        <v>9</v>
      </c>
      <c r="D62" s="4">
        <f t="shared" si="9"/>
        <v>38.622172388409226</v>
      </c>
      <c r="E62" s="4">
        <v>27.31</v>
      </c>
      <c r="F62" s="2">
        <f t="shared" si="10"/>
        <v>172.39263325328031</v>
      </c>
      <c r="G62" s="2">
        <v>121.9</v>
      </c>
      <c r="I62" s="2">
        <v>9</v>
      </c>
      <c r="J62" s="4">
        <f t="shared" si="11"/>
        <v>75.900841892564017</v>
      </c>
      <c r="K62" s="4">
        <v>53.67</v>
      </c>
      <c r="L62" s="2">
        <f t="shared" si="12"/>
        <v>172.25121189704299</v>
      </c>
      <c r="M62" s="2">
        <v>121.8</v>
      </c>
      <c r="O62" s="2">
        <v>9</v>
      </c>
      <c r="P62" s="4">
        <f t="shared" si="13"/>
        <v>145.40943848320163</v>
      </c>
      <c r="Q62" s="4">
        <v>102.82</v>
      </c>
      <c r="R62" s="2">
        <f t="shared" si="14"/>
        <v>171.68552647209376</v>
      </c>
      <c r="S62" s="7">
        <v>121.4</v>
      </c>
      <c r="U62" s="2">
        <v>9</v>
      </c>
      <c r="V62" s="4">
        <f t="shared" si="15"/>
        <v>24.154767645332463</v>
      </c>
      <c r="W62" s="4">
        <v>17.079999999999998</v>
      </c>
      <c r="X62" s="2">
        <f t="shared" si="16"/>
        <v>173.66542545941607</v>
      </c>
      <c r="Y62" s="7">
        <v>122.8</v>
      </c>
      <c r="AB62" s="2">
        <f t="shared" si="17"/>
        <v>241.54767645332461</v>
      </c>
    </row>
    <row r="63" spans="2:28" x14ac:dyDescent="0.2">
      <c r="C63" s="5">
        <v>10</v>
      </c>
      <c r="D63" s="2">
        <f t="shared" si="9"/>
        <v>42.935523753647168</v>
      </c>
      <c r="E63" s="2">
        <v>30.36</v>
      </c>
      <c r="F63" s="2">
        <f t="shared" si="10"/>
        <v>191.62593770155439</v>
      </c>
      <c r="G63" s="2">
        <v>135.5</v>
      </c>
      <c r="I63" s="5">
        <v>10</v>
      </c>
      <c r="J63" s="2">
        <f t="shared" si="11"/>
        <v>84.357838995555127</v>
      </c>
      <c r="K63" s="2">
        <v>59.65</v>
      </c>
      <c r="L63" s="2">
        <f t="shared" si="12"/>
        <v>191.4845163453171</v>
      </c>
      <c r="M63" s="2">
        <v>135.4</v>
      </c>
      <c r="O63" s="5">
        <v>10</v>
      </c>
      <c r="P63" s="2">
        <f t="shared" si="13"/>
        <v>161.65875231486851</v>
      </c>
      <c r="Q63" s="2">
        <v>114.31</v>
      </c>
      <c r="R63" s="2">
        <f t="shared" si="14"/>
        <v>190.91883092036784</v>
      </c>
      <c r="S63" s="7">
        <v>135</v>
      </c>
      <c r="U63" s="5">
        <v>10</v>
      </c>
      <c r="V63" s="2">
        <f t="shared" si="15"/>
        <v>26.884199820712542</v>
      </c>
      <c r="W63" s="2">
        <v>19.010000000000002</v>
      </c>
      <c r="X63" s="2">
        <f t="shared" si="16"/>
        <v>193.0401512639275</v>
      </c>
      <c r="Y63" s="7">
        <v>136.5</v>
      </c>
      <c r="AB63" s="2">
        <f t="shared" si="17"/>
        <v>268.84199820712541</v>
      </c>
    </row>
    <row r="64" spans="2:28" x14ac:dyDescent="0.2">
      <c r="D64" s="1"/>
      <c r="E64" s="1"/>
      <c r="I64" s="1"/>
      <c r="J64" s="1"/>
      <c r="N64" s="1"/>
      <c r="O64" s="1"/>
      <c r="S64" s="1"/>
      <c r="T64" s="1"/>
    </row>
    <row r="65" spans="2:37" x14ac:dyDescent="0.2">
      <c r="B65" s="1" t="s">
        <v>40</v>
      </c>
      <c r="C65" s="1"/>
      <c r="D65" s="1"/>
      <c r="E65" s="1"/>
      <c r="F65" s="1"/>
      <c r="G65" s="1"/>
      <c r="H65" s="1" t="s">
        <v>40</v>
      </c>
      <c r="I65" s="1"/>
      <c r="J65" s="1"/>
      <c r="K65" s="1"/>
      <c r="L65" s="1"/>
      <c r="M65" s="1"/>
      <c r="N65" s="1" t="s">
        <v>40</v>
      </c>
      <c r="O65" s="1"/>
      <c r="P65" s="1"/>
      <c r="Q65" s="1"/>
      <c r="R65" s="1"/>
      <c r="T65" s="1" t="s">
        <v>40</v>
      </c>
      <c r="U65" s="1"/>
      <c r="V65" s="1"/>
      <c r="W65" s="1"/>
      <c r="X65" s="1"/>
    </row>
    <row r="66" spans="2:37" x14ac:dyDescent="0.2">
      <c r="B66" s="1" t="s">
        <v>37</v>
      </c>
      <c r="C66" s="1" t="s">
        <v>39</v>
      </c>
      <c r="D66" s="1" t="s">
        <v>42</v>
      </c>
      <c r="E66" s="1" t="s">
        <v>38</v>
      </c>
      <c r="F66" s="1" t="s">
        <v>41</v>
      </c>
      <c r="G66" s="1"/>
      <c r="H66" s="1" t="s">
        <v>37</v>
      </c>
      <c r="I66" s="1" t="s">
        <v>39</v>
      </c>
      <c r="J66" s="1" t="s">
        <v>42</v>
      </c>
      <c r="K66" s="1" t="s">
        <v>38</v>
      </c>
      <c r="L66" s="1" t="s">
        <v>41</v>
      </c>
      <c r="M66" s="1"/>
      <c r="N66" s="1" t="s">
        <v>37</v>
      </c>
      <c r="O66" s="1" t="s">
        <v>39</v>
      </c>
      <c r="P66" s="1" t="s">
        <v>42</v>
      </c>
      <c r="Q66" s="1" t="s">
        <v>38</v>
      </c>
      <c r="R66" s="1" t="s">
        <v>41</v>
      </c>
      <c r="T66" s="1" t="s">
        <v>37</v>
      </c>
      <c r="U66" s="1" t="s">
        <v>39</v>
      </c>
      <c r="V66" s="1" t="s">
        <v>42</v>
      </c>
      <c r="W66" s="1" t="s">
        <v>38</v>
      </c>
      <c r="X66" s="1" t="s">
        <v>41</v>
      </c>
    </row>
    <row r="67" spans="2:37" x14ac:dyDescent="0.2">
      <c r="B67" s="1">
        <v>1</v>
      </c>
      <c r="C67" s="1">
        <v>0.224</v>
      </c>
      <c r="D67" s="1">
        <v>2.0000000000000001E-4</v>
      </c>
      <c r="E67" s="1">
        <v>1.4999999999999999E-2</v>
      </c>
      <c r="F67" s="1">
        <v>2.5000000000000001E-2</v>
      </c>
      <c r="G67" s="1"/>
      <c r="H67" s="1">
        <v>1</v>
      </c>
      <c r="I67" s="1">
        <v>0.44019999999999998</v>
      </c>
      <c r="J67" s="1">
        <v>4.0000000000000002E-4</v>
      </c>
      <c r="K67" s="1">
        <v>0</v>
      </c>
      <c r="L67" s="1">
        <v>0.04</v>
      </c>
      <c r="M67" s="1"/>
      <c r="N67" s="1">
        <v>1</v>
      </c>
      <c r="O67" s="1">
        <v>0.84650000000000003</v>
      </c>
      <c r="P67" s="1">
        <v>6.9999999999999999E-4</v>
      </c>
      <c r="Q67" s="1">
        <v>7.0000000000000007E-2</v>
      </c>
      <c r="R67" s="1">
        <v>0.08</v>
      </c>
      <c r="T67" s="1">
        <v>1</v>
      </c>
      <c r="U67" s="1">
        <v>1.3932</v>
      </c>
      <c r="V67" s="1">
        <v>1.1000000000000001E-3</v>
      </c>
      <c r="W67" s="1">
        <v>-0.55000000000000004</v>
      </c>
      <c r="X67" s="1">
        <v>0.14000000000000001</v>
      </c>
    </row>
    <row r="68" spans="2:37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2:37" x14ac:dyDescent="0.2">
      <c r="C69" s="15" t="s">
        <v>49</v>
      </c>
      <c r="D69" s="2" t="s">
        <v>54</v>
      </c>
      <c r="I69" s="15" t="s">
        <v>49</v>
      </c>
      <c r="J69" s="2" t="s">
        <v>54</v>
      </c>
      <c r="O69" s="15" t="s">
        <v>49</v>
      </c>
      <c r="P69" s="2" t="s">
        <v>54</v>
      </c>
      <c r="U69" s="15" t="s">
        <v>49</v>
      </c>
      <c r="V69" s="2" t="s">
        <v>54</v>
      </c>
    </row>
    <row r="70" spans="2:37" x14ac:dyDescent="0.2">
      <c r="C70" s="15">
        <f>$X$18*$Y$18*Z20*$AA$27*$AB$19</f>
        <v>0.22110436372476736</v>
      </c>
      <c r="D70" s="2">
        <f>$X$18*$Y$18*$Z$20*$AB$19*$AD$23</f>
        <v>1.5248576808604645E-4</v>
      </c>
      <c r="I70" s="15">
        <f>$X$18*$Y$18*Z19*$AA$27*$AB$19</f>
        <v>0.44220872744953471</v>
      </c>
      <c r="J70" s="2">
        <f>$X$18*$Y$18*$Z$19*$AB$19*$AD$23</f>
        <v>3.0497153617209291E-4</v>
      </c>
      <c r="O70" s="15">
        <f>$X$18*$Y$18*Z18*$AA$27*$AB$19</f>
        <v>0.88441745489906942</v>
      </c>
      <c r="P70" s="2">
        <f>$X$18*$Y$18*$Z$18*$AB$19*$AD$23</f>
        <v>6.0994307234418582E-4</v>
      </c>
      <c r="U70" s="15">
        <f>$X$18*$Y$18*Z18*$AA$27*$AB$18</f>
        <v>1.424749420687998</v>
      </c>
      <c r="V70" s="2">
        <f>$X$18*$Y$18*$Z$18*$AB$18*$AD$23</f>
        <v>9.8258580737103311E-4</v>
      </c>
      <c r="Y70" s="1"/>
      <c r="Z70" s="1"/>
    </row>
    <row r="71" spans="2:37" x14ac:dyDescent="0.2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37" x14ac:dyDescent="0.2">
      <c r="Y72" s="1"/>
      <c r="Z72" s="1"/>
    </row>
    <row r="73" spans="2:37" x14ac:dyDescent="0.2">
      <c r="Y73" s="1"/>
      <c r="Z73" s="1"/>
    </row>
    <row r="74" spans="2:37" x14ac:dyDescent="0.2">
      <c r="Y74" s="1"/>
      <c r="Z74" s="1"/>
    </row>
    <row r="75" spans="2:37" x14ac:dyDescent="0.2">
      <c r="Y75" s="1"/>
      <c r="Z75" s="1"/>
    </row>
    <row r="76" spans="2:37" x14ac:dyDescent="0.2">
      <c r="Y76" s="1"/>
      <c r="Z76" s="1"/>
    </row>
    <row r="77" spans="2:37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37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37" x14ac:dyDescent="0.2">
      <c r="C79" s="3" t="s">
        <v>9</v>
      </c>
      <c r="D79" s="3" t="s">
        <v>14</v>
      </c>
      <c r="E79" s="3" t="s">
        <v>15</v>
      </c>
      <c r="F79" s="1"/>
      <c r="G79" s="3" t="s">
        <v>9</v>
      </c>
      <c r="H79" s="3" t="s">
        <v>14</v>
      </c>
      <c r="I79" s="3" t="s">
        <v>15</v>
      </c>
      <c r="J79" s="1"/>
      <c r="K79" s="3" t="s">
        <v>9</v>
      </c>
      <c r="L79" s="3" t="s">
        <v>14</v>
      </c>
      <c r="M79" s="3" t="s">
        <v>15</v>
      </c>
      <c r="N79" s="1"/>
      <c r="O79" s="3" t="s">
        <v>9</v>
      </c>
      <c r="P79" s="3" t="s">
        <v>14</v>
      </c>
      <c r="Q79" s="3" t="s">
        <v>15</v>
      </c>
      <c r="R79" s="1"/>
      <c r="S79" s="3" t="s">
        <v>9</v>
      </c>
      <c r="T79" s="3" t="s">
        <v>14</v>
      </c>
      <c r="U79" s="3" t="s">
        <v>15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3" t="s">
        <v>60</v>
      </c>
      <c r="AB80" s="3"/>
      <c r="AC80" s="1"/>
      <c r="AD80" s="3" t="s">
        <v>61</v>
      </c>
      <c r="AF80" s="3"/>
      <c r="AG80" s="1"/>
      <c r="AH80" s="1"/>
      <c r="AI80" s="1"/>
      <c r="AJ80" s="3" t="s">
        <v>62</v>
      </c>
    </row>
    <row r="81" spans="1:40" x14ac:dyDescent="0.2">
      <c r="C81" s="1" t="s">
        <v>11</v>
      </c>
      <c r="D81" s="1">
        <v>75</v>
      </c>
      <c r="E81" s="1"/>
      <c r="F81" s="1" t="s">
        <v>11</v>
      </c>
      <c r="G81" s="1">
        <v>150</v>
      </c>
      <c r="H81" s="1"/>
      <c r="I81" s="1" t="s">
        <v>11</v>
      </c>
      <c r="J81" s="1">
        <v>300</v>
      </c>
      <c r="K81" s="1"/>
      <c r="L81" s="1" t="s">
        <v>11</v>
      </c>
      <c r="M81" s="1">
        <v>300</v>
      </c>
      <c r="N81" s="1"/>
      <c r="O81" s="6" t="s">
        <v>11</v>
      </c>
      <c r="P81" s="6">
        <v>100</v>
      </c>
      <c r="Q81" s="1"/>
      <c r="R81" s="6" t="s">
        <v>11</v>
      </c>
      <c r="S81" s="6">
        <v>200</v>
      </c>
      <c r="T81" s="1"/>
      <c r="U81" s="6" t="s">
        <v>11</v>
      </c>
      <c r="V81" s="6">
        <v>300</v>
      </c>
      <c r="W81" s="1"/>
      <c r="X81" s="1"/>
      <c r="Y81" s="1"/>
      <c r="Z81" s="2" t="s">
        <v>11</v>
      </c>
      <c r="AA81" s="2" t="s">
        <v>3</v>
      </c>
      <c r="AC81" s="1"/>
      <c r="AD81" s="2" t="s">
        <v>11</v>
      </c>
      <c r="AE81" s="2" t="s">
        <v>3</v>
      </c>
      <c r="AG81" s="1"/>
      <c r="AH81" s="1"/>
      <c r="AI81" s="1" t="s">
        <v>10</v>
      </c>
      <c r="AJ81" s="2" t="s">
        <v>45</v>
      </c>
      <c r="AK81" s="2" t="s">
        <v>3</v>
      </c>
    </row>
    <row r="82" spans="1:40" x14ac:dyDescent="0.2">
      <c r="C82" s="1" t="s">
        <v>10</v>
      </c>
      <c r="D82" s="1">
        <v>2.5999999999999999E-2</v>
      </c>
      <c r="E82" s="1"/>
      <c r="F82" s="1" t="s">
        <v>10</v>
      </c>
      <c r="G82" s="1">
        <v>2.5999999999999999E-2</v>
      </c>
      <c r="H82" s="1"/>
      <c r="I82" s="1" t="s">
        <v>10</v>
      </c>
      <c r="J82" s="1">
        <v>2.5999999999999999E-2</v>
      </c>
      <c r="K82" s="1"/>
      <c r="L82" s="1" t="s">
        <v>10</v>
      </c>
      <c r="M82" s="1">
        <v>3.3000000000000002E-2</v>
      </c>
      <c r="N82" s="1"/>
      <c r="O82" s="6" t="s">
        <v>10</v>
      </c>
      <c r="P82" s="6">
        <v>4.1000000000000002E-2</v>
      </c>
      <c r="Q82" s="1"/>
      <c r="R82" s="6" t="s">
        <v>10</v>
      </c>
      <c r="S82" s="6">
        <v>4.1000000000000002E-2</v>
      </c>
      <c r="T82" s="1"/>
      <c r="U82" s="6" t="s">
        <v>10</v>
      </c>
      <c r="V82" s="6">
        <v>4.1000000000000002E-2</v>
      </c>
      <c r="W82" s="1"/>
      <c r="X82" s="1"/>
      <c r="Y82" s="1"/>
      <c r="Z82" s="2">
        <v>75</v>
      </c>
      <c r="AA82" s="2">
        <v>36.727126214829276</v>
      </c>
      <c r="AD82" s="2">
        <v>100</v>
      </c>
      <c r="AE82" s="2">
        <v>115.83823289398022</v>
      </c>
      <c r="AI82" s="1">
        <v>2.5999999999999999E-2</v>
      </c>
      <c r="AJ82" s="2">
        <f>J82^2*PI()</f>
        <v>2.1237166338267002E-3</v>
      </c>
      <c r="AK82" s="2">
        <v>138.80506114691929</v>
      </c>
    </row>
    <row r="83" spans="1:40" x14ac:dyDescent="0.2">
      <c r="A83" s="1"/>
      <c r="B83" s="1"/>
      <c r="C83" s="6" t="s">
        <v>35</v>
      </c>
      <c r="D83" s="6">
        <v>0.16</v>
      </c>
      <c r="E83" s="1"/>
      <c r="F83" s="6" t="s">
        <v>35</v>
      </c>
      <c r="G83" s="6">
        <v>0.16</v>
      </c>
      <c r="H83" s="1"/>
      <c r="I83" s="6" t="s">
        <v>35</v>
      </c>
      <c r="J83" s="6">
        <v>0.16300000000000001</v>
      </c>
      <c r="K83" s="1"/>
      <c r="L83" s="6" t="s">
        <v>35</v>
      </c>
      <c r="M83" s="6">
        <v>0.16300000000000001</v>
      </c>
      <c r="N83" s="1"/>
      <c r="O83" s="1" t="s">
        <v>35</v>
      </c>
      <c r="P83" s="1">
        <v>5.2999999999999999E-2</v>
      </c>
      <c r="Q83" s="1"/>
      <c r="R83" s="1" t="s">
        <v>35</v>
      </c>
      <c r="S83" s="1">
        <v>0.11</v>
      </c>
      <c r="T83" s="1"/>
      <c r="U83" s="1" t="s">
        <v>35</v>
      </c>
      <c r="V83" s="1">
        <v>0.16300000000000001</v>
      </c>
      <c r="X83" s="1"/>
      <c r="Y83" s="1"/>
      <c r="Z83" s="2">
        <v>150</v>
      </c>
      <c r="AA83" s="2">
        <v>72.195602359146505</v>
      </c>
      <c r="AD83" s="2">
        <v>200</v>
      </c>
      <c r="AE83" s="2">
        <v>232.87854731597756</v>
      </c>
      <c r="AI83" s="1">
        <v>3.3000000000000002E-2</v>
      </c>
      <c r="AJ83" s="2">
        <f>M82^2*PI()</f>
        <v>3.4211943997592849E-3</v>
      </c>
      <c r="AK83" s="2">
        <v>225.84990591098327</v>
      </c>
    </row>
    <row r="84" spans="1:40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>
        <v>300</v>
      </c>
      <c r="AA84" s="2">
        <v>138.80506114691929</v>
      </c>
      <c r="AD84" s="2">
        <v>300</v>
      </c>
      <c r="AE84" s="2">
        <v>348.92891224431378</v>
      </c>
      <c r="AI84" s="6">
        <v>4.1000000000000002E-2</v>
      </c>
      <c r="AJ84" s="2">
        <f>V82^2*PI()</f>
        <v>5.2810172506844427E-3</v>
      </c>
      <c r="AK84" s="2">
        <v>348.92891224431378</v>
      </c>
    </row>
    <row r="85" spans="1:40" x14ac:dyDescent="0.2">
      <c r="C85" s="2" t="s">
        <v>27</v>
      </c>
      <c r="D85" s="2" t="s">
        <v>24</v>
      </c>
      <c r="E85" s="1"/>
      <c r="F85" s="2" t="s">
        <v>27</v>
      </c>
      <c r="G85" s="2" t="s">
        <v>24</v>
      </c>
      <c r="H85" s="1"/>
      <c r="I85" s="2" t="s">
        <v>27</v>
      </c>
      <c r="J85" s="2" t="s">
        <v>24</v>
      </c>
      <c r="K85" s="1"/>
      <c r="L85" s="2" t="s">
        <v>27</v>
      </c>
      <c r="M85" s="2" t="s">
        <v>24</v>
      </c>
      <c r="N85" s="1"/>
      <c r="O85" s="2" t="s">
        <v>27</v>
      </c>
      <c r="P85" s="2" t="s">
        <v>24</v>
      </c>
      <c r="Q85" s="1"/>
      <c r="R85" s="2" t="s">
        <v>27</v>
      </c>
      <c r="S85" s="2" t="s">
        <v>24</v>
      </c>
      <c r="T85" s="1"/>
      <c r="U85" s="2" t="s">
        <v>27</v>
      </c>
      <c r="V85" s="2" t="s">
        <v>24</v>
      </c>
      <c r="W85" s="1"/>
      <c r="X85" s="1"/>
      <c r="Y85" s="1"/>
      <c r="Z85" s="1"/>
    </row>
    <row r="86" spans="1:40" x14ac:dyDescent="0.2">
      <c r="C86" s="2">
        <f>D86*SQRT(2)</f>
        <v>36.727126214829276</v>
      </c>
      <c r="D86" s="2">
        <v>25.97</v>
      </c>
      <c r="E86" s="1"/>
      <c r="F86" s="2">
        <f>G86*SQRT(2)</f>
        <v>72.195602359146505</v>
      </c>
      <c r="G86" s="2">
        <v>51.05</v>
      </c>
      <c r="H86" s="1"/>
      <c r="I86" s="2">
        <f>J86*SQRT(2)</f>
        <v>138.80506114691929</v>
      </c>
      <c r="J86" s="2">
        <v>98.15</v>
      </c>
      <c r="K86" s="1"/>
      <c r="L86" s="2">
        <f>M86*SQRT(2)</f>
        <v>225.84990591098327</v>
      </c>
      <c r="M86" s="2">
        <v>159.69999999999999</v>
      </c>
      <c r="N86" s="1"/>
      <c r="O86" s="2">
        <f>P86*SQRT(2)</f>
        <v>115.83823289398022</v>
      </c>
      <c r="P86" s="2">
        <v>81.91</v>
      </c>
      <c r="Q86" s="1"/>
      <c r="R86" s="2">
        <f>S86*SQRT(2)</f>
        <v>232.87854731597756</v>
      </c>
      <c r="S86" s="2">
        <v>164.67</v>
      </c>
      <c r="T86" s="1"/>
      <c r="U86" s="2">
        <f>V86*SQRT(2)</f>
        <v>348.92891224431378</v>
      </c>
      <c r="V86" s="2">
        <v>246.73</v>
      </c>
      <c r="W86" s="1"/>
      <c r="X86" s="1"/>
      <c r="Y86" s="1"/>
      <c r="Z86" s="1"/>
    </row>
    <row r="87" spans="1:40" x14ac:dyDescent="0.2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 t="s">
        <v>40</v>
      </c>
      <c r="Y87" s="1"/>
      <c r="Z87" s="1"/>
      <c r="AA87" s="1"/>
      <c r="AB87" s="1"/>
      <c r="AD87" s="1" t="s">
        <v>40</v>
      </c>
      <c r="AE87" s="1"/>
      <c r="AF87" s="1"/>
      <c r="AG87" s="1"/>
      <c r="AH87" s="1"/>
      <c r="AJ87" s="1" t="s">
        <v>40</v>
      </c>
      <c r="AK87" s="1"/>
      <c r="AL87" s="1"/>
      <c r="AM87" s="1"/>
      <c r="AN87" s="1"/>
    </row>
    <row r="88" spans="1:40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 t="s">
        <v>37</v>
      </c>
      <c r="Y88" s="1" t="s">
        <v>39</v>
      </c>
      <c r="Z88" s="1" t="s">
        <v>42</v>
      </c>
      <c r="AA88" s="1" t="s">
        <v>38</v>
      </c>
      <c r="AB88" s="1" t="s">
        <v>41</v>
      </c>
      <c r="AD88" s="1" t="s">
        <v>37</v>
      </c>
      <c r="AE88" s="1" t="s">
        <v>39</v>
      </c>
      <c r="AF88" s="1" t="s">
        <v>42</v>
      </c>
      <c r="AG88" s="1" t="s">
        <v>38</v>
      </c>
      <c r="AH88" s="1" t="s">
        <v>41</v>
      </c>
      <c r="AJ88" s="1" t="s">
        <v>37</v>
      </c>
      <c r="AK88" s="1" t="s">
        <v>39</v>
      </c>
      <c r="AL88" s="1" t="s">
        <v>42</v>
      </c>
      <c r="AM88" s="1" t="s">
        <v>38</v>
      </c>
      <c r="AN88" s="1" t="s">
        <v>41</v>
      </c>
    </row>
    <row r="89" spans="1:40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>
        <v>0.99980000000000002</v>
      </c>
      <c r="Y89" s="1">
        <v>0.45230599999999999</v>
      </c>
      <c r="Z89" s="1">
        <v>9.0000000000000006E-5</v>
      </c>
      <c r="AA89" s="1">
        <v>3.4220000000000002</v>
      </c>
      <c r="AB89" s="1">
        <v>1.7000000000000001E-2</v>
      </c>
      <c r="AD89" s="1">
        <v>1</v>
      </c>
      <c r="AE89" s="1">
        <v>1.1654</v>
      </c>
      <c r="AF89" s="1">
        <v>1E-4</v>
      </c>
      <c r="AG89" s="1">
        <v>-0.54</v>
      </c>
      <c r="AH89" s="1">
        <v>0.02</v>
      </c>
      <c r="AJ89" s="1">
        <v>1</v>
      </c>
      <c r="AK89" s="1">
        <v>66526</v>
      </c>
      <c r="AL89" s="1">
        <v>6</v>
      </c>
      <c r="AM89" s="1">
        <v>-2.2050000000000001</v>
      </c>
      <c r="AN89" s="1">
        <v>2.5000000000000001E-2</v>
      </c>
    </row>
    <row r="90" spans="1:40" x14ac:dyDescent="0.2">
      <c r="C90" s="3" t="s">
        <v>9</v>
      </c>
      <c r="D90" s="3" t="s">
        <v>16</v>
      </c>
      <c r="E90" s="3" t="s">
        <v>17</v>
      </c>
      <c r="F90" s="1"/>
      <c r="G90" s="3" t="s">
        <v>9</v>
      </c>
      <c r="H90" s="3" t="s">
        <v>16</v>
      </c>
      <c r="I90" s="3" t="s">
        <v>17</v>
      </c>
      <c r="J90" s="1"/>
      <c r="K90" s="3" t="s">
        <v>9</v>
      </c>
      <c r="L90" s="3" t="s">
        <v>16</v>
      </c>
      <c r="M90" s="3" t="s">
        <v>17</v>
      </c>
      <c r="N90" s="1"/>
      <c r="O90" s="3" t="s">
        <v>9</v>
      </c>
      <c r="P90" s="3" t="s">
        <v>16</v>
      </c>
      <c r="Q90" s="3" t="s">
        <v>17</v>
      </c>
      <c r="R90" s="1"/>
      <c r="S90" s="3" t="s">
        <v>9</v>
      </c>
      <c r="T90" s="3" t="s">
        <v>16</v>
      </c>
      <c r="U90" s="3" t="s">
        <v>17</v>
      </c>
      <c r="V90" s="1"/>
      <c r="W90" s="1"/>
      <c r="X90" s="1"/>
      <c r="Y90" s="1"/>
      <c r="Z90" s="1"/>
    </row>
    <row r="91" spans="1:40" x14ac:dyDescent="0.2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40" x14ac:dyDescent="0.2">
      <c r="C92" s="1" t="s">
        <v>11</v>
      </c>
      <c r="D92" s="1">
        <v>75</v>
      </c>
      <c r="E92" s="1"/>
      <c r="F92" s="1" t="s">
        <v>11</v>
      </c>
      <c r="G92" s="1">
        <v>150</v>
      </c>
      <c r="H92" s="1"/>
      <c r="I92" s="1" t="s">
        <v>11</v>
      </c>
      <c r="J92" s="1">
        <v>300</v>
      </c>
      <c r="K92" s="1"/>
      <c r="L92" s="1" t="s">
        <v>11</v>
      </c>
      <c r="M92" s="1">
        <v>300</v>
      </c>
      <c r="N92" s="1"/>
      <c r="O92" s="6" t="s">
        <v>11</v>
      </c>
      <c r="P92" s="6">
        <v>100</v>
      </c>
      <c r="Q92" s="1"/>
      <c r="R92" s="6" t="s">
        <v>11</v>
      </c>
      <c r="S92" s="6">
        <v>200</v>
      </c>
      <c r="T92" s="1"/>
      <c r="U92" s="6" t="s">
        <v>11</v>
      </c>
      <c r="V92" s="6">
        <v>300</v>
      </c>
      <c r="W92" s="1"/>
      <c r="X92" s="1"/>
      <c r="Y92" s="1"/>
      <c r="Z92" s="1"/>
    </row>
    <row r="93" spans="1:40" x14ac:dyDescent="0.2">
      <c r="C93" s="1" t="s">
        <v>10</v>
      </c>
      <c r="D93" s="1">
        <v>2.5999999999999999E-2</v>
      </c>
      <c r="E93" s="1"/>
      <c r="F93" s="1" t="s">
        <v>10</v>
      </c>
      <c r="G93" s="1">
        <v>2.5999999999999999E-2</v>
      </c>
      <c r="H93" s="1"/>
      <c r="I93" s="1" t="s">
        <v>10</v>
      </c>
      <c r="J93" s="1">
        <v>2.5999999999999999E-2</v>
      </c>
      <c r="K93" s="1"/>
      <c r="L93" s="1" t="s">
        <v>10</v>
      </c>
      <c r="M93" s="1">
        <v>3.3000000000000002E-2</v>
      </c>
      <c r="N93" s="1"/>
      <c r="O93" s="6" t="s">
        <v>10</v>
      </c>
      <c r="P93" s="6">
        <v>4.1000000000000002E-2</v>
      </c>
      <c r="Q93" s="1"/>
      <c r="R93" s="6" t="s">
        <v>10</v>
      </c>
      <c r="S93" s="6">
        <v>4.1000000000000002E-2</v>
      </c>
      <c r="T93" s="1"/>
      <c r="U93" s="6" t="s">
        <v>10</v>
      </c>
      <c r="V93" s="6">
        <v>4.1000000000000002E-2</v>
      </c>
      <c r="W93" s="1"/>
      <c r="X93" s="1"/>
      <c r="Y93" s="1"/>
      <c r="Z93" s="3" t="s">
        <v>60</v>
      </c>
      <c r="AB93" s="3"/>
      <c r="AC93" s="1"/>
      <c r="AD93" s="3" t="s">
        <v>61</v>
      </c>
      <c r="AF93" s="3"/>
      <c r="AG93" s="1"/>
      <c r="AH93" s="1"/>
      <c r="AI93" s="1"/>
      <c r="AJ93" s="3" t="s">
        <v>62</v>
      </c>
    </row>
    <row r="94" spans="1:40" x14ac:dyDescent="0.2">
      <c r="B94" s="1"/>
      <c r="C94" s="6" t="s">
        <v>35</v>
      </c>
      <c r="D94" s="6">
        <v>0.16</v>
      </c>
      <c r="E94" s="1"/>
      <c r="F94" s="6" t="s">
        <v>35</v>
      </c>
      <c r="G94" s="6">
        <v>0.16</v>
      </c>
      <c r="H94" s="1"/>
      <c r="I94" s="6" t="s">
        <v>35</v>
      </c>
      <c r="J94" s="6">
        <v>0.16300000000000001</v>
      </c>
      <c r="K94" s="1"/>
      <c r="L94" s="6" t="s">
        <v>35</v>
      </c>
      <c r="M94" s="6">
        <v>0.16300000000000001</v>
      </c>
      <c r="N94" s="1"/>
      <c r="O94" s="1" t="s">
        <v>35</v>
      </c>
      <c r="P94" s="1">
        <v>5.2999999999999999E-2</v>
      </c>
      <c r="Q94" s="1"/>
      <c r="R94" s="1" t="s">
        <v>35</v>
      </c>
      <c r="S94" s="1">
        <v>0.11</v>
      </c>
      <c r="T94" s="1"/>
      <c r="U94" s="1" t="s">
        <v>35</v>
      </c>
      <c r="V94" s="1">
        <v>0.16300000000000001</v>
      </c>
      <c r="W94" s="1"/>
      <c r="X94" s="1"/>
      <c r="Y94" s="1"/>
      <c r="Z94" s="2" t="s">
        <v>11</v>
      </c>
      <c r="AA94" s="2" t="s">
        <v>3</v>
      </c>
      <c r="AC94" s="1"/>
      <c r="AD94" s="2" t="s">
        <v>11</v>
      </c>
      <c r="AE94" s="2" t="s">
        <v>3</v>
      </c>
      <c r="AG94" s="1"/>
      <c r="AH94" s="1"/>
      <c r="AI94" s="1" t="s">
        <v>10</v>
      </c>
      <c r="AJ94" s="2" t="s">
        <v>45</v>
      </c>
      <c r="AK94" s="2" t="s">
        <v>3</v>
      </c>
    </row>
    <row r="95" spans="1:40" x14ac:dyDescent="0.2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Y95" s="1"/>
      <c r="Z95" s="2">
        <v>75</v>
      </c>
      <c r="AA95" s="2">
        <v>9.1782460198013887</v>
      </c>
      <c r="AD95" s="2">
        <v>100</v>
      </c>
      <c r="AE95" s="2">
        <v>28.963093757400991</v>
      </c>
      <c r="AI95" s="1">
        <v>2.5999999999999999E-2</v>
      </c>
      <c r="AJ95" s="2">
        <v>2.1237166338267002E-3</v>
      </c>
      <c r="AK95" s="2">
        <v>34.747227227506947</v>
      </c>
    </row>
    <row r="96" spans="1:40" x14ac:dyDescent="0.2">
      <c r="C96" s="2" t="s">
        <v>27</v>
      </c>
      <c r="D96" s="2" t="s">
        <v>24</v>
      </c>
      <c r="E96" s="1"/>
      <c r="F96" s="2" t="s">
        <v>27</v>
      </c>
      <c r="G96" s="2" t="s">
        <v>24</v>
      </c>
      <c r="H96" s="1"/>
      <c r="I96" s="2" t="s">
        <v>27</v>
      </c>
      <c r="J96" s="2" t="s">
        <v>24</v>
      </c>
      <c r="K96" s="1"/>
      <c r="L96" s="2" t="s">
        <v>27</v>
      </c>
      <c r="M96" s="2" t="s">
        <v>24</v>
      </c>
      <c r="N96" s="1"/>
      <c r="O96" s="2" t="s">
        <v>27</v>
      </c>
      <c r="P96" s="2" t="s">
        <v>24</v>
      </c>
      <c r="Q96" s="1"/>
      <c r="R96" s="2" t="s">
        <v>27</v>
      </c>
      <c r="S96" s="2" t="s">
        <v>24</v>
      </c>
      <c r="T96" s="1"/>
      <c r="U96" s="2" t="s">
        <v>27</v>
      </c>
      <c r="V96" s="2" t="s">
        <v>24</v>
      </c>
      <c r="W96" s="1"/>
      <c r="X96" s="1"/>
      <c r="Y96" s="1"/>
      <c r="Z96" s="2">
        <v>150</v>
      </c>
      <c r="AA96" s="2">
        <v>18.059507191504423</v>
      </c>
      <c r="AD96" s="2">
        <v>200</v>
      </c>
      <c r="AE96" s="2">
        <v>58.647436431612256</v>
      </c>
      <c r="AI96" s="1">
        <v>3.3000000000000002E-2</v>
      </c>
      <c r="AJ96" s="2">
        <v>3.4211943997592849E-3</v>
      </c>
      <c r="AK96" s="2">
        <v>56.70996385116112</v>
      </c>
    </row>
    <row r="97" spans="2:40" x14ac:dyDescent="0.2">
      <c r="C97" s="2">
        <f>D97*SQRT(2)</f>
        <v>9.1782460198013887</v>
      </c>
      <c r="D97" s="2">
        <v>6.49</v>
      </c>
      <c r="E97" s="1"/>
      <c r="F97" s="2">
        <f>G97*SQRT(2)</f>
        <v>18.059507191504423</v>
      </c>
      <c r="G97" s="2">
        <v>12.77</v>
      </c>
      <c r="H97" s="1"/>
      <c r="I97" s="2">
        <f>J97*SQRT(2)</f>
        <v>34.747227227506947</v>
      </c>
      <c r="J97" s="2">
        <v>24.57</v>
      </c>
      <c r="K97" s="1"/>
      <c r="L97" s="2">
        <f>M97*SQRT(2)</f>
        <v>56.70996385116112</v>
      </c>
      <c r="M97" s="2">
        <v>40.1</v>
      </c>
      <c r="N97" s="1"/>
      <c r="O97" s="2">
        <f>P97*SQRT(2)</f>
        <v>28.963093757400991</v>
      </c>
      <c r="P97" s="2">
        <v>20.48</v>
      </c>
      <c r="Q97" s="1"/>
      <c r="R97" s="2">
        <f>S97*SQRT(2)</f>
        <v>58.647436431612256</v>
      </c>
      <c r="S97" s="2">
        <v>41.47</v>
      </c>
      <c r="T97" s="1"/>
      <c r="U97" s="2">
        <f>V97*SQRT(2)</f>
        <v>91.216774773064643</v>
      </c>
      <c r="V97" s="2">
        <v>64.5</v>
      </c>
      <c r="W97" s="1" t="s">
        <v>32</v>
      </c>
      <c r="X97" s="1"/>
      <c r="Y97" s="1"/>
      <c r="Z97" s="2">
        <v>300</v>
      </c>
      <c r="AA97" s="2">
        <v>34.747227227506947</v>
      </c>
      <c r="AD97" s="2">
        <v>300</v>
      </c>
      <c r="AE97" s="2">
        <v>91.216774773064643</v>
      </c>
      <c r="AI97" s="6">
        <v>4.1000000000000002E-2</v>
      </c>
      <c r="AJ97" s="2">
        <v>5.2810172506844427E-3</v>
      </c>
      <c r="AK97" s="2">
        <v>91.216774773064643</v>
      </c>
    </row>
    <row r="98" spans="2:40" x14ac:dyDescent="0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">
        <v>36</v>
      </c>
      <c r="X98" s="1"/>
      <c r="Y98" s="1"/>
      <c r="Z98" s="1"/>
    </row>
    <row r="99" spans="2:40" x14ac:dyDescent="0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40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40" x14ac:dyDescent="0.2">
      <c r="C101" s="3" t="s">
        <v>9</v>
      </c>
      <c r="D101" s="3" t="s">
        <v>14</v>
      </c>
      <c r="E101" s="3" t="s">
        <v>15</v>
      </c>
      <c r="I101" s="3" t="s">
        <v>9</v>
      </c>
      <c r="J101" s="3" t="s">
        <v>16</v>
      </c>
      <c r="K101" s="3" t="s">
        <v>17</v>
      </c>
      <c r="O101" s="1"/>
      <c r="P101" s="1"/>
      <c r="Q101" s="1"/>
      <c r="R101" s="1"/>
      <c r="S101" s="1"/>
      <c r="T101" s="1"/>
      <c r="U101" s="1"/>
      <c r="V101" s="1"/>
      <c r="W101" s="1"/>
      <c r="X101" s="1" t="s">
        <v>40</v>
      </c>
      <c r="Y101" s="1"/>
      <c r="Z101" s="1"/>
      <c r="AA101" s="1"/>
      <c r="AB101" s="1"/>
      <c r="AD101" s="1" t="s">
        <v>40</v>
      </c>
      <c r="AE101" s="1"/>
      <c r="AF101" s="1"/>
      <c r="AG101" s="1"/>
      <c r="AH101" s="1"/>
      <c r="AJ101" s="1" t="s">
        <v>40</v>
      </c>
      <c r="AK101" s="1"/>
      <c r="AL101" s="1"/>
      <c r="AM101" s="1"/>
      <c r="AN101" s="1"/>
    </row>
    <row r="102" spans="2:40" x14ac:dyDescent="0.2">
      <c r="O102" s="3"/>
      <c r="P102" s="1"/>
      <c r="Q102" s="3"/>
      <c r="S102" s="1"/>
      <c r="T102" s="1"/>
      <c r="U102" s="1"/>
      <c r="V102" s="1"/>
      <c r="W102" s="1"/>
      <c r="X102" s="1" t="s">
        <v>37</v>
      </c>
      <c r="Y102" s="1" t="s">
        <v>39</v>
      </c>
      <c r="Z102" s="1" t="s">
        <v>42</v>
      </c>
      <c r="AA102" s="1" t="s">
        <v>38</v>
      </c>
      <c r="AB102" s="1" t="s">
        <v>41</v>
      </c>
      <c r="AD102" s="1" t="s">
        <v>37</v>
      </c>
      <c r="AE102" s="1" t="s">
        <v>39</v>
      </c>
      <c r="AF102" s="1" t="s">
        <v>42</v>
      </c>
      <c r="AG102" s="1" t="s">
        <v>38</v>
      </c>
      <c r="AH102" s="1" t="s">
        <v>41</v>
      </c>
      <c r="AJ102" s="1" t="s">
        <v>37</v>
      </c>
      <c r="AK102" s="1" t="s">
        <v>39</v>
      </c>
      <c r="AL102" s="1" t="s">
        <v>42</v>
      </c>
      <c r="AM102" s="1" t="s">
        <v>38</v>
      </c>
      <c r="AN102" s="1" t="s">
        <v>41</v>
      </c>
    </row>
    <row r="103" spans="2:40" x14ac:dyDescent="0.2">
      <c r="B103" s="1" t="s">
        <v>45</v>
      </c>
      <c r="C103" s="1" t="s">
        <v>64</v>
      </c>
      <c r="D103" s="1" t="s">
        <v>11</v>
      </c>
      <c r="E103" s="2" t="s">
        <v>63</v>
      </c>
      <c r="F103" s="2" t="s">
        <v>3</v>
      </c>
      <c r="I103" s="1" t="s">
        <v>45</v>
      </c>
      <c r="J103" s="1" t="s">
        <v>64</v>
      </c>
      <c r="K103" s="1" t="s">
        <v>11</v>
      </c>
      <c r="L103" s="2" t="s">
        <v>63</v>
      </c>
      <c r="M103" s="2" t="s">
        <v>3</v>
      </c>
      <c r="P103" s="1"/>
      <c r="Q103" s="2"/>
      <c r="R103" s="2"/>
      <c r="S103" s="1"/>
      <c r="T103" s="1"/>
      <c r="U103" s="1"/>
      <c r="V103" s="1"/>
      <c r="W103" s="1"/>
      <c r="X103" s="1">
        <v>0.99880000000000002</v>
      </c>
      <c r="Y103" s="1">
        <v>0.113298</v>
      </c>
      <c r="Z103" s="1">
        <v>9.0000000000000006E-5</v>
      </c>
      <c r="AA103" s="1">
        <v>0.83399999999999996</v>
      </c>
      <c r="AB103" s="1">
        <v>1.7000000000000001E-2</v>
      </c>
      <c r="AD103" s="1">
        <v>0.99929999999999997</v>
      </c>
      <c r="AE103" s="1">
        <v>0.31126799999999999</v>
      </c>
      <c r="AF103" s="1">
        <v>1E-4</v>
      </c>
      <c r="AG103" s="1">
        <v>-2.645</v>
      </c>
      <c r="AH103" s="1">
        <v>0.02</v>
      </c>
      <c r="AJ103" s="1">
        <v>0.99939999999999996</v>
      </c>
      <c r="AK103" s="1">
        <v>17932</v>
      </c>
      <c r="AL103" s="1">
        <v>6</v>
      </c>
      <c r="AM103" s="1">
        <v>-3.82</v>
      </c>
      <c r="AN103" s="1">
        <v>2.5000000000000001E-2</v>
      </c>
    </row>
    <row r="104" spans="2:40" x14ac:dyDescent="0.2">
      <c r="B104" s="1">
        <f>C104^2*PI()</f>
        <v>2.1237166338267002E-3</v>
      </c>
      <c r="C104" s="1">
        <v>2.5999999999999999E-2</v>
      </c>
      <c r="D104" s="1">
        <v>75</v>
      </c>
      <c r="E104" s="2">
        <f>B104*D104</f>
        <v>0.15927874753700252</v>
      </c>
      <c r="F104" s="2">
        <v>36.727126214829276</v>
      </c>
      <c r="I104" s="1">
        <f>J104^2*PI()</f>
        <v>2.1237166338267002E-3</v>
      </c>
      <c r="J104" s="1">
        <v>2.5999999999999999E-2</v>
      </c>
      <c r="K104" s="1">
        <v>75</v>
      </c>
      <c r="L104" s="2">
        <f>I104*K104</f>
        <v>0.15927874753700252</v>
      </c>
      <c r="M104" s="2">
        <v>9.1782460198013887</v>
      </c>
      <c r="Q104" s="2"/>
      <c r="R104" s="2"/>
    </row>
    <row r="105" spans="2:40" x14ac:dyDescent="0.2">
      <c r="B105" s="1">
        <f t="shared" ref="B105:B110" si="18">C105^2*PI()</f>
        <v>2.1237166338267002E-3</v>
      </c>
      <c r="C105" s="1">
        <v>2.5999999999999999E-2</v>
      </c>
      <c r="D105" s="1">
        <v>150</v>
      </c>
      <c r="E105" s="2">
        <f t="shared" ref="E105:E110" si="19">B105*D105</f>
        <v>0.31855749507400505</v>
      </c>
      <c r="F105" s="2">
        <v>72.195602359146505</v>
      </c>
      <c r="I105" s="1">
        <f t="shared" ref="I105:I110" si="20">J105^2*PI()</f>
        <v>2.1237166338267002E-3</v>
      </c>
      <c r="J105" s="1">
        <v>2.5999999999999999E-2</v>
      </c>
      <c r="K105" s="1">
        <v>150</v>
      </c>
      <c r="L105" s="2">
        <f t="shared" ref="L105:L110" si="21">I105*K105</f>
        <v>0.31855749507400505</v>
      </c>
      <c r="M105" s="2">
        <v>18.059507191504423</v>
      </c>
      <c r="Q105" s="2"/>
      <c r="R105" s="2"/>
    </row>
    <row r="106" spans="2:40" x14ac:dyDescent="0.2">
      <c r="B106" s="1">
        <f t="shared" si="18"/>
        <v>2.1237166338267002E-3</v>
      </c>
      <c r="C106" s="1">
        <v>2.5999999999999999E-2</v>
      </c>
      <c r="D106" s="1">
        <v>300</v>
      </c>
      <c r="E106" s="2">
        <f t="shared" si="19"/>
        <v>0.6371149901480101</v>
      </c>
      <c r="F106" s="2">
        <v>138.80506114691929</v>
      </c>
      <c r="I106" s="1">
        <f t="shared" si="20"/>
        <v>2.1237166338267002E-3</v>
      </c>
      <c r="J106" s="1">
        <v>2.5999999999999999E-2</v>
      </c>
      <c r="K106" s="1">
        <v>300</v>
      </c>
      <c r="L106" s="2">
        <f t="shared" si="21"/>
        <v>0.6371149901480101</v>
      </c>
      <c r="M106" s="2">
        <v>34.747227227506947</v>
      </c>
      <c r="Q106" s="2"/>
      <c r="R106" s="2"/>
    </row>
    <row r="107" spans="2:40" x14ac:dyDescent="0.2">
      <c r="B107" s="1">
        <f t="shared" si="18"/>
        <v>3.4211943997592849E-3</v>
      </c>
      <c r="C107" s="1">
        <v>3.3000000000000002E-2</v>
      </c>
      <c r="D107" s="1">
        <v>300</v>
      </c>
      <c r="E107" s="2">
        <f t="shared" si="19"/>
        <v>1.0263583199277855</v>
      </c>
      <c r="F107" s="2">
        <v>225.84990591098327</v>
      </c>
      <c r="I107" s="1">
        <f t="shared" si="20"/>
        <v>3.4211943997592849E-3</v>
      </c>
      <c r="J107" s="1">
        <v>3.3000000000000002E-2</v>
      </c>
      <c r="K107" s="1">
        <v>300</v>
      </c>
      <c r="L107" s="2">
        <f t="shared" si="21"/>
        <v>1.0263583199277855</v>
      </c>
      <c r="M107" s="2">
        <v>56.70996385116112</v>
      </c>
    </row>
    <row r="108" spans="2:40" x14ac:dyDescent="0.2">
      <c r="B108" s="1">
        <f t="shared" si="18"/>
        <v>5.2810172506844427E-3</v>
      </c>
      <c r="C108" s="1">
        <v>4.1000000000000002E-2</v>
      </c>
      <c r="D108" s="1">
        <v>100</v>
      </c>
      <c r="E108" s="2">
        <f t="shared" si="19"/>
        <v>0.52810172506844422</v>
      </c>
      <c r="F108" s="2">
        <v>115.83823289398022</v>
      </c>
      <c r="I108" s="1">
        <f t="shared" si="20"/>
        <v>5.2810172506844427E-3</v>
      </c>
      <c r="J108" s="1">
        <v>4.1000000000000002E-2</v>
      </c>
      <c r="K108" s="1">
        <v>100</v>
      </c>
      <c r="L108" s="2">
        <f t="shared" si="21"/>
        <v>0.52810172506844422</v>
      </c>
      <c r="M108" s="2">
        <v>28.963093757400991</v>
      </c>
    </row>
    <row r="109" spans="2:40" x14ac:dyDescent="0.2">
      <c r="B109" s="1">
        <f t="shared" si="18"/>
        <v>5.2810172506844427E-3</v>
      </c>
      <c r="C109" s="1">
        <v>4.1000000000000002E-2</v>
      </c>
      <c r="D109" s="1">
        <v>200</v>
      </c>
      <c r="E109" s="2">
        <f t="shared" si="19"/>
        <v>1.0562034501368884</v>
      </c>
      <c r="F109" s="2">
        <v>232.87854731597756</v>
      </c>
      <c r="I109" s="1">
        <f t="shared" si="20"/>
        <v>5.2810172506844427E-3</v>
      </c>
      <c r="J109" s="1">
        <v>4.1000000000000002E-2</v>
      </c>
      <c r="K109" s="1">
        <v>200</v>
      </c>
      <c r="L109" s="2">
        <f t="shared" si="21"/>
        <v>1.0562034501368884</v>
      </c>
      <c r="M109" s="2">
        <v>58.647436431612256</v>
      </c>
    </row>
    <row r="110" spans="2:40" x14ac:dyDescent="0.2">
      <c r="B110" s="1">
        <f t="shared" si="18"/>
        <v>5.2810172506844427E-3</v>
      </c>
      <c r="C110" s="1">
        <v>4.1000000000000002E-2</v>
      </c>
      <c r="D110" s="1">
        <v>300</v>
      </c>
      <c r="E110" s="2">
        <f t="shared" si="19"/>
        <v>1.5843051752053328</v>
      </c>
      <c r="F110" s="2">
        <v>348.92891224431378</v>
      </c>
      <c r="I110" s="1">
        <f t="shared" si="20"/>
        <v>5.2810172506844427E-3</v>
      </c>
      <c r="J110" s="1">
        <v>4.1000000000000002E-2</v>
      </c>
      <c r="K110" s="1">
        <v>300</v>
      </c>
      <c r="L110" s="2">
        <f t="shared" si="21"/>
        <v>1.5843051752053328</v>
      </c>
      <c r="M110" s="2">
        <v>91.216774773064643</v>
      </c>
    </row>
    <row r="113" spans="2:13" x14ac:dyDescent="0.2">
      <c r="B113" s="1" t="s">
        <v>40</v>
      </c>
      <c r="C113" s="1"/>
      <c r="D113" s="1"/>
      <c r="E113" s="1"/>
      <c r="F113" s="1"/>
      <c r="I113" s="1" t="s">
        <v>40</v>
      </c>
      <c r="J113" s="1"/>
      <c r="K113" s="1"/>
      <c r="L113" s="1"/>
      <c r="M113" s="1"/>
    </row>
    <row r="114" spans="2:13" x14ac:dyDescent="0.2">
      <c r="B114" s="1" t="s">
        <v>37</v>
      </c>
      <c r="C114" s="1" t="s">
        <v>39</v>
      </c>
      <c r="D114" s="1" t="s">
        <v>42</v>
      </c>
      <c r="E114" s="1" t="s">
        <v>38</v>
      </c>
      <c r="F114" s="1" t="s">
        <v>41</v>
      </c>
      <c r="I114" s="1" t="s">
        <v>37</v>
      </c>
      <c r="J114" s="1" t="s">
        <v>39</v>
      </c>
      <c r="K114" s="1" t="s">
        <v>42</v>
      </c>
      <c r="L114" s="1" t="s">
        <v>38</v>
      </c>
      <c r="M114" s="1" t="s">
        <v>41</v>
      </c>
    </row>
    <row r="115" spans="2:13" x14ac:dyDescent="0.2">
      <c r="B115" s="1">
        <v>0.99990000000000001</v>
      </c>
      <c r="C115" s="1">
        <v>219.17</v>
      </c>
      <c r="D115" s="1">
        <v>1.2E-2</v>
      </c>
      <c r="E115" s="1">
        <v>1.0640000000000001</v>
      </c>
      <c r="F115" s="1">
        <v>0.01</v>
      </c>
      <c r="I115" s="1">
        <v>0.99870000000000003</v>
      </c>
      <c r="J115" s="1">
        <v>57.167999999999999</v>
      </c>
      <c r="K115" s="1">
        <v>1.2E-2</v>
      </c>
      <c r="L115" s="1">
        <v>-0.86199999999999999</v>
      </c>
      <c r="M115" s="1">
        <v>0.01</v>
      </c>
    </row>
    <row r="119" spans="2:13" x14ac:dyDescent="0.2">
      <c r="C119" t="s">
        <v>84</v>
      </c>
    </row>
    <row r="125" spans="2:13" x14ac:dyDescent="0.2">
      <c r="C125" s="3"/>
      <c r="D125" s="3"/>
      <c r="E125" s="3"/>
    </row>
    <row r="131" spans="3:19" ht="17" thickBot="1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3:19" ht="17" thickBot="1" x14ac:dyDescent="0.25">
      <c r="C132" s="18" t="s">
        <v>65</v>
      </c>
      <c r="D132" s="18" t="s">
        <v>66</v>
      </c>
      <c r="E132" s="18"/>
      <c r="F132" s="18"/>
      <c r="G132" s="19" t="s">
        <v>67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1"/>
    </row>
    <row r="133" spans="3:19" ht="18" thickBot="1" x14ac:dyDescent="0.25">
      <c r="C133" s="22" t="s">
        <v>68</v>
      </c>
      <c r="D133" s="22" t="s">
        <v>69</v>
      </c>
      <c r="E133" s="22" t="s">
        <v>70</v>
      </c>
      <c r="F133" s="22" t="s">
        <v>71</v>
      </c>
      <c r="G133" s="23" t="s">
        <v>72</v>
      </c>
      <c r="H133" s="23" t="s">
        <v>73</v>
      </c>
      <c r="I133" s="23" t="s">
        <v>74</v>
      </c>
      <c r="J133" s="23" t="s">
        <v>75</v>
      </c>
      <c r="K133" s="23" t="s">
        <v>76</v>
      </c>
      <c r="L133" s="23" t="s">
        <v>77</v>
      </c>
      <c r="M133" s="23" t="s">
        <v>78</v>
      </c>
      <c r="N133" s="23" t="s">
        <v>79</v>
      </c>
      <c r="O133" s="24" t="s">
        <v>80</v>
      </c>
      <c r="P133" s="24" t="s">
        <v>81</v>
      </c>
      <c r="Q133" s="24" t="s">
        <v>82</v>
      </c>
      <c r="R133" s="23" t="s">
        <v>38</v>
      </c>
      <c r="S133" s="23" t="s">
        <v>39</v>
      </c>
    </row>
    <row r="134" spans="3:19" ht="17" thickBot="1" x14ac:dyDescent="0.25">
      <c r="C134">
        <v>0.15927874753700252</v>
      </c>
      <c r="D134">
        <v>9.1782460198013887</v>
      </c>
      <c r="E134" s="12">
        <v>0</v>
      </c>
      <c r="F134" s="12">
        <f>0.01*SQRT(2)</f>
        <v>1.4142135623730952E-2</v>
      </c>
      <c r="G134" s="9">
        <f>COUNTA(D134:D143)</f>
        <v>7</v>
      </c>
      <c r="H134" s="9">
        <f>SUM(C134:C143)</f>
        <v>5.3099199030974686</v>
      </c>
      <c r="I134" s="9">
        <f>SUM(D134:D143)</f>
        <v>297.52224925205178</v>
      </c>
      <c r="J134" s="12">
        <f>C134*D134</f>
        <v>1.4618995306204436</v>
      </c>
      <c r="K134" s="9">
        <f>SUM(J134:J143)</f>
        <v>309.31190627384478</v>
      </c>
      <c r="L134" s="12">
        <f>C134^2</f>
        <v>2.5369719416956187E-2</v>
      </c>
      <c r="M134" s="9">
        <f>SUM(L134:L143)</f>
        <v>5.4906555569247999</v>
      </c>
      <c r="N134" s="9">
        <f>(G134*M134)-(H134^2)</f>
        <v>10.239339521162968</v>
      </c>
      <c r="O134" s="9">
        <f>SQRT(F134^2+(S134*E134)^2)</f>
        <v>1.4142135623730952E-2</v>
      </c>
      <c r="P134" s="9">
        <f>O134*SQRT(M134/N134)</f>
        <v>1.0355978163327081E-2</v>
      </c>
      <c r="Q134" s="9">
        <f>O134*SQRT(G134/N134)</f>
        <v>1.1693056440155697E-2</v>
      </c>
      <c r="R134" s="9">
        <f>(M134*I134-H134*K134)/N134</f>
        <v>-0.86228767057828026</v>
      </c>
      <c r="S134" s="9">
        <f>((G134*K134)-(H134*I134))/N134</f>
        <v>57.168143491020125</v>
      </c>
    </row>
    <row r="135" spans="3:19" ht="17" thickBot="1" x14ac:dyDescent="0.25">
      <c r="C135">
        <v>0.31855749507400505</v>
      </c>
      <c r="D135">
        <v>18.059507191504423</v>
      </c>
      <c r="E135" s="12">
        <v>0</v>
      </c>
      <c r="F135" s="12">
        <f t="shared" ref="F135:F143" si="22">0.01*SQRT(2)</f>
        <v>1.4142135623730952E-2</v>
      </c>
      <c r="G135" s="10"/>
      <c r="H135" s="10"/>
      <c r="I135" s="10"/>
      <c r="J135" s="13">
        <f t="shared" ref="J134:J142" si="23">C135*D135</f>
        <v>5.7529913731966289</v>
      </c>
      <c r="K135" s="10"/>
      <c r="L135" s="13">
        <f t="shared" ref="L134:L142" si="24">C135^2</f>
        <v>0.10147887766782475</v>
      </c>
      <c r="M135" s="10"/>
      <c r="N135" s="10"/>
      <c r="O135" s="10"/>
      <c r="P135" s="10"/>
      <c r="Q135" s="10"/>
      <c r="R135" s="10"/>
      <c r="S135" s="10"/>
    </row>
    <row r="136" spans="3:19" ht="17" thickBot="1" x14ac:dyDescent="0.25">
      <c r="C136">
        <v>0.6371149901480101</v>
      </c>
      <c r="D136">
        <v>34.747227227506947</v>
      </c>
      <c r="E136" s="12">
        <v>0</v>
      </c>
      <c r="F136" s="12">
        <f t="shared" si="22"/>
        <v>1.4142135623730952E-2</v>
      </c>
      <c r="G136" s="10"/>
      <c r="H136" s="10"/>
      <c r="I136" s="10"/>
      <c r="J136" s="13">
        <f t="shared" si="23"/>
        <v>22.137979332723756</v>
      </c>
      <c r="K136" s="10"/>
      <c r="L136" s="13">
        <f t="shared" si="24"/>
        <v>0.405915510671299</v>
      </c>
      <c r="M136" s="10"/>
      <c r="N136" s="10"/>
      <c r="O136" s="10"/>
      <c r="P136" s="10"/>
      <c r="Q136" s="10"/>
      <c r="R136" s="10"/>
      <c r="S136" s="10"/>
    </row>
    <row r="137" spans="3:19" ht="17" thickBot="1" x14ac:dyDescent="0.25">
      <c r="C137">
        <v>1.0263583199277855</v>
      </c>
      <c r="D137">
        <v>56.70996385116112</v>
      </c>
      <c r="E137" s="12">
        <v>0</v>
      </c>
      <c r="F137" s="12">
        <f t="shared" si="22"/>
        <v>1.4142135623730952E-2</v>
      </c>
      <c r="G137" s="10"/>
      <c r="H137" s="10"/>
      <c r="I137" s="10"/>
      <c r="J137" s="13">
        <f t="shared" si="23"/>
        <v>58.204743221443174</v>
      </c>
      <c r="K137" s="10"/>
      <c r="L137" s="13">
        <f t="shared" si="24"/>
        <v>1.0534114008849864</v>
      </c>
      <c r="M137" s="10"/>
      <c r="N137" s="10"/>
      <c r="O137" s="10"/>
      <c r="P137" s="10"/>
      <c r="Q137" s="10"/>
      <c r="R137" s="10"/>
      <c r="S137" s="10"/>
    </row>
    <row r="138" spans="3:19" ht="17" thickBot="1" x14ac:dyDescent="0.25">
      <c r="C138">
        <v>0.52810172506844422</v>
      </c>
      <c r="D138">
        <v>28.963093757400991</v>
      </c>
      <c r="E138" s="12">
        <v>0</v>
      </c>
      <c r="F138" s="12">
        <f t="shared" si="22"/>
        <v>1.4142135623730952E-2</v>
      </c>
      <c r="G138" s="10"/>
      <c r="H138" s="10"/>
      <c r="I138" s="10"/>
      <c r="J138" s="13">
        <f t="shared" si="23"/>
        <v>15.29545977660255</v>
      </c>
      <c r="K138" s="10"/>
      <c r="L138" s="13">
        <f t="shared" si="24"/>
        <v>0.27889143202026662</v>
      </c>
      <c r="M138" s="10"/>
      <c r="N138" s="10"/>
      <c r="O138" s="10"/>
      <c r="P138" s="10"/>
      <c r="Q138" s="10"/>
      <c r="R138" s="10"/>
      <c r="S138" s="10"/>
    </row>
    <row r="139" spans="3:19" ht="17" thickBot="1" x14ac:dyDescent="0.25">
      <c r="C139">
        <v>1.0562034501368884</v>
      </c>
      <c r="D139">
        <v>58.647436431612256</v>
      </c>
      <c r="E139" s="12">
        <v>0</v>
      </c>
      <c r="F139" s="12">
        <f t="shared" si="22"/>
        <v>1.4142135623730952E-2</v>
      </c>
      <c r="G139" s="10"/>
      <c r="H139" s="10"/>
      <c r="I139" s="10"/>
      <c r="J139" s="13">
        <f t="shared" si="23"/>
        <v>61.943624700752707</v>
      </c>
      <c r="K139" s="10"/>
      <c r="L139" s="13">
        <f t="shared" si="24"/>
        <v>1.1155657280810665</v>
      </c>
      <c r="M139" s="10"/>
      <c r="N139" s="10"/>
      <c r="O139" s="10"/>
      <c r="P139" s="10"/>
      <c r="Q139" s="10"/>
      <c r="R139" s="10"/>
      <c r="S139" s="10"/>
    </row>
    <row r="140" spans="3:19" ht="17" thickBot="1" x14ac:dyDescent="0.25">
      <c r="C140">
        <v>1.5843051752053328</v>
      </c>
      <c r="D140">
        <v>91.216774773064643</v>
      </c>
      <c r="E140" s="12">
        <v>0</v>
      </c>
      <c r="F140" s="12">
        <f t="shared" si="22"/>
        <v>1.4142135623730952E-2</v>
      </c>
      <c r="G140" s="10"/>
      <c r="H140" s="10"/>
      <c r="I140" s="10"/>
      <c r="J140" s="13">
        <f t="shared" si="23"/>
        <v>144.51520833850554</v>
      </c>
      <c r="K140" s="10"/>
      <c r="L140" s="13">
        <f t="shared" si="24"/>
        <v>2.5100228881824003</v>
      </c>
      <c r="M140" s="10"/>
      <c r="N140" s="10"/>
      <c r="O140" s="10"/>
      <c r="P140" s="10"/>
      <c r="Q140" s="10"/>
      <c r="R140" s="10"/>
      <c r="S140" s="10"/>
    </row>
    <row r="141" spans="3:19" ht="17" thickBot="1" x14ac:dyDescent="0.25">
      <c r="E141" s="12">
        <v>0</v>
      </c>
      <c r="F141" s="12">
        <f t="shared" si="22"/>
        <v>1.4142135623730952E-2</v>
      </c>
      <c r="G141" s="10"/>
      <c r="H141" s="10"/>
      <c r="I141" s="10"/>
      <c r="J141" s="13">
        <f t="shared" si="23"/>
        <v>0</v>
      </c>
      <c r="K141" s="10"/>
      <c r="L141" s="13">
        <f t="shared" si="24"/>
        <v>0</v>
      </c>
      <c r="M141" s="10"/>
      <c r="N141" s="10"/>
      <c r="O141" s="10"/>
      <c r="P141" s="10"/>
      <c r="Q141" s="10"/>
      <c r="R141" s="10"/>
      <c r="S141" s="10"/>
    </row>
    <row r="142" spans="3:19" ht="17" thickBot="1" x14ac:dyDescent="0.25">
      <c r="E142" s="12">
        <v>0</v>
      </c>
      <c r="F142" s="12">
        <f t="shared" si="22"/>
        <v>1.4142135623730952E-2</v>
      </c>
      <c r="G142" s="10"/>
      <c r="H142" s="10"/>
      <c r="I142" s="10"/>
      <c r="J142" s="13">
        <f t="shared" si="23"/>
        <v>0</v>
      </c>
      <c r="K142" s="10"/>
      <c r="L142" s="13">
        <f t="shared" si="24"/>
        <v>0</v>
      </c>
      <c r="M142" s="10"/>
      <c r="N142" s="10"/>
      <c r="O142" s="10"/>
      <c r="P142" s="10"/>
      <c r="Q142" s="10"/>
      <c r="R142" s="10"/>
      <c r="S142" s="10"/>
    </row>
    <row r="143" spans="3:19" ht="17" thickBot="1" x14ac:dyDescent="0.25">
      <c r="E143" s="12">
        <v>0</v>
      </c>
      <c r="F143" s="12">
        <f t="shared" si="22"/>
        <v>1.4142135623730952E-2</v>
      </c>
      <c r="G143" s="11"/>
      <c r="H143" s="11"/>
      <c r="I143" s="11"/>
      <c r="J143" s="14">
        <f>C143*D143</f>
        <v>0</v>
      </c>
      <c r="K143" s="11"/>
      <c r="L143" s="14">
        <f>C143^2</f>
        <v>0</v>
      </c>
      <c r="M143" s="11"/>
      <c r="N143" s="11"/>
      <c r="O143" s="11"/>
      <c r="P143" s="11"/>
      <c r="Q143" s="11"/>
      <c r="R143" s="11"/>
      <c r="S143" s="11"/>
    </row>
    <row r="144" spans="3:19" ht="17" thickBot="1" x14ac:dyDescent="0.25">
      <c r="E144" s="12"/>
      <c r="F144" s="12"/>
      <c r="J144" s="14"/>
      <c r="L144" s="14"/>
    </row>
    <row r="146" spans="2:4" x14ac:dyDescent="0.2">
      <c r="C146" t="s">
        <v>63</v>
      </c>
      <c r="D146" t="s">
        <v>3</v>
      </c>
    </row>
    <row r="147" spans="2:4" x14ac:dyDescent="0.2">
      <c r="C147">
        <v>0.15927874753700252</v>
      </c>
      <c r="D147">
        <v>9.1782460198013887</v>
      </c>
    </row>
    <row r="148" spans="2:4" x14ac:dyDescent="0.2">
      <c r="C148">
        <v>0.31855749507400505</v>
      </c>
      <c r="D148">
        <v>18.059507191504423</v>
      </c>
    </row>
    <row r="149" spans="2:4" x14ac:dyDescent="0.2">
      <c r="C149">
        <v>0.6371149901480101</v>
      </c>
      <c r="D149">
        <v>34.747227227506947</v>
      </c>
    </row>
    <row r="150" spans="2:4" x14ac:dyDescent="0.2">
      <c r="C150">
        <v>1.0263583199277855</v>
      </c>
      <c r="D150">
        <v>56.70996385116112</v>
      </c>
    </row>
    <row r="151" spans="2:4" x14ac:dyDescent="0.2">
      <c r="C151">
        <v>0.52810172506844422</v>
      </c>
      <c r="D151">
        <v>28.963093757400991</v>
      </c>
    </row>
    <row r="152" spans="2:4" x14ac:dyDescent="0.2">
      <c r="C152">
        <v>1.0562034501368884</v>
      </c>
      <c r="D152">
        <v>58.647436431612256</v>
      </c>
    </row>
    <row r="153" spans="2:4" x14ac:dyDescent="0.2">
      <c r="C153">
        <v>1.5843051752053328</v>
      </c>
      <c r="D153">
        <v>91.216774773064643</v>
      </c>
    </row>
    <row r="156" spans="2:4" x14ac:dyDescent="0.2">
      <c r="C156" t="s">
        <v>83</v>
      </c>
      <c r="D156">
        <v>0</v>
      </c>
    </row>
    <row r="158" spans="2:4" x14ac:dyDescent="0.2">
      <c r="B158" s="1"/>
      <c r="C158" s="3" t="s">
        <v>61</v>
      </c>
    </row>
    <row r="159" spans="2:4" x14ac:dyDescent="0.2">
      <c r="B159" s="1" t="s">
        <v>10</v>
      </c>
      <c r="C159" s="2" t="s">
        <v>11</v>
      </c>
      <c r="D159" s="2" t="s">
        <v>3</v>
      </c>
    </row>
    <row r="160" spans="2:4" x14ac:dyDescent="0.2">
      <c r="B160" s="1">
        <v>2.5999999999999999E-2</v>
      </c>
      <c r="C160" s="2">
        <v>100</v>
      </c>
      <c r="D160" s="2">
        <v>28.963093757400991</v>
      </c>
    </row>
    <row r="161" spans="2:4" x14ac:dyDescent="0.2">
      <c r="B161" s="1">
        <v>3.3000000000000002E-2</v>
      </c>
      <c r="C161" s="2">
        <v>200</v>
      </c>
      <c r="D161" s="2">
        <v>58.647436431612256</v>
      </c>
    </row>
    <row r="162" spans="2:4" x14ac:dyDescent="0.2">
      <c r="B162" s="6">
        <v>4.1000000000000002E-2</v>
      </c>
      <c r="C162" s="2">
        <v>300</v>
      </c>
      <c r="D162" s="2">
        <v>91.216774773064643</v>
      </c>
    </row>
  </sheetData>
  <mergeCells count="12">
    <mergeCell ref="Q134:Q143"/>
    <mergeCell ref="R134:R143"/>
    <mergeCell ref="S134:S143"/>
    <mergeCell ref="G132:S132"/>
    <mergeCell ref="G134:G143"/>
    <mergeCell ref="H134:H143"/>
    <mergeCell ref="I134:I143"/>
    <mergeCell ref="K134:K143"/>
    <mergeCell ref="M134:M143"/>
    <mergeCell ref="N134:N143"/>
    <mergeCell ref="O134:O143"/>
    <mergeCell ref="P134:P1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Ribot Oliver</dc:creator>
  <cp:lastModifiedBy>Joan Ribot Oliver</cp:lastModifiedBy>
  <dcterms:created xsi:type="dcterms:W3CDTF">2023-03-02T16:50:08Z</dcterms:created>
  <dcterms:modified xsi:type="dcterms:W3CDTF">2023-03-15T17:32:41Z</dcterms:modified>
</cp:coreProperties>
</file>