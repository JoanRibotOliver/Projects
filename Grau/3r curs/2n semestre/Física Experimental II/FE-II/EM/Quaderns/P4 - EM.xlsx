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cat/Documents/"/>
    </mc:Choice>
  </mc:AlternateContent>
  <xr:revisionPtr revIDLastSave="1399" documentId="8_{B14592FD-84C8-D042-85B4-6EC1BB394E91}" xr6:coauthVersionLast="47" xr6:coauthVersionMax="47" xr10:uidLastSave="{6F071E32-3AD8-5745-B6ED-882062974CC3}"/>
  <bookViews>
    <workbookView xWindow="100" yWindow="500" windowWidth="28040" windowHeight="16360" activeTab="3" xr2:uid="{02F3EAFF-06C5-F245-B5A3-E362D58AA587}"/>
  </bookViews>
  <sheets>
    <sheet name="Muntatge i calibració" sheetId="1" r:id="rId1"/>
    <sheet name="Apartat 1" sheetId="2" r:id="rId2"/>
    <sheet name="Apartat 2" sheetId="3" r:id="rId3"/>
    <sheet name="Aparta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" l="1"/>
  <c r="G12" i="2"/>
  <c r="C27" i="2"/>
  <c r="C30" i="3"/>
  <c r="D64" i="2"/>
  <c r="Q13" i="4"/>
  <c r="Q14" i="4"/>
  <c r="Q15" i="4"/>
  <c r="Q16" i="4"/>
  <c r="Q17" i="4"/>
  <c r="Q12" i="4"/>
  <c r="G13" i="4"/>
  <c r="G14" i="4"/>
  <c r="G15" i="4"/>
  <c r="G16" i="4"/>
  <c r="Q19" i="4" s="1" a="1"/>
  <c r="Q19" i="4" s="1"/>
  <c r="G17" i="4"/>
  <c r="G12" i="4"/>
  <c r="O13" i="3"/>
  <c r="L15" i="4"/>
  <c r="N67" i="3" a="1"/>
  <c r="N67" i="3" s="1"/>
  <c r="E8" i="4"/>
  <c r="T75" i="3"/>
  <c r="O75" i="3"/>
  <c r="E75" i="3"/>
  <c r="J75" i="3"/>
  <c r="K61" i="3"/>
  <c r="K60" i="3"/>
  <c r="I59" i="3"/>
  <c r="G53" i="3"/>
  <c r="K53" i="3"/>
  <c r="S67" i="3" a="1"/>
  <c r="S67" i="3" s="1"/>
  <c r="I67" i="3" a="1"/>
  <c r="I67" i="3" s="1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D67" i="3" a="1"/>
  <c r="D67" i="3" s="1"/>
  <c r="C56" i="2" a="1"/>
  <c r="C56" i="2" s="1"/>
  <c r="B13" i="3"/>
  <c r="B14" i="3"/>
  <c r="B15" i="3"/>
  <c r="B16" i="3"/>
  <c r="B17" i="3"/>
  <c r="B18" i="3"/>
  <c r="B19" i="3"/>
  <c r="B20" i="3"/>
  <c r="B21" i="3"/>
  <c r="B22" i="3"/>
  <c r="B23" i="3"/>
  <c r="B24" i="3"/>
  <c r="B12" i="3"/>
  <c r="D63" i="2"/>
  <c r="S64" i="2"/>
  <c r="N64" i="2"/>
  <c r="I64" i="2"/>
  <c r="S63" i="2"/>
  <c r="N63" i="2"/>
  <c r="I63" i="2"/>
  <c r="H43" i="2"/>
  <c r="I48" i="2"/>
  <c r="I50" i="2"/>
  <c r="I51" i="2"/>
  <c r="I47" i="2"/>
  <c r="R56" i="2" a="1"/>
  <c r="R56" i="2" s="1"/>
  <c r="M56" i="2" a="1"/>
  <c r="M56" i="2" s="1"/>
  <c r="H56" i="2" a="1"/>
  <c r="H56" i="2" s="1"/>
  <c r="I52" i="2"/>
  <c r="I44" i="2"/>
  <c r="I43" i="2"/>
  <c r="L12" i="2"/>
  <c r="L13" i="2"/>
  <c r="L22" i="2"/>
  <c r="L21" i="2"/>
  <c r="L20" i="2"/>
  <c r="L19" i="2"/>
  <c r="L18" i="2"/>
  <c r="L17" i="2"/>
  <c r="L16" i="2"/>
  <c r="L15" i="2"/>
  <c r="L14" i="2"/>
  <c r="G13" i="2"/>
  <c r="G14" i="2"/>
  <c r="G15" i="2"/>
  <c r="G16" i="2"/>
  <c r="G17" i="2"/>
  <c r="G18" i="2"/>
  <c r="G19" i="2"/>
  <c r="G20" i="2"/>
  <c r="G21" i="2"/>
  <c r="G22" i="2"/>
  <c r="M27" i="2"/>
  <c r="R27" i="2"/>
  <c r="H27" i="2"/>
  <c r="E21" i="3"/>
  <c r="T12" i="3"/>
  <c r="T24" i="3"/>
  <c r="T23" i="3"/>
  <c r="T22" i="3"/>
  <c r="T21" i="3"/>
  <c r="T20" i="3"/>
  <c r="T19" i="3"/>
  <c r="T18" i="3"/>
  <c r="T17" i="3"/>
  <c r="T16" i="3"/>
  <c r="T15" i="3"/>
  <c r="T14" i="3"/>
  <c r="T13" i="3"/>
  <c r="O24" i="3"/>
  <c r="O23" i="3"/>
  <c r="O22" i="3"/>
  <c r="O21" i="3"/>
  <c r="O20" i="3"/>
  <c r="O19" i="3"/>
  <c r="O18" i="3"/>
  <c r="O17" i="3"/>
  <c r="O16" i="3"/>
  <c r="O15" i="3"/>
  <c r="O14" i="3"/>
  <c r="O12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E13" i="3"/>
  <c r="E14" i="3"/>
  <c r="E15" i="3"/>
  <c r="E16" i="3"/>
  <c r="E17" i="3"/>
  <c r="E18" i="3"/>
  <c r="E19" i="3"/>
  <c r="E20" i="3"/>
  <c r="E22" i="3"/>
  <c r="E23" i="3"/>
  <c r="E24" i="3"/>
  <c r="E12" i="3"/>
  <c r="T22" i="2"/>
  <c r="T21" i="2"/>
  <c r="T20" i="2"/>
  <c r="T19" i="2"/>
  <c r="T18" i="2"/>
  <c r="T17" i="2"/>
  <c r="T16" i="2"/>
  <c r="T15" i="2"/>
  <c r="T14" i="2"/>
  <c r="T13" i="2"/>
  <c r="T12" i="2"/>
  <c r="O22" i="2"/>
  <c r="O21" i="2"/>
  <c r="O20" i="2"/>
  <c r="O19" i="2"/>
  <c r="O18" i="2"/>
  <c r="O17" i="2"/>
  <c r="O16" i="2"/>
  <c r="O15" i="2"/>
  <c r="O14" i="2"/>
  <c r="O13" i="2"/>
  <c r="O12" i="2"/>
  <c r="J12" i="2"/>
  <c r="J22" i="2"/>
  <c r="J21" i="2"/>
  <c r="J20" i="2"/>
  <c r="J19" i="2"/>
  <c r="J18" i="2"/>
  <c r="J17" i="2"/>
  <c r="J16" i="2"/>
  <c r="J15" i="2"/>
  <c r="J14" i="2"/>
  <c r="J13" i="2"/>
  <c r="E13" i="2"/>
  <c r="E14" i="2"/>
  <c r="E15" i="2"/>
  <c r="E16" i="2"/>
  <c r="E17" i="2"/>
  <c r="E18" i="2"/>
  <c r="E19" i="2"/>
  <c r="E20" i="2"/>
  <c r="E21" i="2"/>
  <c r="E22" i="2"/>
  <c r="E12" i="2"/>
  <c r="E43" i="2"/>
  <c r="K62" i="3"/>
  <c r="I62" i="3"/>
  <c r="E62" i="3"/>
  <c r="E61" i="3"/>
  <c r="I60" i="3"/>
  <c r="E60" i="3"/>
  <c r="K59" i="3"/>
  <c r="E59" i="3"/>
  <c r="E58" i="3"/>
  <c r="K57" i="3"/>
  <c r="I57" i="3"/>
  <c r="E57" i="3"/>
  <c r="K56" i="3"/>
  <c r="I56" i="3"/>
  <c r="E56" i="3"/>
  <c r="K55" i="3"/>
  <c r="I55" i="3"/>
  <c r="E55" i="3"/>
  <c r="K54" i="3"/>
  <c r="I54" i="3"/>
  <c r="E54" i="3"/>
  <c r="H53" i="3"/>
  <c r="F53" i="3"/>
  <c r="E53" i="3"/>
  <c r="S30" i="3"/>
  <c r="N30" i="3"/>
  <c r="I30" i="3"/>
  <c r="F43" i="2"/>
  <c r="G43" i="2"/>
  <c r="K43" i="2"/>
  <c r="E44" i="2"/>
  <c r="K44" i="2"/>
  <c r="E45" i="2"/>
  <c r="K45" i="2"/>
  <c r="E46" i="2"/>
  <c r="I46" i="2"/>
  <c r="K46" i="2"/>
  <c r="E47" i="2"/>
  <c r="K47" i="2"/>
  <c r="E48" i="2"/>
  <c r="K48" i="2"/>
  <c r="L43" i="2" s="1"/>
  <c r="E49" i="2"/>
  <c r="I49" i="2"/>
  <c r="K49" i="2"/>
  <c r="E50" i="2"/>
  <c r="K50" i="2"/>
  <c r="E51" i="2"/>
  <c r="K51" i="2"/>
  <c r="E52" i="2"/>
  <c r="K52" i="2"/>
  <c r="I58" i="3" l="1"/>
  <c r="I53" i="3"/>
  <c r="K58" i="3"/>
  <c r="L53" i="3" s="1"/>
  <c r="M53" i="3" s="1"/>
  <c r="I61" i="3"/>
  <c r="J53" i="3" s="1"/>
  <c r="I45" i="2"/>
  <c r="J43" i="2"/>
  <c r="M43" i="2"/>
  <c r="Q43" i="2" s="1"/>
  <c r="Q53" i="3" l="1"/>
  <c r="R53" i="3"/>
  <c r="N53" i="3" s="1"/>
  <c r="P53" i="3" s="1"/>
  <c r="R43" i="2"/>
  <c r="N43" i="2" s="1"/>
  <c r="O53" i="3" l="1"/>
  <c r="O43" i="2"/>
  <c r="P4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<sst xmlns="http://schemas.openxmlformats.org/spreadsheetml/2006/main" count="386" uniqueCount="102">
  <si>
    <t>1,2 A</t>
  </si>
  <si>
    <t>5,0 A</t>
  </si>
  <si>
    <t>Placa</t>
  </si>
  <si>
    <t>Longitud (m)</t>
  </si>
  <si>
    <t>cm</t>
  </si>
  <si>
    <t>SF40</t>
  </si>
  <si>
    <t>SF39</t>
  </si>
  <si>
    <t>SF37</t>
  </si>
  <si>
    <t>SF38</t>
  </si>
  <si>
    <t>SF41</t>
  </si>
  <si>
    <t>SF42</t>
  </si>
  <si>
    <t>MUNTATGE / COSES IMPORTANTS:</t>
  </si>
  <si>
    <t>alinear alçada tq pista conductora i sonda teslametre quedin enmig de l'electroimant</t>
  </si>
  <si>
    <t>INCERTESES INSTRUMENTALS</t>
  </si>
  <si>
    <t>Bàscula</t>
  </si>
  <si>
    <t>0,01 g</t>
  </si>
  <si>
    <t>0,1 mT</t>
  </si>
  <si>
    <t>definir el zero en la bàscula amb l'electroimant a damunt I SENSE CORRENT!</t>
  </si>
  <si>
    <t>valors positius teslàmetre quan CAMP B dirigit cap a cara negra de la sonda</t>
  </si>
  <si>
    <t>Teslàmetre</t>
  </si>
  <si>
    <t>Corrent</t>
  </si>
  <si>
    <t>0,1 A</t>
  </si>
  <si>
    <t>APARTAT 0</t>
  </si>
  <si>
    <t>Mesurar signe força magnètica fent canvis de polaritat (a les fonts d'alimentació)</t>
  </si>
  <si>
    <t>així es canvia el sentit del corrent I en el conductor i en l'electroimant IB</t>
  </si>
  <si>
    <t>Comprovar que signe correcte amb eq. Vectorial</t>
  </si>
  <si>
    <t>I màx</t>
  </si>
  <si>
    <t>I</t>
  </si>
  <si>
    <t>F</t>
  </si>
  <si>
    <t>APARTAT 1</t>
  </si>
  <si>
    <t xml:space="preserve">I_B max </t>
  </si>
  <si>
    <t>F Vs. I</t>
  </si>
  <si>
    <t>F (N)</t>
  </si>
  <si>
    <t>I (A)</t>
  </si>
  <si>
    <t>I_B (A)</t>
  </si>
  <si>
    <t>4,2 cm</t>
  </si>
  <si>
    <t>8,4 cm</t>
  </si>
  <si>
    <t>m (g)</t>
  </si>
  <si>
    <t>Ajust lineal i comparar pendent amb eq. 4.2</t>
  </si>
  <si>
    <t>F = L·I·B</t>
  </si>
  <si>
    <t>Sin pesos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</si>
  <si>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</si>
  <si>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</si>
  <si>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</si>
  <si>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</si>
  <si>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</si>
  <si>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</si>
  <si>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</si>
  <si>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</si>
  <si>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</si>
  <si>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</si>
  <si>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</si>
  <si>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</si>
  <si>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</si>
  <si>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</si>
  <si>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</si>
  <si>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A</t>
  </si>
  <si>
    <t>B</t>
  </si>
  <si>
    <t>B (T)</t>
  </si>
  <si>
    <t>y = Bx + A</t>
  </si>
  <si>
    <t>R^2</t>
  </si>
  <si>
    <t>dB</t>
  </si>
  <si>
    <t>dA</t>
  </si>
  <si>
    <t>Pendent teo.</t>
  </si>
  <si>
    <t>L·B</t>
  </si>
  <si>
    <t>Força</t>
  </si>
  <si>
    <t>I*B dL + I*L dB + L*B dI</t>
  </si>
  <si>
    <t>L (m)</t>
  </si>
  <si>
    <t>APARTAT 2</t>
  </si>
  <si>
    <t>F Vs. B</t>
  </si>
  <si>
    <t>L·I</t>
  </si>
  <si>
    <t>APARTAT 3</t>
  </si>
  <si>
    <t>F Vs. L</t>
  </si>
  <si>
    <t>I·B</t>
  </si>
  <si>
    <t>fix ?</t>
  </si>
  <si>
    <t>incertesa…</t>
  </si>
  <si>
    <t>I dB + B dI</t>
  </si>
  <si>
    <t>0,17 mT al zero… error exp</t>
  </si>
  <si>
    <t>0,001 A</t>
  </si>
  <si>
    <t>B (mT)</t>
  </si>
  <si>
    <t>0,2 mt al zero… incertesa exp</t>
  </si>
  <si>
    <t>incertesa F</t>
  </si>
  <si>
    <t>Corrent (A)</t>
  </si>
  <si>
    <t>Bàscula (g)</t>
  </si>
  <si>
    <t>Teslàmetre (mT)</t>
  </si>
  <si>
    <t>OJO: incertesa força amb derivades F,B,L…</t>
  </si>
  <si>
    <t>PENDENT</t>
  </si>
  <si>
    <t>ORDENADA O</t>
  </si>
  <si>
    <t>ERROR ORDENADA</t>
  </si>
  <si>
    <t>ERROR PEND</t>
  </si>
  <si>
    <t>ERROR Y</t>
  </si>
  <si>
    <t>Valor teòric… eq. 4.2:</t>
  </si>
  <si>
    <t>F = I*L*B</t>
  </si>
  <si>
    <t>m = L*B</t>
  </si>
  <si>
    <t>coincideix… GOOD</t>
  </si>
  <si>
    <t>ERROR teo</t>
  </si>
  <si>
    <t>Error teo</t>
  </si>
  <si>
    <t>aprox coincideix</t>
  </si>
  <si>
    <t>?</t>
  </si>
  <si>
    <t>propagació error força</t>
  </si>
  <si>
    <t>AGRUPAR GRÀFICS AMB MATEIX I_B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</si>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</sst>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04F9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0" xfId="0" applyFill="1" applyAlignment="1">
      <alignment horizontal="left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6" borderId="0" xfId="0" applyFill="1"/>
    <xf numFmtId="0" fontId="0" fillId="0" borderId="9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/>
    <xf numFmtId="0" fontId="0" fillId="0" borderId="0" xfId="0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5" borderId="5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4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Força magnètica Vs. Intensitat de corrent en</a:t>
            </a:r>
            <a:r>
              <a:rPr lang="en-GB" sz="1200" baseline="0"/>
              <a:t> el conductor. I_B = 0,6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SF38: 4,2 cm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'Apartat 1'!$D$13:$D$22</c:f>
              <c:numCache>
                <c:formatCode>General</c:formatCode>
                <c:ptCount val="10"/>
                <c:pt idx="0">
                  <c:v>0.499</c:v>
                </c:pt>
                <c:pt idx="1">
                  <c:v>1.0029999999999999</c:v>
                </c:pt>
                <c:pt idx="2">
                  <c:v>1.5089999999999999</c:v>
                </c:pt>
                <c:pt idx="3">
                  <c:v>2.0070000000000001</c:v>
                </c:pt>
                <c:pt idx="4">
                  <c:v>2.5030000000000001</c:v>
                </c:pt>
                <c:pt idx="5">
                  <c:v>3.01</c:v>
                </c:pt>
                <c:pt idx="6">
                  <c:v>3.512</c:v>
                </c:pt>
                <c:pt idx="7">
                  <c:v>4.016</c:v>
                </c:pt>
                <c:pt idx="8">
                  <c:v>4.5060000000000002</c:v>
                </c:pt>
                <c:pt idx="9">
                  <c:v>5.0019999999999998</c:v>
                </c:pt>
              </c:numCache>
            </c:numRef>
          </c:xVal>
          <c:yVal>
            <c:numRef>
              <c:f>'Apartat 1'!$E$13:$E$22</c:f>
              <c:numCache>
                <c:formatCode>General</c:formatCode>
                <c:ptCount val="10"/>
                <c:pt idx="0">
                  <c:v>5.8799999999999998E-4</c:v>
                </c:pt>
                <c:pt idx="1">
                  <c:v>1.176E-3</c:v>
                </c:pt>
                <c:pt idx="2">
                  <c:v>1.7639999999999999E-3</c:v>
                </c:pt>
                <c:pt idx="3">
                  <c:v>2.3519999999999999E-3</c:v>
                </c:pt>
                <c:pt idx="4">
                  <c:v>2.8419999999999999E-3</c:v>
                </c:pt>
                <c:pt idx="5">
                  <c:v>3.4300000000000003E-3</c:v>
                </c:pt>
                <c:pt idx="6">
                  <c:v>4.0179999999999999E-3</c:v>
                </c:pt>
                <c:pt idx="7">
                  <c:v>4.6059999999999999E-3</c:v>
                </c:pt>
                <c:pt idx="8">
                  <c:v>5.1940000000000007E-3</c:v>
                </c:pt>
                <c:pt idx="9">
                  <c:v>5.6839999999999998E-3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D-FD4A-A86E-169B7EE6CC12}"/>
            </c:ext>
          </c:extLst>
        </c:ser>
        <c:ser>
          <c:idx val="1"/>
          <c:order val="1"/>
          <c:tx>
            <c:v>SF42: 8,4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'Apartat 1'!$I$13:$I$22</c:f>
              <c:numCache>
                <c:formatCode>General</c:formatCode>
                <c:ptCount val="10"/>
                <c:pt idx="0">
                  <c:v>0.505</c:v>
                </c:pt>
                <c:pt idx="1">
                  <c:v>1.002</c:v>
                </c:pt>
                <c:pt idx="2">
                  <c:v>1.4970000000000001</c:v>
                </c:pt>
                <c:pt idx="3">
                  <c:v>2.0089999999999999</c:v>
                </c:pt>
                <c:pt idx="4">
                  <c:v>2.4980000000000002</c:v>
                </c:pt>
                <c:pt idx="5">
                  <c:v>3</c:v>
                </c:pt>
                <c:pt idx="6">
                  <c:v>3.4910000000000001</c:v>
                </c:pt>
                <c:pt idx="7">
                  <c:v>3.996</c:v>
                </c:pt>
                <c:pt idx="8">
                  <c:v>4.5060000000000002</c:v>
                </c:pt>
                <c:pt idx="9">
                  <c:v>5.0039999999999996</c:v>
                </c:pt>
              </c:numCache>
            </c:numRef>
          </c:xVal>
          <c:yVal>
            <c:numRef>
              <c:f>'Apartat 1'!$J$13:$J$22</c:f>
              <c:numCache>
                <c:formatCode>General</c:formatCode>
                <c:ptCount val="10"/>
                <c:pt idx="0">
                  <c:v>1.078E-3</c:v>
                </c:pt>
                <c:pt idx="1">
                  <c:v>2.1559999999999999E-3</c:v>
                </c:pt>
                <c:pt idx="2">
                  <c:v>3.2340000000000003E-3</c:v>
                </c:pt>
                <c:pt idx="3">
                  <c:v>4.3119999999999999E-3</c:v>
                </c:pt>
                <c:pt idx="4">
                  <c:v>5.2920000000000007E-3</c:v>
                </c:pt>
                <c:pt idx="5">
                  <c:v>6.3700000000000007E-3</c:v>
                </c:pt>
                <c:pt idx="6">
                  <c:v>7.4480000000000006E-3</c:v>
                </c:pt>
                <c:pt idx="7">
                  <c:v>8.5260000000000006E-3</c:v>
                </c:pt>
                <c:pt idx="8">
                  <c:v>9.5060000000000006E-3</c:v>
                </c:pt>
                <c:pt idx="9">
                  <c:v>1.0584000000000001E-2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7-7C40-BE00-78C2FD66F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202928"/>
        <c:axId val="1567119232"/>
      </c:scatterChart>
      <c:valAx>
        <c:axId val="1564202928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</a:t>
                </a:r>
                <a:r>
                  <a:rPr lang="en-GB" baseline="0"/>
                  <a:t> (± 0,1 A)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567119232"/>
        <c:crosses val="autoZero"/>
        <c:crossBetween val="midCat"/>
      </c:valAx>
      <c:valAx>
        <c:axId val="1567119232"/>
        <c:scaling>
          <c:orientation val="minMax"/>
          <c:max val="1.2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56420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351851851851852"/>
          <c:y val="0.16786526684164479"/>
          <c:w val="0.14377843394575679"/>
          <c:h val="0.13389076365454319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Força magnètica Vs. Intensitat de corrent en el conductor. I_B = 1,1 A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SF38: 4,2 cm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'Apartat 1'!$N$13:$N$22</c:f>
              <c:numCache>
                <c:formatCode>General</c:formatCode>
                <c:ptCount val="10"/>
                <c:pt idx="0">
                  <c:v>0.499</c:v>
                </c:pt>
                <c:pt idx="1">
                  <c:v>1.008</c:v>
                </c:pt>
                <c:pt idx="2">
                  <c:v>1.506</c:v>
                </c:pt>
                <c:pt idx="3">
                  <c:v>2.004</c:v>
                </c:pt>
                <c:pt idx="4">
                  <c:v>2.4990000000000001</c:v>
                </c:pt>
                <c:pt idx="5">
                  <c:v>3.0019999999999998</c:v>
                </c:pt>
                <c:pt idx="6">
                  <c:v>3.5019999999999998</c:v>
                </c:pt>
                <c:pt idx="7">
                  <c:v>4.0129999999999999</c:v>
                </c:pt>
                <c:pt idx="8">
                  <c:v>4.49</c:v>
                </c:pt>
                <c:pt idx="9">
                  <c:v>4.9989999999999997</c:v>
                </c:pt>
              </c:numCache>
            </c:numRef>
          </c:xVal>
          <c:yVal>
            <c:numRef>
              <c:f>'Apartat 1'!$O$13:$O$22</c:f>
              <c:numCache>
                <c:formatCode>General</c:formatCode>
                <c:ptCount val="10"/>
                <c:pt idx="0">
                  <c:v>9.8000000000000019E-4</c:v>
                </c:pt>
                <c:pt idx="1">
                  <c:v>2.0580000000000004E-3</c:v>
                </c:pt>
                <c:pt idx="2">
                  <c:v>3.0380000000000003E-3</c:v>
                </c:pt>
                <c:pt idx="3">
                  <c:v>4.2140000000000007E-3</c:v>
                </c:pt>
                <c:pt idx="4">
                  <c:v>5.1940000000000007E-3</c:v>
                </c:pt>
                <c:pt idx="5">
                  <c:v>6.1740000000000007E-3</c:v>
                </c:pt>
                <c:pt idx="6">
                  <c:v>7.2520000000000006E-3</c:v>
                </c:pt>
                <c:pt idx="7">
                  <c:v>8.4280000000000015E-3</c:v>
                </c:pt>
                <c:pt idx="8">
                  <c:v>9.2119999999999997E-3</c:v>
                </c:pt>
                <c:pt idx="9">
                  <c:v>1.0192000000000001E-2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2-0B49-827F-1EA8DCD89ECA}"/>
            </c:ext>
          </c:extLst>
        </c:ser>
        <c:ser>
          <c:idx val="1"/>
          <c:order val="1"/>
          <c:tx>
            <c:v>SF42: 8,4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'Apartat 1'!$S$13:$S$22</c:f>
              <c:numCache>
                <c:formatCode>General</c:formatCode>
                <c:ptCount val="10"/>
                <c:pt idx="0">
                  <c:v>0.499</c:v>
                </c:pt>
                <c:pt idx="1">
                  <c:v>1.0009999999999999</c:v>
                </c:pt>
                <c:pt idx="2">
                  <c:v>1.508</c:v>
                </c:pt>
                <c:pt idx="3">
                  <c:v>1.996</c:v>
                </c:pt>
                <c:pt idx="4">
                  <c:v>2.4910000000000001</c:v>
                </c:pt>
                <c:pt idx="5">
                  <c:v>3.004</c:v>
                </c:pt>
                <c:pt idx="6">
                  <c:v>3.5139999999999998</c:v>
                </c:pt>
                <c:pt idx="7">
                  <c:v>4.0250000000000004</c:v>
                </c:pt>
                <c:pt idx="8">
                  <c:v>4.4960000000000004</c:v>
                </c:pt>
                <c:pt idx="9">
                  <c:v>5</c:v>
                </c:pt>
              </c:numCache>
            </c:numRef>
          </c:xVal>
          <c:yVal>
            <c:numRef>
              <c:f>'Apartat 1'!$T$13:$T$22</c:f>
              <c:numCache>
                <c:formatCode>General</c:formatCode>
                <c:ptCount val="10"/>
                <c:pt idx="0">
                  <c:v>1.9600000000000004E-3</c:v>
                </c:pt>
                <c:pt idx="1">
                  <c:v>3.8220000000000003E-3</c:v>
                </c:pt>
                <c:pt idx="2">
                  <c:v>5.9780000000000007E-3</c:v>
                </c:pt>
                <c:pt idx="3">
                  <c:v>7.7420000000000006E-3</c:v>
                </c:pt>
                <c:pt idx="4">
                  <c:v>9.5060000000000006E-3</c:v>
                </c:pt>
                <c:pt idx="5">
                  <c:v>1.1465999999999999E-2</c:v>
                </c:pt>
                <c:pt idx="6">
                  <c:v>1.3426000000000002E-2</c:v>
                </c:pt>
                <c:pt idx="7">
                  <c:v>1.5386E-2</c:v>
                </c:pt>
                <c:pt idx="8">
                  <c:v>1.7150000000000002E-2</c:v>
                </c:pt>
                <c:pt idx="9">
                  <c:v>1.8914E-2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D-B141-9D2F-9B4ACE94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677104"/>
        <c:axId val="1562344912"/>
      </c:scatterChart>
      <c:valAx>
        <c:axId val="151367710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 (± 0,1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562344912"/>
        <c:crosses val="autoZero"/>
        <c:crossBetween val="midCat"/>
      </c:valAx>
      <c:valAx>
        <c:axId val="1562344912"/>
        <c:scaling>
          <c:orientation val="minMax"/>
          <c:max val="2.5000000000000005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51367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5483267716535434"/>
          <c:y val="0.16647731533558305"/>
          <c:w val="0.14377843394575679"/>
          <c:h val="0.13389076365454319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Força magnètica Vs. Camp magnètic. I = 2,5 A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SF38: 4,2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0"/>
          </c:trendline>
          <c:xVal>
            <c:numRef>
              <c:f>'Apartat 2'!$B$12:$B$24</c:f>
              <c:numCache>
                <c:formatCode>General</c:formatCode>
                <c:ptCount val="13"/>
                <c:pt idx="0">
                  <c:v>1.9E-3</c:v>
                </c:pt>
                <c:pt idx="1">
                  <c:v>5.7000000000000002E-3</c:v>
                </c:pt>
                <c:pt idx="2">
                  <c:v>9.4000000000000004E-3</c:v>
                </c:pt>
                <c:pt idx="3">
                  <c:v>1.35E-2</c:v>
                </c:pt>
                <c:pt idx="4">
                  <c:v>1.77E-2</c:v>
                </c:pt>
                <c:pt idx="5">
                  <c:v>2.1999999999999999E-2</c:v>
                </c:pt>
                <c:pt idx="6">
                  <c:v>2.63E-2</c:v>
                </c:pt>
                <c:pt idx="7">
                  <c:v>3.1399999999999997E-2</c:v>
                </c:pt>
                <c:pt idx="8">
                  <c:v>3.5200000000000002E-2</c:v>
                </c:pt>
                <c:pt idx="9">
                  <c:v>3.9299999999999995E-2</c:v>
                </c:pt>
                <c:pt idx="10">
                  <c:v>4.4200000000000003E-2</c:v>
                </c:pt>
                <c:pt idx="11">
                  <c:v>4.82E-2</c:v>
                </c:pt>
                <c:pt idx="12">
                  <c:v>5.3100000000000001E-2</c:v>
                </c:pt>
              </c:numCache>
            </c:numRef>
          </c:xVal>
          <c:yVal>
            <c:numRef>
              <c:f>'Apartat 2'!$E$12:$E$24</c:f>
              <c:numCache>
                <c:formatCode>General</c:formatCode>
                <c:ptCount val="13"/>
                <c:pt idx="0">
                  <c:v>0</c:v>
                </c:pt>
                <c:pt idx="1">
                  <c:v>3.9200000000000004E-4</c:v>
                </c:pt>
                <c:pt idx="2">
                  <c:v>6.8600000000000019E-4</c:v>
                </c:pt>
                <c:pt idx="3">
                  <c:v>1.078E-3</c:v>
                </c:pt>
                <c:pt idx="4">
                  <c:v>1.47E-3</c:v>
                </c:pt>
                <c:pt idx="5">
                  <c:v>1.8620000000000002E-3</c:v>
                </c:pt>
                <c:pt idx="6">
                  <c:v>2.2540000000000004E-3</c:v>
                </c:pt>
                <c:pt idx="7">
                  <c:v>2.7440000000000008E-3</c:v>
                </c:pt>
                <c:pt idx="8">
                  <c:v>3.0380000000000003E-3</c:v>
                </c:pt>
                <c:pt idx="9">
                  <c:v>3.4300000000000003E-3</c:v>
                </c:pt>
                <c:pt idx="10">
                  <c:v>3.8220000000000003E-3</c:v>
                </c:pt>
                <c:pt idx="11">
                  <c:v>4.2140000000000007E-3</c:v>
                </c:pt>
                <c:pt idx="12">
                  <c:v>4.5080000000000007E-3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0-3241-B98A-1EE49F710C28}"/>
            </c:ext>
          </c:extLst>
        </c:ser>
        <c:ser>
          <c:idx val="1"/>
          <c:order val="1"/>
          <c:tx>
            <c:v>SF42: 8,4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0"/>
          </c:trendline>
          <c:xVal>
            <c:numRef>
              <c:f>'Apartat 2'!$G$12:$G$24</c:f>
              <c:numCache>
                <c:formatCode>General</c:formatCode>
                <c:ptCount val="13"/>
                <c:pt idx="0">
                  <c:v>1.2999999999999999E-3</c:v>
                </c:pt>
                <c:pt idx="1">
                  <c:v>5.1999999999999998E-3</c:v>
                </c:pt>
                <c:pt idx="2">
                  <c:v>9.300000000000001E-3</c:v>
                </c:pt>
                <c:pt idx="3">
                  <c:v>1.3300000000000001E-2</c:v>
                </c:pt>
                <c:pt idx="4">
                  <c:v>1.77E-2</c:v>
                </c:pt>
                <c:pt idx="5">
                  <c:v>2.18E-2</c:v>
                </c:pt>
                <c:pt idx="6">
                  <c:v>2.6100000000000002E-2</c:v>
                </c:pt>
                <c:pt idx="7">
                  <c:v>3.0899999999999997E-2</c:v>
                </c:pt>
                <c:pt idx="8">
                  <c:v>3.5000000000000003E-2</c:v>
                </c:pt>
                <c:pt idx="9">
                  <c:v>3.9299999999999995E-2</c:v>
                </c:pt>
                <c:pt idx="10">
                  <c:v>4.3799999999999999E-2</c:v>
                </c:pt>
                <c:pt idx="11">
                  <c:v>4.8000000000000001E-2</c:v>
                </c:pt>
                <c:pt idx="12">
                  <c:v>5.2200000000000003E-2</c:v>
                </c:pt>
              </c:numCache>
            </c:numRef>
          </c:xVal>
          <c:yVal>
            <c:numRef>
              <c:f>'Apartat 2'!$J$12:$J$24</c:f>
              <c:numCache>
                <c:formatCode>General</c:formatCode>
                <c:ptCount val="13"/>
                <c:pt idx="0">
                  <c:v>0</c:v>
                </c:pt>
                <c:pt idx="1">
                  <c:v>6.8600000000000019E-4</c:v>
                </c:pt>
                <c:pt idx="2">
                  <c:v>1.47E-3</c:v>
                </c:pt>
                <c:pt idx="3">
                  <c:v>2.2540000000000004E-3</c:v>
                </c:pt>
                <c:pt idx="4">
                  <c:v>3.0380000000000003E-3</c:v>
                </c:pt>
                <c:pt idx="5">
                  <c:v>3.8220000000000003E-3</c:v>
                </c:pt>
                <c:pt idx="6">
                  <c:v>4.6059999999999999E-3</c:v>
                </c:pt>
                <c:pt idx="7">
                  <c:v>5.5860000000000007E-3</c:v>
                </c:pt>
                <c:pt idx="8">
                  <c:v>6.1740000000000007E-3</c:v>
                </c:pt>
                <c:pt idx="9">
                  <c:v>7.0559999999999998E-3</c:v>
                </c:pt>
                <c:pt idx="10">
                  <c:v>7.8400000000000015E-3</c:v>
                </c:pt>
                <c:pt idx="11">
                  <c:v>8.5260000000000006E-3</c:v>
                </c:pt>
                <c:pt idx="12">
                  <c:v>9.3100000000000006E-3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0-3241-B98A-1EE49F71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456831"/>
        <c:axId val="587377695"/>
      </c:scatterChart>
      <c:valAx>
        <c:axId val="1079456831"/>
        <c:scaling>
          <c:orientation val="minMax"/>
          <c:max val="6.000000000000001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(±</a:t>
                </a:r>
                <a:r>
                  <a:rPr lang="en-GB" baseline="0"/>
                  <a:t> 0,0001 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87377695"/>
        <c:crosses val="autoZero"/>
        <c:crossBetween val="midCat"/>
      </c:valAx>
      <c:valAx>
        <c:axId val="587377695"/>
        <c:scaling>
          <c:orientation val="minMax"/>
          <c:max val="1.0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7945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8024365704286965"/>
          <c:y val="0.18033464566929136"/>
          <c:w val="0.14411202659992328"/>
          <c:h val="0.1341569480753275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Força magnètica Vs. Camp magnètic. I = 4,5 A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SF38: 4,2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.0000000000000002E-2"/>
            <c:dispRSqr val="0"/>
            <c:dispEq val="0"/>
          </c:trendline>
          <c:xVal>
            <c:numRef>
              <c:f>'Apartat 2'!$L$12:$L$24</c:f>
              <c:numCache>
                <c:formatCode>General</c:formatCode>
                <c:ptCount val="13"/>
                <c:pt idx="0">
                  <c:v>1.2999999999999999E-3</c:v>
                </c:pt>
                <c:pt idx="1">
                  <c:v>5.1999999999999998E-3</c:v>
                </c:pt>
                <c:pt idx="2">
                  <c:v>9.1000000000000004E-3</c:v>
                </c:pt>
                <c:pt idx="3">
                  <c:v>1.3699999999999999E-2</c:v>
                </c:pt>
                <c:pt idx="4">
                  <c:v>1.77E-2</c:v>
                </c:pt>
                <c:pt idx="5">
                  <c:v>2.2600000000000002E-2</c:v>
                </c:pt>
                <c:pt idx="6">
                  <c:v>2.6499999999999999E-2</c:v>
                </c:pt>
                <c:pt idx="7">
                  <c:v>3.0699999999999998E-2</c:v>
                </c:pt>
                <c:pt idx="8">
                  <c:v>3.4799999999999998E-2</c:v>
                </c:pt>
                <c:pt idx="9">
                  <c:v>3.9100000000000003E-2</c:v>
                </c:pt>
                <c:pt idx="10">
                  <c:v>4.3700000000000003E-2</c:v>
                </c:pt>
                <c:pt idx="11">
                  <c:v>4.7799999999999995E-2</c:v>
                </c:pt>
                <c:pt idx="12">
                  <c:v>5.21E-2</c:v>
                </c:pt>
              </c:numCache>
            </c:numRef>
          </c:xVal>
          <c:yVal>
            <c:numRef>
              <c:f>'Apartat 2'!$O$12:$O$24</c:f>
              <c:numCache>
                <c:formatCode>General</c:formatCode>
                <c:ptCount val="13"/>
                <c:pt idx="0">
                  <c:v>0</c:v>
                </c:pt>
                <c:pt idx="1">
                  <c:v>7.8400000000000008E-4</c:v>
                </c:pt>
                <c:pt idx="2">
                  <c:v>1.47E-3</c:v>
                </c:pt>
                <c:pt idx="3">
                  <c:v>2.2540000000000004E-3</c:v>
                </c:pt>
                <c:pt idx="4">
                  <c:v>2.9399999999999999E-3</c:v>
                </c:pt>
                <c:pt idx="5">
                  <c:v>3.8220000000000003E-3</c:v>
                </c:pt>
                <c:pt idx="6">
                  <c:v>4.6059999999999999E-3</c:v>
                </c:pt>
                <c:pt idx="7">
                  <c:v>5.3900000000000007E-3</c:v>
                </c:pt>
                <c:pt idx="8">
                  <c:v>6.0760000000000007E-3</c:v>
                </c:pt>
                <c:pt idx="9">
                  <c:v>6.8600000000000006E-3</c:v>
                </c:pt>
                <c:pt idx="10">
                  <c:v>7.7420000000000006E-3</c:v>
                </c:pt>
                <c:pt idx="11">
                  <c:v>8.5260000000000006E-3</c:v>
                </c:pt>
                <c:pt idx="12">
                  <c:v>9.2119999999999997E-3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F-2D43-A3D6-493BA905C041}"/>
            </c:ext>
          </c:extLst>
        </c:ser>
        <c:ser>
          <c:idx val="1"/>
          <c:order val="1"/>
          <c:tx>
            <c:v>SF42: 8,4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0"/>
            <c:dispEq val="0"/>
          </c:trendline>
          <c:xVal>
            <c:numRef>
              <c:f>'Apartat 2'!$Q$12:$Q$24</c:f>
              <c:numCache>
                <c:formatCode>General</c:formatCode>
                <c:ptCount val="13"/>
                <c:pt idx="0">
                  <c:v>1E-4</c:v>
                </c:pt>
                <c:pt idx="1">
                  <c:v>4.7999999999999996E-3</c:v>
                </c:pt>
                <c:pt idx="2">
                  <c:v>8.8000000000000005E-3</c:v>
                </c:pt>
                <c:pt idx="3">
                  <c:v>1.2999999999999999E-2</c:v>
                </c:pt>
                <c:pt idx="4">
                  <c:v>1.7100000000000001E-2</c:v>
                </c:pt>
                <c:pt idx="5">
                  <c:v>2.2100000000000002E-2</c:v>
                </c:pt>
                <c:pt idx="6">
                  <c:v>2.6100000000000002E-2</c:v>
                </c:pt>
                <c:pt idx="7">
                  <c:v>3.0699999999999998E-2</c:v>
                </c:pt>
                <c:pt idx="8">
                  <c:v>3.44E-2</c:v>
                </c:pt>
                <c:pt idx="9">
                  <c:v>3.9399999999999998E-2</c:v>
                </c:pt>
                <c:pt idx="10">
                  <c:v>4.41E-2</c:v>
                </c:pt>
                <c:pt idx="11">
                  <c:v>4.8000000000000001E-2</c:v>
                </c:pt>
                <c:pt idx="12">
                  <c:v>5.1999999999999998E-2</c:v>
                </c:pt>
              </c:numCache>
            </c:numRef>
          </c:xVal>
          <c:yVal>
            <c:numRef>
              <c:f>'Apartat 2'!$T$12:$T$24</c:f>
              <c:numCache>
                <c:formatCode>General</c:formatCode>
                <c:ptCount val="13"/>
                <c:pt idx="0">
                  <c:v>0</c:v>
                </c:pt>
                <c:pt idx="1">
                  <c:v>1.078E-3</c:v>
                </c:pt>
                <c:pt idx="2">
                  <c:v>2.2540000000000004E-3</c:v>
                </c:pt>
                <c:pt idx="3">
                  <c:v>3.6260000000000003E-3</c:v>
                </c:pt>
                <c:pt idx="4">
                  <c:v>5.0960000000000007E-3</c:v>
                </c:pt>
                <c:pt idx="5">
                  <c:v>7.2520000000000006E-3</c:v>
                </c:pt>
                <c:pt idx="6">
                  <c:v>8.5260000000000006E-3</c:v>
                </c:pt>
                <c:pt idx="7">
                  <c:v>1.0094000000000001E-2</c:v>
                </c:pt>
                <c:pt idx="8">
                  <c:v>1.1465999999999999E-2</c:v>
                </c:pt>
                <c:pt idx="9">
                  <c:v>1.3132000000000001E-2</c:v>
                </c:pt>
                <c:pt idx="10">
                  <c:v>1.4700000000000001E-2</c:v>
                </c:pt>
                <c:pt idx="11">
                  <c:v>1.5973999999999999E-2</c:v>
                </c:pt>
                <c:pt idx="12">
                  <c:v>1.7247999999999999E-2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F-2D43-A3D6-493BA905C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151999"/>
        <c:axId val="1090808495"/>
      </c:scatterChart>
      <c:valAx>
        <c:axId val="590151999"/>
        <c:scaling>
          <c:orientation val="minMax"/>
          <c:max val="6.000000000000001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(± 0,0001 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90808495"/>
        <c:crosses val="autoZero"/>
        <c:crossBetween val="midCat"/>
      </c:valAx>
      <c:valAx>
        <c:axId val="1090808495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9015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435185185185186"/>
          <c:y val="0.17773297224526857"/>
          <c:w val="0.143788823272091"/>
          <c:h val="0.1341957702603278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Força magnètica Vs. Longitud del conductor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0"/>
            <c:dispEq val="0"/>
          </c:trendline>
          <c:xVal>
            <c:numRef>
              <c:f>'Apartat 3'!$F$12:$F$17</c:f>
              <c:numCache>
                <c:formatCode>General</c:formatCode>
                <c:ptCount val="6"/>
                <c:pt idx="0">
                  <c:v>1.2E-2</c:v>
                </c:pt>
                <c:pt idx="1">
                  <c:v>2.1999999999999999E-2</c:v>
                </c:pt>
                <c:pt idx="2">
                  <c:v>3.2000000000000001E-2</c:v>
                </c:pt>
                <c:pt idx="3">
                  <c:v>4.2000000000000003E-2</c:v>
                </c:pt>
                <c:pt idx="4">
                  <c:v>6.4000000000000001E-2</c:v>
                </c:pt>
                <c:pt idx="5">
                  <c:v>8.4000000000000005E-2</c:v>
                </c:pt>
              </c:numCache>
            </c:numRef>
          </c:xVal>
          <c:yVal>
            <c:numRef>
              <c:f>'Apartat 3'!$G$12:$G$17</c:f>
              <c:numCache>
                <c:formatCode>General</c:formatCode>
                <c:ptCount val="6"/>
                <c:pt idx="0">
                  <c:v>2.9399999999999999E-3</c:v>
                </c:pt>
                <c:pt idx="1">
                  <c:v>4.9979999999999998E-3</c:v>
                </c:pt>
                <c:pt idx="2">
                  <c:v>7.0559999999999998E-3</c:v>
                </c:pt>
                <c:pt idx="3">
                  <c:v>9.1140000000000006E-3</c:v>
                </c:pt>
                <c:pt idx="4">
                  <c:v>1.2936000000000001E-2</c:v>
                </c:pt>
                <c:pt idx="5">
                  <c:v>1.6856000000000003E-2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C-5F4C-AE6D-1E38AB3C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460895"/>
        <c:axId val="943540943"/>
      </c:scatterChart>
      <c:valAx>
        <c:axId val="943460895"/>
        <c:scaling>
          <c:orientation val="minMax"/>
          <c:max val="0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 (</a:t>
                </a:r>
                <a:r>
                  <a:rPr lang="en-ES" sz="1000" b="0" i="0" u="none" strike="noStrike" baseline="0">
                    <a:effectLst/>
                  </a:rPr>
                  <a:t>±0,001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43540943"/>
        <c:crosses val="autoZero"/>
        <c:crossBetween val="midCat"/>
      </c:valAx>
      <c:valAx>
        <c:axId val="943540943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4346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29</xdr:row>
      <xdr:rowOff>0</xdr:rowOff>
    </xdr:from>
    <xdr:to>
      <xdr:col>9</xdr:col>
      <xdr:colOff>25400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B44F3-36D0-3E4B-DF92-FDF4E19A9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28</xdr:row>
      <xdr:rowOff>190500</xdr:rowOff>
    </xdr:from>
    <xdr:to>
      <xdr:col>17</xdr:col>
      <xdr:colOff>571500</xdr:colOff>
      <xdr:row>44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F4508-D654-EDB0-135B-78D5F1BA0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41</xdr:row>
      <xdr:rowOff>146050</xdr:rowOff>
    </xdr:from>
    <xdr:to>
      <xdr:col>7</xdr:col>
      <xdr:colOff>304800</xdr:colOff>
      <xdr:row>56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2DD604-263E-140D-9FCE-E0FDD9329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914400</xdr:colOff>
      <xdr:row>32</xdr:row>
      <xdr:rowOff>57150</xdr:rowOff>
    </xdr:from>
    <xdr:to>
      <xdr:col>18</xdr:col>
      <xdr:colOff>381000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F0E7F-B08B-A220-83EE-F95D789E7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20</xdr:row>
      <xdr:rowOff>69850</xdr:rowOff>
    </xdr:from>
    <xdr:to>
      <xdr:col>14</xdr:col>
      <xdr:colOff>298450</xdr:colOff>
      <xdr:row>33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2CF83-7CC3-1250-710A-6E3EF2050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E917-E1D2-634C-AE5A-9038F279DDC7}">
  <dimension ref="B3:L34"/>
  <sheetViews>
    <sheetView workbookViewId="0">
      <selection activeCell="B17" sqref="B17"/>
    </sheetView>
  </sheetViews>
  <sheetFormatPr baseColWidth="10" defaultRowHeight="16" x14ac:dyDescent="0.2"/>
  <sheetData>
    <row r="3" spans="2:12" ht="17" thickBot="1" x14ac:dyDescent="0.25"/>
    <row r="4" spans="2:12" x14ac:dyDescent="0.2">
      <c r="B4" s="4" t="s">
        <v>26</v>
      </c>
      <c r="C4" s="5" t="s">
        <v>30</v>
      </c>
      <c r="E4" s="2" t="s">
        <v>2</v>
      </c>
      <c r="F4" s="2" t="s">
        <v>3</v>
      </c>
      <c r="G4" s="2" t="s">
        <v>4</v>
      </c>
      <c r="L4" s="8" t="s">
        <v>11</v>
      </c>
    </row>
    <row r="5" spans="2:12" ht="17" thickBot="1" x14ac:dyDescent="0.25">
      <c r="B5" s="6" t="s">
        <v>1</v>
      </c>
      <c r="C5" s="7" t="s">
        <v>0</v>
      </c>
      <c r="E5" s="2" t="s">
        <v>5</v>
      </c>
      <c r="F5" s="2">
        <v>1.1999999999999999E-3</v>
      </c>
      <c r="G5" s="2">
        <v>1.2</v>
      </c>
    </row>
    <row r="6" spans="2:12" x14ac:dyDescent="0.2">
      <c r="E6" s="2" t="s">
        <v>7</v>
      </c>
      <c r="F6" s="2">
        <v>2.2000000000000001E-3</v>
      </c>
      <c r="G6" s="2">
        <v>2.2000000000000002</v>
      </c>
      <c r="L6" s="3" t="s">
        <v>12</v>
      </c>
    </row>
    <row r="7" spans="2:12" x14ac:dyDescent="0.2">
      <c r="E7" s="2" t="s">
        <v>6</v>
      </c>
      <c r="F7" s="2">
        <v>3.2000000000000002E-3</v>
      </c>
      <c r="G7" s="2">
        <v>3.2</v>
      </c>
    </row>
    <row r="8" spans="2:12" x14ac:dyDescent="0.2">
      <c r="E8" s="2" t="s">
        <v>8</v>
      </c>
      <c r="F8" s="2">
        <v>4.1999999999999997E-3</v>
      </c>
      <c r="G8" s="2">
        <v>4.2</v>
      </c>
      <c r="L8" s="3" t="s">
        <v>17</v>
      </c>
    </row>
    <row r="9" spans="2:12" x14ac:dyDescent="0.2">
      <c r="E9" s="2" t="s">
        <v>9</v>
      </c>
      <c r="F9" s="2">
        <v>6.4000000000000003E-3</v>
      </c>
      <c r="G9" s="2">
        <v>6.4</v>
      </c>
    </row>
    <row r="10" spans="2:12" x14ac:dyDescent="0.2">
      <c r="E10" s="2" t="s">
        <v>10</v>
      </c>
      <c r="F10" s="2">
        <v>8.3999999999999995E-3</v>
      </c>
      <c r="G10" s="2">
        <v>8.4</v>
      </c>
      <c r="L10" s="3" t="s">
        <v>18</v>
      </c>
    </row>
    <row r="13" spans="2:12" x14ac:dyDescent="0.2">
      <c r="B13" t="s">
        <v>13</v>
      </c>
    </row>
    <row r="14" spans="2:12" ht="17" thickBot="1" x14ac:dyDescent="0.25">
      <c r="G14" s="16" t="s">
        <v>22</v>
      </c>
    </row>
    <row r="15" spans="2:12" x14ac:dyDescent="0.2">
      <c r="B15" s="9" t="s">
        <v>14</v>
      </c>
      <c r="C15" s="14" t="s">
        <v>19</v>
      </c>
      <c r="D15" s="10" t="s">
        <v>20</v>
      </c>
    </row>
    <row r="16" spans="2:12" ht="17" thickBot="1" x14ac:dyDescent="0.25">
      <c r="B16" s="11" t="s">
        <v>15</v>
      </c>
      <c r="C16" s="15" t="s">
        <v>16</v>
      </c>
      <c r="D16" s="12" t="s">
        <v>21</v>
      </c>
      <c r="G16" s="13" t="s">
        <v>23</v>
      </c>
    </row>
    <row r="17" spans="3:11" x14ac:dyDescent="0.2">
      <c r="G17" t="s">
        <v>24</v>
      </c>
    </row>
    <row r="19" spans="3:11" x14ac:dyDescent="0.2">
      <c r="G19" t="s">
        <v>25</v>
      </c>
    </row>
    <row r="20" spans="3:11" x14ac:dyDescent="0.2">
      <c r="C20" t="s">
        <v>77</v>
      </c>
    </row>
    <row r="23" spans="3:11" x14ac:dyDescent="0.2">
      <c r="G23" s="1"/>
      <c r="H23" s="1"/>
      <c r="I23" s="1"/>
      <c r="J23" s="1"/>
      <c r="K23" s="1"/>
    </row>
    <row r="24" spans="3:11" x14ac:dyDescent="0.2">
      <c r="G24" s="1"/>
      <c r="H24" s="1"/>
      <c r="I24" s="1"/>
      <c r="J24" s="1"/>
      <c r="K24" s="1"/>
    </row>
    <row r="25" spans="3:11" x14ac:dyDescent="0.2">
      <c r="G25" s="1"/>
      <c r="H25" s="1"/>
      <c r="I25" s="1"/>
      <c r="J25" s="1"/>
      <c r="K25" s="1"/>
    </row>
    <row r="26" spans="3:11" x14ac:dyDescent="0.2">
      <c r="G26" s="1"/>
      <c r="H26" s="1"/>
      <c r="I26" s="1"/>
      <c r="J26" s="1"/>
      <c r="K26" s="1"/>
    </row>
    <row r="27" spans="3:11" x14ac:dyDescent="0.2">
      <c r="G27" s="1"/>
      <c r="H27" s="1"/>
      <c r="I27" s="1"/>
      <c r="J27" s="1"/>
      <c r="K27" s="1"/>
    </row>
    <row r="28" spans="3:11" x14ac:dyDescent="0.2">
      <c r="G28" s="1"/>
      <c r="H28" s="1"/>
      <c r="I28" s="1"/>
      <c r="J28" s="1"/>
      <c r="K28" s="1"/>
    </row>
    <row r="29" spans="3:11" x14ac:dyDescent="0.2">
      <c r="G29" s="1"/>
      <c r="H29" s="1"/>
      <c r="I29" s="1"/>
      <c r="J29" s="1"/>
      <c r="K29" s="1"/>
    </row>
    <row r="30" spans="3:11" x14ac:dyDescent="0.2">
      <c r="G30" s="1"/>
      <c r="H30" s="1"/>
      <c r="I30" s="1"/>
      <c r="J30" s="1"/>
      <c r="K30" s="1"/>
    </row>
    <row r="31" spans="3:11" x14ac:dyDescent="0.2">
      <c r="G31" s="1"/>
      <c r="H31" s="1"/>
      <c r="I31" s="1"/>
      <c r="J31" s="1"/>
    </row>
    <row r="32" spans="3:11" x14ac:dyDescent="0.2">
      <c r="G32" s="1"/>
      <c r="H32" s="1"/>
      <c r="I32" s="1"/>
      <c r="J32" s="1"/>
    </row>
    <row r="33" spans="7:10" x14ac:dyDescent="0.2">
      <c r="G33" s="1"/>
      <c r="H33" s="1"/>
      <c r="I33" s="1"/>
      <c r="J33" s="1"/>
    </row>
    <row r="34" spans="7:10" x14ac:dyDescent="0.2">
      <c r="J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9F37-00AE-9743-8172-054196628910}">
  <dimension ref="B2:V67"/>
  <sheetViews>
    <sheetView topLeftCell="C7" workbookViewId="0">
      <selection activeCell="G13" sqref="G13"/>
    </sheetView>
  </sheetViews>
  <sheetFormatPr baseColWidth="10" defaultRowHeight="16" x14ac:dyDescent="0.2"/>
  <cols>
    <col min="14" max="14" width="15.33203125" customWidth="1"/>
  </cols>
  <sheetData>
    <row r="2" spans="2:22" ht="17" thickBot="1" x14ac:dyDescent="0.25">
      <c r="B2" s="20" t="s">
        <v>29</v>
      </c>
      <c r="F2" s="16" t="s">
        <v>38</v>
      </c>
      <c r="G2" s="16"/>
      <c r="H2" s="16"/>
      <c r="I2" s="16"/>
      <c r="J2" s="16" t="s">
        <v>39</v>
      </c>
      <c r="M2" t="s">
        <v>13</v>
      </c>
    </row>
    <row r="3" spans="2:22" x14ac:dyDescent="0.2">
      <c r="B3" s="20" t="s">
        <v>31</v>
      </c>
      <c r="M3" s="29" t="s">
        <v>83</v>
      </c>
      <c r="N3" s="30" t="s">
        <v>84</v>
      </c>
      <c r="O3" s="30" t="s">
        <v>82</v>
      </c>
      <c r="P3" s="31" t="s">
        <v>3</v>
      </c>
      <c r="R3" s="29" t="s">
        <v>65</v>
      </c>
      <c r="S3" s="10"/>
    </row>
    <row r="4" spans="2:22" ht="17" thickBot="1" x14ac:dyDescent="0.25">
      <c r="M4" s="32">
        <v>0.01</v>
      </c>
      <c r="N4" s="33">
        <v>0.1</v>
      </c>
      <c r="O4" s="33">
        <v>1E-3</v>
      </c>
      <c r="P4" s="34">
        <v>1E-3</v>
      </c>
      <c r="R4" s="59" t="s">
        <v>66</v>
      </c>
      <c r="S4" s="12"/>
    </row>
    <row r="7" spans="2:22" x14ac:dyDescent="0.2">
      <c r="B7" s="2" t="s">
        <v>67</v>
      </c>
      <c r="C7" s="2" t="s">
        <v>79</v>
      </c>
      <c r="D7" s="18" t="s">
        <v>34</v>
      </c>
      <c r="E7" s="18" t="s">
        <v>8</v>
      </c>
      <c r="G7" s="2" t="s">
        <v>67</v>
      </c>
      <c r="H7" s="2" t="s">
        <v>58</v>
      </c>
      <c r="I7" s="18" t="s">
        <v>34</v>
      </c>
      <c r="J7" s="18" t="s">
        <v>10</v>
      </c>
      <c r="L7" s="2" t="s">
        <v>67</v>
      </c>
      <c r="M7" s="71" t="s">
        <v>79</v>
      </c>
      <c r="N7" s="18" t="s">
        <v>34</v>
      </c>
      <c r="O7" s="18" t="s">
        <v>8</v>
      </c>
      <c r="Q7" s="2" t="s">
        <v>67</v>
      </c>
      <c r="R7" s="2" t="s">
        <v>58</v>
      </c>
      <c r="S7" s="18" t="s">
        <v>34</v>
      </c>
      <c r="T7" s="18" t="s">
        <v>10</v>
      </c>
    </row>
    <row r="8" spans="2:22" x14ac:dyDescent="0.2">
      <c r="B8" s="2">
        <v>4.2000000000000003E-2</v>
      </c>
      <c r="C8" s="2">
        <v>27.3</v>
      </c>
      <c r="D8" s="18">
        <v>0.6</v>
      </c>
      <c r="E8" s="18" t="s">
        <v>35</v>
      </c>
      <c r="G8" s="2">
        <v>8.4000000000000005E-2</v>
      </c>
      <c r="H8" s="2">
        <v>27.6</v>
      </c>
      <c r="I8" s="18">
        <v>0.6</v>
      </c>
      <c r="J8" s="18" t="s">
        <v>36</v>
      </c>
      <c r="L8" s="2">
        <v>4.2000000000000003E-2</v>
      </c>
      <c r="M8" s="2">
        <v>49.1</v>
      </c>
      <c r="N8" s="18">
        <v>1.1000000000000001</v>
      </c>
      <c r="O8" s="18" t="s">
        <v>35</v>
      </c>
      <c r="Q8" s="2">
        <v>8.4000000000000005E-2</v>
      </c>
      <c r="R8" s="2">
        <v>49.7</v>
      </c>
      <c r="S8" s="18">
        <v>1.1000000000000001</v>
      </c>
      <c r="T8" s="18" t="s">
        <v>36</v>
      </c>
    </row>
    <row r="9" spans="2:22" x14ac:dyDescent="0.2">
      <c r="D9">
        <v>0.60099999999999998</v>
      </c>
      <c r="I9">
        <v>0.59899999999999998</v>
      </c>
      <c r="N9">
        <v>1.1000000000000001</v>
      </c>
    </row>
    <row r="10" spans="2:22" x14ac:dyDescent="0.2">
      <c r="G10" s="73" t="s">
        <v>85</v>
      </c>
    </row>
    <row r="11" spans="2:22" x14ac:dyDescent="0.2">
      <c r="C11" s="2" t="s">
        <v>79</v>
      </c>
      <c r="D11" s="2" t="s">
        <v>33</v>
      </c>
      <c r="E11" s="2" t="s">
        <v>32</v>
      </c>
      <c r="F11" s="2" t="s">
        <v>37</v>
      </c>
      <c r="G11" s="17" t="s">
        <v>81</v>
      </c>
      <c r="H11" s="2" t="s">
        <v>79</v>
      </c>
      <c r="I11" s="2" t="s">
        <v>33</v>
      </c>
      <c r="J11" s="2" t="s">
        <v>32</v>
      </c>
      <c r="K11" s="2" t="s">
        <v>37</v>
      </c>
      <c r="L11" s="17" t="s">
        <v>81</v>
      </c>
      <c r="M11" s="2" t="s">
        <v>79</v>
      </c>
      <c r="N11" s="2" t="s">
        <v>33</v>
      </c>
      <c r="O11" s="2" t="s">
        <v>32</v>
      </c>
      <c r="P11" s="2" t="s">
        <v>37</v>
      </c>
      <c r="Q11" s="17" t="s">
        <v>81</v>
      </c>
      <c r="R11" s="2" t="s">
        <v>79</v>
      </c>
      <c r="S11" s="2" t="s">
        <v>33</v>
      </c>
      <c r="T11" s="2" t="s">
        <v>32</v>
      </c>
      <c r="U11" s="2" t="s">
        <v>37</v>
      </c>
      <c r="V11" s="17" t="s">
        <v>81</v>
      </c>
    </row>
    <row r="12" spans="2:22" x14ac:dyDescent="0.2">
      <c r="C12" s="2">
        <v>27.3</v>
      </c>
      <c r="D12" s="2">
        <v>0</v>
      </c>
      <c r="E12" s="2">
        <f>F12*9.8/1000</f>
        <v>0</v>
      </c>
      <c r="F12" s="2">
        <v>0</v>
      </c>
      <c r="G12" s="72">
        <f>(D12*C12*$P$4/1000)+(D12*$B$8*$N$4/1000)+($B$8*C12*$O$4)</f>
        <v>1.1466E-3</v>
      </c>
      <c r="H12" s="2">
        <v>27.6</v>
      </c>
      <c r="I12" s="2">
        <v>0</v>
      </c>
      <c r="J12" s="2">
        <f>K12*9.8/1000</f>
        <v>0</v>
      </c>
      <c r="K12" s="2">
        <v>0</v>
      </c>
      <c r="L12" s="72">
        <f>(I12*H12*$P$4/1000)+(I12*$B$8*$N$4/1000)+($B$8*H12*$O$4)</f>
        <v>1.1592000000000002E-3</v>
      </c>
      <c r="M12" s="2">
        <v>49.1</v>
      </c>
      <c r="N12" s="2">
        <v>0</v>
      </c>
      <c r="O12" s="2">
        <f>P12*9.8/1000</f>
        <v>0</v>
      </c>
      <c r="P12" s="2">
        <v>0</v>
      </c>
      <c r="R12" s="2">
        <v>49.7</v>
      </c>
      <c r="S12" s="2">
        <v>0</v>
      </c>
      <c r="T12" s="2">
        <f>U12*9.8/1000</f>
        <v>0</v>
      </c>
      <c r="U12" s="2">
        <v>0</v>
      </c>
    </row>
    <row r="13" spans="2:22" x14ac:dyDescent="0.2">
      <c r="C13" s="2">
        <v>27.2</v>
      </c>
      <c r="D13" s="2">
        <v>0.499</v>
      </c>
      <c r="E13" s="2">
        <f t="shared" ref="E13:E22" si="0">F13*9.8/1000</f>
        <v>5.8799999999999998E-4</v>
      </c>
      <c r="F13" s="2">
        <v>0.06</v>
      </c>
      <c r="G13" s="72">
        <f t="shared" ref="G13:G22" si="1">(D13*C13*$P$4/1000)+(D13*$B$8*$N$4/1000)+($B$8*C13*$O$4)</f>
        <v>1.1580685999999999E-3</v>
      </c>
      <c r="H13" s="2">
        <v>27.5</v>
      </c>
      <c r="I13" s="2">
        <v>0.505</v>
      </c>
      <c r="J13" s="2">
        <f t="shared" ref="J13:J22" si="2">K13*9.8/1000</f>
        <v>1.078E-3</v>
      </c>
      <c r="K13" s="2">
        <v>0.11</v>
      </c>
      <c r="L13" s="72">
        <f>(I13*H13*$P$4/1000)+(I13*$B$8*$N$4/1000)+($B$8*H13*$O$4)</f>
        <v>1.1710085E-3</v>
      </c>
      <c r="M13" s="2">
        <v>49.1</v>
      </c>
      <c r="N13" s="2">
        <v>0.499</v>
      </c>
      <c r="O13" s="2">
        <f t="shared" ref="O13:O22" si="3">P13*9.8/1000</f>
        <v>9.8000000000000019E-4</v>
      </c>
      <c r="P13" s="2">
        <v>0.1</v>
      </c>
      <c r="R13" s="2">
        <v>49.6</v>
      </c>
      <c r="S13" s="2">
        <v>0.499</v>
      </c>
      <c r="T13" s="2">
        <f t="shared" ref="T13:T22" si="4">U13*9.8/1000</f>
        <v>1.9600000000000004E-3</v>
      </c>
      <c r="U13" s="2">
        <v>0.2</v>
      </c>
    </row>
    <row r="14" spans="2:22" x14ac:dyDescent="0.2">
      <c r="C14" s="2">
        <v>27.2</v>
      </c>
      <c r="D14" s="2">
        <v>1.0029999999999999</v>
      </c>
      <c r="E14" s="2">
        <f t="shared" si="0"/>
        <v>1.176E-3</v>
      </c>
      <c r="F14" s="2">
        <v>0.12</v>
      </c>
      <c r="G14" s="72">
        <f t="shared" si="1"/>
        <v>1.1738942E-3</v>
      </c>
      <c r="H14" s="2">
        <v>27.4</v>
      </c>
      <c r="I14" s="2">
        <v>1.002</v>
      </c>
      <c r="J14" s="2">
        <f t="shared" si="2"/>
        <v>2.1559999999999999E-3</v>
      </c>
      <c r="K14" s="2">
        <v>0.22</v>
      </c>
      <c r="L14" s="72">
        <f t="shared" ref="L14:L22" si="5">(I14*H14*$P$4/1000)+(I14*$B$8*$N$4/1000)+($B$8*H14*$O$4)</f>
        <v>1.1824632E-3</v>
      </c>
      <c r="M14" s="2">
        <v>49.2</v>
      </c>
      <c r="N14" s="2">
        <v>1.008</v>
      </c>
      <c r="O14" s="2">
        <f t="shared" si="3"/>
        <v>2.0580000000000004E-3</v>
      </c>
      <c r="P14" s="2">
        <v>0.21</v>
      </c>
      <c r="R14" s="2">
        <v>49.5</v>
      </c>
      <c r="S14" s="2">
        <v>1.0009999999999999</v>
      </c>
      <c r="T14" s="2">
        <f t="shared" si="4"/>
        <v>3.8220000000000003E-3</v>
      </c>
      <c r="U14" s="2">
        <v>0.39</v>
      </c>
    </row>
    <row r="15" spans="2:22" x14ac:dyDescent="0.2">
      <c r="C15" s="2">
        <v>27.1</v>
      </c>
      <c r="D15" s="2">
        <v>1.5089999999999999</v>
      </c>
      <c r="E15" s="2">
        <f t="shared" si="0"/>
        <v>1.7639999999999999E-3</v>
      </c>
      <c r="F15" s="2">
        <v>0.18</v>
      </c>
      <c r="G15" s="72">
        <f t="shared" si="1"/>
        <v>1.1854317E-3</v>
      </c>
      <c r="H15" s="2">
        <v>27.3</v>
      </c>
      <c r="I15" s="2">
        <v>1.4970000000000001</v>
      </c>
      <c r="J15" s="2">
        <f t="shared" si="2"/>
        <v>3.2340000000000003E-3</v>
      </c>
      <c r="K15" s="2">
        <v>0.33</v>
      </c>
      <c r="L15" s="72">
        <f t="shared" si="5"/>
        <v>1.1937555000000001E-3</v>
      </c>
      <c r="M15" s="2">
        <v>49.1</v>
      </c>
      <c r="N15" s="2">
        <v>1.506</v>
      </c>
      <c r="O15" s="2">
        <f t="shared" si="3"/>
        <v>3.0380000000000003E-3</v>
      </c>
      <c r="P15" s="2">
        <v>0.31</v>
      </c>
      <c r="R15" s="2">
        <v>49.4</v>
      </c>
      <c r="S15" s="2">
        <v>1.508</v>
      </c>
      <c r="T15" s="2">
        <f t="shared" si="4"/>
        <v>5.9780000000000007E-3</v>
      </c>
      <c r="U15" s="2">
        <v>0.61</v>
      </c>
    </row>
    <row r="16" spans="2:22" x14ac:dyDescent="0.2">
      <c r="C16" s="2">
        <v>27.1</v>
      </c>
      <c r="D16" s="2">
        <v>2.0070000000000001</v>
      </c>
      <c r="E16" s="2">
        <f t="shared" si="0"/>
        <v>2.3519999999999999E-3</v>
      </c>
      <c r="F16" s="2">
        <v>0.24</v>
      </c>
      <c r="G16" s="72">
        <f t="shared" si="1"/>
        <v>1.2010191E-3</v>
      </c>
      <c r="H16" s="2">
        <v>27.3</v>
      </c>
      <c r="I16" s="2">
        <v>2.0089999999999999</v>
      </c>
      <c r="J16" s="2">
        <f t="shared" si="2"/>
        <v>4.3119999999999999E-3</v>
      </c>
      <c r="K16" s="2">
        <v>0.44</v>
      </c>
      <c r="L16" s="72">
        <f t="shared" si="5"/>
        <v>1.2098835000000001E-3</v>
      </c>
      <c r="M16" s="2">
        <v>49</v>
      </c>
      <c r="N16" s="2">
        <v>2.004</v>
      </c>
      <c r="O16" s="2">
        <f t="shared" si="3"/>
        <v>4.2140000000000007E-3</v>
      </c>
      <c r="P16" s="2">
        <v>0.43</v>
      </c>
      <c r="R16" s="2">
        <v>49.2</v>
      </c>
      <c r="S16" s="2">
        <v>1.996</v>
      </c>
      <c r="T16" s="2">
        <f t="shared" si="4"/>
        <v>7.7420000000000006E-3</v>
      </c>
      <c r="U16" s="2">
        <v>0.79</v>
      </c>
    </row>
    <row r="17" spans="2:21" x14ac:dyDescent="0.2">
      <c r="C17" s="2">
        <v>27</v>
      </c>
      <c r="D17" s="2">
        <v>2.5030000000000001</v>
      </c>
      <c r="E17" s="2">
        <f t="shared" si="0"/>
        <v>2.8419999999999999E-3</v>
      </c>
      <c r="F17" s="2">
        <v>0.28999999999999998</v>
      </c>
      <c r="G17" s="72">
        <f t="shared" si="1"/>
        <v>1.2120936000000002E-3</v>
      </c>
      <c r="H17" s="2">
        <v>27.2</v>
      </c>
      <c r="I17" s="2">
        <v>2.4980000000000002</v>
      </c>
      <c r="J17" s="2">
        <f t="shared" si="2"/>
        <v>5.2920000000000007E-3</v>
      </c>
      <c r="K17" s="2">
        <v>0.54</v>
      </c>
      <c r="L17" s="72">
        <f t="shared" si="5"/>
        <v>1.2208372000000001E-3</v>
      </c>
      <c r="M17" s="2">
        <v>48.9</v>
      </c>
      <c r="N17" s="2">
        <v>2.4990000000000001</v>
      </c>
      <c r="O17" s="2">
        <f t="shared" si="3"/>
        <v>5.1940000000000007E-3</v>
      </c>
      <c r="P17" s="2">
        <v>0.53</v>
      </c>
      <c r="R17" s="2">
        <v>49.2</v>
      </c>
      <c r="S17" s="2">
        <v>2.4910000000000001</v>
      </c>
      <c r="T17" s="2">
        <f t="shared" si="4"/>
        <v>9.5060000000000006E-3</v>
      </c>
      <c r="U17" s="2">
        <v>0.97</v>
      </c>
    </row>
    <row r="18" spans="2:21" x14ac:dyDescent="0.2">
      <c r="C18" s="2">
        <v>27</v>
      </c>
      <c r="D18" s="2">
        <v>3.01</v>
      </c>
      <c r="E18" s="2">
        <f t="shared" si="0"/>
        <v>3.4300000000000003E-3</v>
      </c>
      <c r="F18" s="2">
        <v>0.35</v>
      </c>
      <c r="G18" s="72">
        <f t="shared" si="1"/>
        <v>1.2279120000000003E-3</v>
      </c>
      <c r="H18" s="2">
        <v>27.1</v>
      </c>
      <c r="I18" s="2">
        <v>3</v>
      </c>
      <c r="J18" s="2">
        <f t="shared" si="2"/>
        <v>6.3700000000000007E-3</v>
      </c>
      <c r="K18" s="2">
        <v>0.65</v>
      </c>
      <c r="L18" s="72">
        <f t="shared" si="5"/>
        <v>1.2321000000000001E-3</v>
      </c>
      <c r="M18" s="2">
        <v>48.9</v>
      </c>
      <c r="N18" s="2">
        <v>3.0019999999999998</v>
      </c>
      <c r="O18" s="2">
        <f t="shared" si="3"/>
        <v>6.1740000000000007E-3</v>
      </c>
      <c r="P18" s="2">
        <v>0.63</v>
      </c>
      <c r="R18" s="2">
        <v>49</v>
      </c>
      <c r="S18" s="2">
        <v>3.004</v>
      </c>
      <c r="T18" s="2">
        <f t="shared" si="4"/>
        <v>1.1465999999999999E-2</v>
      </c>
      <c r="U18" s="2">
        <v>1.17</v>
      </c>
    </row>
    <row r="19" spans="2:21" x14ac:dyDescent="0.2">
      <c r="C19" s="2">
        <v>26.9</v>
      </c>
      <c r="D19" s="2">
        <v>3.512</v>
      </c>
      <c r="E19" s="2">
        <f t="shared" si="0"/>
        <v>4.0179999999999999E-3</v>
      </c>
      <c r="F19" s="2">
        <v>0.41</v>
      </c>
      <c r="G19" s="72">
        <f t="shared" si="1"/>
        <v>1.2390232E-3</v>
      </c>
      <c r="H19" s="2">
        <v>27</v>
      </c>
      <c r="I19" s="2">
        <v>3.4910000000000001</v>
      </c>
      <c r="J19" s="2">
        <f t="shared" si="2"/>
        <v>7.4480000000000006E-3</v>
      </c>
      <c r="K19" s="2">
        <v>0.76</v>
      </c>
      <c r="L19" s="72">
        <f t="shared" si="5"/>
        <v>1.2429192000000002E-3</v>
      </c>
      <c r="M19" s="2">
        <v>48.8</v>
      </c>
      <c r="N19" s="2">
        <v>3.5019999999999998</v>
      </c>
      <c r="O19" s="2">
        <f t="shared" si="3"/>
        <v>7.2520000000000006E-3</v>
      </c>
      <c r="P19" s="2">
        <v>0.74</v>
      </c>
      <c r="R19" s="2">
        <v>49</v>
      </c>
      <c r="S19" s="2">
        <v>3.5139999999999998</v>
      </c>
      <c r="T19" s="2">
        <f t="shared" si="4"/>
        <v>1.3426000000000002E-2</v>
      </c>
      <c r="U19" s="2">
        <v>1.37</v>
      </c>
    </row>
    <row r="20" spans="2:21" x14ac:dyDescent="0.2">
      <c r="C20" s="2">
        <v>26.9</v>
      </c>
      <c r="D20" s="2">
        <v>4.016</v>
      </c>
      <c r="E20" s="2">
        <f t="shared" si="0"/>
        <v>4.6059999999999999E-3</v>
      </c>
      <c r="F20" s="2">
        <v>0.47</v>
      </c>
      <c r="G20" s="72">
        <f t="shared" si="1"/>
        <v>1.2546976000000001E-3</v>
      </c>
      <c r="H20" s="2">
        <v>26.9</v>
      </c>
      <c r="I20" s="2">
        <v>3.996</v>
      </c>
      <c r="J20" s="2">
        <f t="shared" si="2"/>
        <v>8.5260000000000006E-3</v>
      </c>
      <c r="K20" s="2">
        <v>0.87</v>
      </c>
      <c r="L20" s="72">
        <f t="shared" si="5"/>
        <v>1.2540756000000001E-3</v>
      </c>
      <c r="M20" s="2">
        <v>48.8</v>
      </c>
      <c r="N20" s="2">
        <v>4.0129999999999999</v>
      </c>
      <c r="O20" s="2">
        <f t="shared" si="3"/>
        <v>8.4280000000000015E-3</v>
      </c>
      <c r="P20" s="2">
        <v>0.86</v>
      </c>
      <c r="R20" s="2">
        <v>48.9</v>
      </c>
      <c r="S20" s="2">
        <v>4.0250000000000004</v>
      </c>
      <c r="T20" s="2">
        <f t="shared" si="4"/>
        <v>1.5386E-2</v>
      </c>
      <c r="U20" s="2">
        <v>1.57</v>
      </c>
    </row>
    <row r="21" spans="2:21" x14ac:dyDescent="0.2">
      <c r="C21" s="2">
        <v>26.9</v>
      </c>
      <c r="D21" s="2">
        <v>4.5060000000000002</v>
      </c>
      <c r="E21" s="2">
        <f t="shared" si="0"/>
        <v>5.1940000000000007E-3</v>
      </c>
      <c r="F21" s="2">
        <v>0.53</v>
      </c>
      <c r="G21" s="72">
        <f t="shared" si="1"/>
        <v>1.2699365999999999E-3</v>
      </c>
      <c r="H21" s="2">
        <v>26.8</v>
      </c>
      <c r="I21" s="2">
        <v>4.5060000000000002</v>
      </c>
      <c r="J21" s="2">
        <f t="shared" si="2"/>
        <v>9.5060000000000006E-3</v>
      </c>
      <c r="K21" s="2">
        <v>0.97</v>
      </c>
      <c r="L21" s="72">
        <f t="shared" si="5"/>
        <v>1.2652860000000002E-3</v>
      </c>
      <c r="M21" s="2">
        <v>48.7</v>
      </c>
      <c r="N21" s="2">
        <v>4.49</v>
      </c>
      <c r="O21" s="2">
        <f t="shared" si="3"/>
        <v>9.2119999999999997E-3</v>
      </c>
      <c r="P21" s="2">
        <v>0.94</v>
      </c>
      <c r="R21" s="2">
        <v>48.9</v>
      </c>
      <c r="S21" s="2">
        <v>4.4960000000000004</v>
      </c>
      <c r="T21" s="2">
        <f t="shared" si="4"/>
        <v>1.7150000000000002E-2</v>
      </c>
      <c r="U21" s="2">
        <v>1.75</v>
      </c>
    </row>
    <row r="22" spans="2:21" x14ac:dyDescent="0.2">
      <c r="C22" s="2">
        <v>26.9</v>
      </c>
      <c r="D22" s="2">
        <v>5.0019999999999998</v>
      </c>
      <c r="E22" s="2">
        <f t="shared" si="0"/>
        <v>5.6839999999999998E-3</v>
      </c>
      <c r="F22" s="2">
        <v>0.57999999999999996</v>
      </c>
      <c r="G22" s="72">
        <f t="shared" si="1"/>
        <v>1.2853622E-3</v>
      </c>
      <c r="H22" s="2">
        <v>26.7</v>
      </c>
      <c r="I22" s="2">
        <v>5.0039999999999996</v>
      </c>
      <c r="J22" s="2">
        <f t="shared" si="2"/>
        <v>1.0584000000000001E-2</v>
      </c>
      <c r="K22" s="2">
        <v>1.08</v>
      </c>
      <c r="L22" s="72">
        <f t="shared" si="5"/>
        <v>1.2760236E-3</v>
      </c>
      <c r="M22" s="2">
        <v>48.6</v>
      </c>
      <c r="N22" s="2">
        <v>4.9989999999999997</v>
      </c>
      <c r="O22" s="2">
        <f t="shared" si="3"/>
        <v>1.0192000000000001E-2</v>
      </c>
      <c r="P22" s="2">
        <v>1.04</v>
      </c>
      <c r="R22" s="2">
        <v>48.8</v>
      </c>
      <c r="S22" s="2">
        <v>5</v>
      </c>
      <c r="T22" s="2">
        <f t="shared" si="4"/>
        <v>1.8914E-2</v>
      </c>
      <c r="U22" s="2">
        <v>1.93</v>
      </c>
    </row>
    <row r="23" spans="2:21" ht="17" thickBot="1" x14ac:dyDescent="0.25">
      <c r="B23" s="1" t="s">
        <v>59</v>
      </c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 t="s">
        <v>59</v>
      </c>
      <c r="M23" s="1"/>
      <c r="N23" s="1"/>
      <c r="O23" s="1"/>
      <c r="P23" s="1"/>
      <c r="Q23" s="1" t="s">
        <v>59</v>
      </c>
      <c r="R23" s="1"/>
      <c r="S23" s="1"/>
      <c r="T23" s="1"/>
      <c r="U23" s="1"/>
    </row>
    <row r="24" spans="2:21" x14ac:dyDescent="0.2">
      <c r="B24" s="35" t="s">
        <v>60</v>
      </c>
      <c r="C24" s="36" t="s">
        <v>57</v>
      </c>
      <c r="D24" s="36" t="s">
        <v>61</v>
      </c>
      <c r="E24" s="36" t="s">
        <v>56</v>
      </c>
      <c r="F24" s="37" t="s">
        <v>62</v>
      </c>
      <c r="G24" s="41" t="s">
        <v>60</v>
      </c>
      <c r="H24" s="42" t="s">
        <v>57</v>
      </c>
      <c r="I24" s="42" t="s">
        <v>61</v>
      </c>
      <c r="J24" s="42" t="s">
        <v>56</v>
      </c>
      <c r="K24" s="43" t="s">
        <v>62</v>
      </c>
      <c r="L24" s="47" t="s">
        <v>60</v>
      </c>
      <c r="M24" s="48" t="s">
        <v>57</v>
      </c>
      <c r="N24" s="48" t="s">
        <v>61</v>
      </c>
      <c r="O24" s="48" t="s">
        <v>56</v>
      </c>
      <c r="P24" s="49" t="s">
        <v>62</v>
      </c>
      <c r="Q24" s="53" t="s">
        <v>60</v>
      </c>
      <c r="R24" s="54" t="s">
        <v>57</v>
      </c>
      <c r="S24" s="54" t="s">
        <v>61</v>
      </c>
      <c r="T24" s="54" t="s">
        <v>56</v>
      </c>
      <c r="U24" s="55" t="s">
        <v>62</v>
      </c>
    </row>
    <row r="25" spans="2:21" ht="17" thickBot="1" x14ac:dyDescent="0.25">
      <c r="B25" s="38"/>
      <c r="C25" s="39"/>
      <c r="D25" s="39"/>
      <c r="E25" s="39"/>
      <c r="F25" s="40"/>
      <c r="G25" s="44"/>
      <c r="H25" s="45"/>
      <c r="I25" s="45"/>
      <c r="J25" s="45"/>
      <c r="K25" s="46"/>
      <c r="L25" s="50"/>
      <c r="M25" s="51"/>
      <c r="N25" s="51"/>
      <c r="O25" s="51"/>
      <c r="P25" s="52"/>
      <c r="Q25" s="56"/>
      <c r="R25" s="57"/>
      <c r="S25" s="57"/>
      <c r="T25" s="57"/>
      <c r="U25" s="58"/>
    </row>
    <row r="27" spans="2:21" x14ac:dyDescent="0.2">
      <c r="B27" s="60" t="s">
        <v>63</v>
      </c>
      <c r="C27" s="60">
        <f>C8*B8/1000</f>
        <v>1.1466E-3</v>
      </c>
      <c r="G27" s="60" t="s">
        <v>63</v>
      </c>
      <c r="H27" s="60">
        <f>H8*G8/1000</f>
        <v>2.3184000000000004E-3</v>
      </c>
      <c r="L27" s="60" t="s">
        <v>63</v>
      </c>
      <c r="M27" s="60">
        <f>M8*L8/1000</f>
        <v>2.0622000000000001E-3</v>
      </c>
      <c r="Q27" s="60" t="s">
        <v>63</v>
      </c>
      <c r="R27" s="60">
        <f>R8*Q8/1000</f>
        <v>4.1748000000000002E-3</v>
      </c>
    </row>
    <row r="28" spans="2:21" x14ac:dyDescent="0.2">
      <c r="B28" s="61" t="s">
        <v>64</v>
      </c>
      <c r="C28" s="61"/>
      <c r="G28" s="61" t="s">
        <v>64</v>
      </c>
      <c r="H28" s="61"/>
      <c r="L28" s="61" t="s">
        <v>64</v>
      </c>
      <c r="M28" s="61"/>
      <c r="Q28" s="61" t="s">
        <v>64</v>
      </c>
      <c r="R28" s="61"/>
    </row>
    <row r="40" spans="2:18" ht="17" thickBot="1" x14ac:dyDescent="0.25"/>
    <row r="41" spans="2:18" ht="17" thickBot="1" x14ac:dyDescent="0.25">
      <c r="B41" s="21" t="s">
        <v>27</v>
      </c>
      <c r="C41" s="21" t="s">
        <v>28</v>
      </c>
      <c r="D41" s="21"/>
      <c r="E41" s="21"/>
      <c r="F41" s="79" t="s">
        <v>40</v>
      </c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1"/>
    </row>
    <row r="42" spans="2:18" ht="18" thickBot="1" x14ac:dyDescent="0.25">
      <c r="B42" s="22" t="s">
        <v>41</v>
      </c>
      <c r="C42" s="22" t="s">
        <v>42</v>
      </c>
      <c r="D42" s="22" t="s">
        <v>43</v>
      </c>
      <c r="E42" s="22" t="s">
        <v>44</v>
      </c>
      <c r="F42" s="23" t="s">
        <v>45</v>
      </c>
      <c r="G42" s="23" t="s">
        <v>46</v>
      </c>
      <c r="H42" s="23" t="s">
        <v>47</v>
      </c>
      <c r="I42" s="23" t="s">
        <v>48</v>
      </c>
      <c r="J42" s="23" t="s">
        <v>49</v>
      </c>
      <c r="K42" s="23" t="s">
        <v>50</v>
      </c>
      <c r="L42" s="23" t="s">
        <v>51</v>
      </c>
      <c r="M42" s="23" t="s">
        <v>52</v>
      </c>
      <c r="N42" s="24" t="s">
        <v>53</v>
      </c>
      <c r="O42" s="24" t="s">
        <v>54</v>
      </c>
      <c r="P42" s="24" t="s">
        <v>55</v>
      </c>
      <c r="Q42" s="23" t="s">
        <v>56</v>
      </c>
      <c r="R42" s="23" t="s">
        <v>57</v>
      </c>
    </row>
    <row r="43" spans="2:18" ht="17" thickBot="1" x14ac:dyDescent="0.25">
      <c r="B43" s="2">
        <v>0.499</v>
      </c>
      <c r="C43" s="2">
        <v>5.8799999999999998E-4</v>
      </c>
      <c r="D43" s="25">
        <v>0.1</v>
      </c>
      <c r="E43" s="25">
        <f>S3</f>
        <v>0</v>
      </c>
      <c r="F43" s="76">
        <f>COUNTA(C43:C52)</f>
        <v>10</v>
      </c>
      <c r="G43" s="76">
        <f>SUM(B43:B52)</f>
        <v>27.566999999999997</v>
      </c>
      <c r="H43" s="76">
        <f>SUM(C43:C52)</f>
        <v>3.1654000000000002E-2</v>
      </c>
      <c r="I43" s="25">
        <f>B43*C43</f>
        <v>2.93412E-4</v>
      </c>
      <c r="J43" s="76">
        <f>SUM(I43:I52)</f>
        <v>0.11073755</v>
      </c>
      <c r="K43" s="25">
        <f>B43^2</f>
        <v>0.249001</v>
      </c>
      <c r="L43" s="76">
        <f>SUM(K43:K52)</f>
        <v>96.671689000000001</v>
      </c>
      <c r="M43" s="76">
        <f>(F43*L43)-(G43^2)</f>
        <v>206.77740100000017</v>
      </c>
      <c r="N43" s="76">
        <f>SQRT(E43^2+(R43*D43)^2)</f>
        <v>1.1353739860575961E-4</v>
      </c>
      <c r="O43" s="76">
        <f>N43*SQRT(L43/M43)</f>
        <v>7.7631335313377382E-5</v>
      </c>
      <c r="P43" s="76">
        <f>N43*SQRT(F43/M43)</f>
        <v>2.4968209700304924E-5</v>
      </c>
      <c r="Q43" s="76">
        <f>(L43*H43-G43*J43)/M43</f>
        <v>3.5514532635025799E-5</v>
      </c>
      <c r="R43" s="76">
        <f>((F43*J43)-(G43*H43))/M43</f>
        <v>1.1353739860575961E-3</v>
      </c>
    </row>
    <row r="44" spans="2:18" ht="17" thickBot="1" x14ac:dyDescent="0.25">
      <c r="B44" s="2">
        <v>1.0029999999999999</v>
      </c>
      <c r="C44" s="2">
        <v>1.176E-3</v>
      </c>
      <c r="D44" s="25">
        <v>0.1</v>
      </c>
      <c r="E44" s="25">
        <f t="shared" ref="E44:E52" si="6">0.01*SQRT(2)</f>
        <v>1.4142135623730952E-2</v>
      </c>
      <c r="F44" s="77"/>
      <c r="G44" s="77"/>
      <c r="H44" s="77"/>
      <c r="I44" s="26">
        <f t="shared" ref="I44:I51" si="7">B44*C44</f>
        <v>1.1795279999999998E-3</v>
      </c>
      <c r="J44" s="77"/>
      <c r="K44" s="26">
        <f t="shared" ref="K44:K51" si="8">B44^2</f>
        <v>1.0060089999999997</v>
      </c>
      <c r="L44" s="77"/>
      <c r="M44" s="77"/>
      <c r="N44" s="77"/>
      <c r="O44" s="77"/>
      <c r="P44" s="77"/>
      <c r="Q44" s="77"/>
      <c r="R44" s="77"/>
    </row>
    <row r="45" spans="2:18" ht="17" thickBot="1" x14ac:dyDescent="0.25">
      <c r="B45" s="2">
        <v>1.5089999999999999</v>
      </c>
      <c r="C45" s="2">
        <v>1.7639999999999999E-3</v>
      </c>
      <c r="D45" s="25">
        <v>0.1</v>
      </c>
      <c r="E45" s="25">
        <f t="shared" si="6"/>
        <v>1.4142135623730952E-2</v>
      </c>
      <c r="F45" s="77"/>
      <c r="G45" s="77"/>
      <c r="H45" s="77"/>
      <c r="I45" s="26">
        <f t="shared" si="7"/>
        <v>2.6618759999999997E-3</v>
      </c>
      <c r="J45" s="77"/>
      <c r="K45" s="26">
        <f t="shared" si="8"/>
        <v>2.2770809999999999</v>
      </c>
      <c r="L45" s="77"/>
      <c r="M45" s="77"/>
      <c r="N45" s="77"/>
      <c r="O45" s="77"/>
      <c r="P45" s="77"/>
      <c r="Q45" s="77"/>
      <c r="R45" s="77"/>
    </row>
    <row r="46" spans="2:18" ht="17" thickBot="1" x14ac:dyDescent="0.25">
      <c r="B46" s="2">
        <v>2.0070000000000001</v>
      </c>
      <c r="C46" s="2">
        <v>2.3519999999999999E-3</v>
      </c>
      <c r="D46" s="25">
        <v>0.1</v>
      </c>
      <c r="E46" s="25">
        <f t="shared" si="6"/>
        <v>1.4142135623730952E-2</v>
      </c>
      <c r="F46" s="77"/>
      <c r="G46" s="77"/>
      <c r="H46" s="77"/>
      <c r="I46" s="26">
        <f t="shared" si="7"/>
        <v>4.7204639999999997E-3</v>
      </c>
      <c r="J46" s="77"/>
      <c r="K46" s="26">
        <f t="shared" si="8"/>
        <v>4.0280490000000002</v>
      </c>
      <c r="L46" s="77"/>
      <c r="M46" s="77"/>
      <c r="N46" s="77"/>
      <c r="O46" s="77"/>
      <c r="P46" s="77"/>
      <c r="Q46" s="77"/>
      <c r="R46" s="77"/>
    </row>
    <row r="47" spans="2:18" ht="17" thickBot="1" x14ac:dyDescent="0.25">
      <c r="B47" s="2">
        <v>2.5030000000000001</v>
      </c>
      <c r="C47" s="2">
        <v>2.8419999999999999E-3</v>
      </c>
      <c r="D47" s="25">
        <v>0.1</v>
      </c>
      <c r="E47" s="25">
        <f t="shared" si="6"/>
        <v>1.4142135623730952E-2</v>
      </c>
      <c r="F47" s="77"/>
      <c r="G47" s="77"/>
      <c r="H47" s="77"/>
      <c r="I47" s="26">
        <f t="shared" si="7"/>
        <v>7.1135260000000002E-3</v>
      </c>
      <c r="J47" s="77"/>
      <c r="K47" s="26">
        <f t="shared" si="8"/>
        <v>6.2650090000000009</v>
      </c>
      <c r="L47" s="77"/>
      <c r="M47" s="77"/>
      <c r="N47" s="77"/>
      <c r="O47" s="77"/>
      <c r="P47" s="77"/>
      <c r="Q47" s="77"/>
      <c r="R47" s="77"/>
    </row>
    <row r="48" spans="2:18" ht="17" thickBot="1" x14ac:dyDescent="0.25">
      <c r="B48" s="2">
        <v>3.01</v>
      </c>
      <c r="C48" s="2">
        <v>3.4300000000000003E-3</v>
      </c>
      <c r="D48" s="25">
        <v>0.1</v>
      </c>
      <c r="E48" s="25">
        <f t="shared" si="6"/>
        <v>1.4142135623730952E-2</v>
      </c>
      <c r="F48" s="77"/>
      <c r="G48" s="77"/>
      <c r="H48" s="77"/>
      <c r="I48" s="26">
        <f t="shared" si="7"/>
        <v>1.03243E-2</v>
      </c>
      <c r="J48" s="77"/>
      <c r="K48" s="26">
        <f t="shared" si="8"/>
        <v>9.0600999999999985</v>
      </c>
      <c r="L48" s="77"/>
      <c r="M48" s="77"/>
      <c r="N48" s="77"/>
      <c r="O48" s="77"/>
      <c r="P48" s="77"/>
      <c r="Q48" s="77"/>
      <c r="R48" s="77"/>
    </row>
    <row r="49" spans="2:20" ht="17" thickBot="1" x14ac:dyDescent="0.25">
      <c r="B49" s="2">
        <v>3.512</v>
      </c>
      <c r="C49" s="2">
        <v>4.0179999999999999E-3</v>
      </c>
      <c r="D49" s="25">
        <v>0.1</v>
      </c>
      <c r="E49" s="25">
        <f t="shared" si="6"/>
        <v>1.4142135623730952E-2</v>
      </c>
      <c r="F49" s="77"/>
      <c r="G49" s="77"/>
      <c r="H49" s="77"/>
      <c r="I49" s="26">
        <f t="shared" si="7"/>
        <v>1.4111215999999999E-2</v>
      </c>
      <c r="J49" s="77"/>
      <c r="K49" s="26">
        <f t="shared" si="8"/>
        <v>12.334144</v>
      </c>
      <c r="L49" s="77"/>
      <c r="M49" s="77"/>
      <c r="N49" s="77"/>
      <c r="O49" s="77"/>
      <c r="P49" s="77"/>
      <c r="Q49" s="77"/>
      <c r="R49" s="77"/>
    </row>
    <row r="50" spans="2:20" ht="17" thickBot="1" x14ac:dyDescent="0.25">
      <c r="B50" s="2">
        <v>4.016</v>
      </c>
      <c r="C50" s="2">
        <v>4.6059999999999999E-3</v>
      </c>
      <c r="D50" s="25">
        <v>0.1</v>
      </c>
      <c r="E50" s="25">
        <f t="shared" si="6"/>
        <v>1.4142135623730952E-2</v>
      </c>
      <c r="F50" s="77"/>
      <c r="G50" s="77"/>
      <c r="H50" s="77"/>
      <c r="I50" s="26">
        <f t="shared" si="7"/>
        <v>1.8497696000000001E-2</v>
      </c>
      <c r="J50" s="77"/>
      <c r="K50" s="26">
        <f t="shared" si="8"/>
        <v>16.128256</v>
      </c>
      <c r="L50" s="77"/>
      <c r="M50" s="77"/>
      <c r="N50" s="77"/>
      <c r="O50" s="77"/>
      <c r="P50" s="77"/>
      <c r="Q50" s="77"/>
      <c r="R50" s="77"/>
    </row>
    <row r="51" spans="2:20" ht="17" thickBot="1" x14ac:dyDescent="0.25">
      <c r="B51" s="2">
        <v>4.5060000000000002</v>
      </c>
      <c r="C51" s="2">
        <v>5.1940000000000007E-3</v>
      </c>
      <c r="D51" s="25">
        <v>0.1</v>
      </c>
      <c r="E51" s="25">
        <f t="shared" si="6"/>
        <v>1.4142135623730952E-2</v>
      </c>
      <c r="F51" s="77"/>
      <c r="G51" s="77"/>
      <c r="H51" s="77"/>
      <c r="I51" s="26">
        <f t="shared" si="7"/>
        <v>2.3404164000000005E-2</v>
      </c>
      <c r="J51" s="77"/>
      <c r="K51" s="26">
        <f t="shared" si="8"/>
        <v>20.304036000000004</v>
      </c>
      <c r="L51" s="77"/>
      <c r="M51" s="77"/>
      <c r="N51" s="77"/>
      <c r="O51" s="77"/>
      <c r="P51" s="77"/>
      <c r="Q51" s="77"/>
      <c r="R51" s="77"/>
    </row>
    <row r="52" spans="2:20" ht="17" thickBot="1" x14ac:dyDescent="0.25">
      <c r="B52" s="2">
        <v>5.0019999999999998</v>
      </c>
      <c r="C52" s="2">
        <v>5.6839999999999998E-3</v>
      </c>
      <c r="D52" s="28">
        <v>0.1</v>
      </c>
      <c r="E52" s="28">
        <f t="shared" si="6"/>
        <v>1.4142135623730952E-2</v>
      </c>
      <c r="F52" s="78"/>
      <c r="G52" s="78"/>
      <c r="H52" s="78"/>
      <c r="I52" s="27">
        <f>B52*C52</f>
        <v>2.8431367999999999E-2</v>
      </c>
      <c r="J52" s="78"/>
      <c r="K52" s="27">
        <f>B52^2</f>
        <v>25.020003999999997</v>
      </c>
      <c r="L52" s="78"/>
      <c r="M52" s="78"/>
      <c r="N52" s="78"/>
      <c r="O52" s="78"/>
      <c r="P52" s="78"/>
      <c r="Q52" s="78"/>
      <c r="R52" s="78"/>
    </row>
    <row r="54" spans="2:20" x14ac:dyDescent="0.2">
      <c r="C54" s="18" t="s">
        <v>34</v>
      </c>
      <c r="D54" s="18" t="s">
        <v>8</v>
      </c>
      <c r="H54" s="18" t="s">
        <v>34</v>
      </c>
      <c r="I54" s="18" t="s">
        <v>10</v>
      </c>
      <c r="M54" s="18" t="s">
        <v>34</v>
      </c>
      <c r="N54" s="18" t="s">
        <v>8</v>
      </c>
      <c r="R54" s="18" t="s">
        <v>34</v>
      </c>
      <c r="S54" s="18" t="s">
        <v>10</v>
      </c>
    </row>
    <row r="55" spans="2:20" x14ac:dyDescent="0.2">
      <c r="C55" s="18">
        <v>0.6</v>
      </c>
      <c r="D55" s="18" t="s">
        <v>35</v>
      </c>
      <c r="H55" s="18">
        <v>0.6</v>
      </c>
      <c r="I55" s="18" t="s">
        <v>36</v>
      </c>
      <c r="M55" s="18">
        <v>1.1000000000000001</v>
      </c>
      <c r="N55" s="18" t="s">
        <v>35</v>
      </c>
      <c r="R55" s="18">
        <v>1.1000000000000001</v>
      </c>
      <c r="S55" s="18" t="s">
        <v>36</v>
      </c>
    </row>
    <row r="56" spans="2:20" x14ac:dyDescent="0.2">
      <c r="B56" t="s">
        <v>86</v>
      </c>
      <c r="C56" s="3" cm="1">
        <f t="array" ref="C56:D60">LINEST(E13:E22,D13:D22,1,1)</f>
        <v>1.1353739860575965E-3</v>
      </c>
      <c r="D56">
        <v>3.5514532635024139E-5</v>
      </c>
      <c r="E56" t="s">
        <v>87</v>
      </c>
      <c r="G56" t="s">
        <v>86</v>
      </c>
      <c r="H56" s="3" cm="1">
        <f t="array" ref="H56:I60">LINEST(J13:J22,I13:I22,1,1)</f>
        <v>2.1094144879895168E-3</v>
      </c>
      <c r="I56">
        <v>4.8022626438438444E-5</v>
      </c>
      <c r="J56" t="s">
        <v>87</v>
      </c>
      <c r="L56" t="s">
        <v>86</v>
      </c>
      <c r="M56" s="3" cm="1">
        <f t="array" ref="M56:N60">LINEST(O13:O22,N13:N22,1,1)</f>
        <v>2.0634380575824274E-3</v>
      </c>
      <c r="N56">
        <v>-4.7942220783563777E-6</v>
      </c>
      <c r="O56" t="s">
        <v>87</v>
      </c>
      <c r="Q56" t="s">
        <v>86</v>
      </c>
      <c r="R56" s="3" cm="1">
        <f t="array" ref="R56:S60">LINEST(T13:T22,S13:S22,1,1)</f>
        <v>3.7753747415208202E-3</v>
      </c>
      <c r="S56">
        <v>1.398831866965735E-4</v>
      </c>
      <c r="T56" t="s">
        <v>87</v>
      </c>
    </row>
    <row r="57" spans="2:20" x14ac:dyDescent="0.2">
      <c r="B57" t="s">
        <v>89</v>
      </c>
      <c r="C57">
        <v>6.2807018608436544E-6</v>
      </c>
      <c r="D57">
        <v>1.9528002929122805E-5</v>
      </c>
      <c r="E57" t="s">
        <v>88</v>
      </c>
      <c r="G57" t="s">
        <v>89</v>
      </c>
      <c r="H57">
        <v>7.6729723446436668E-6</v>
      </c>
      <c r="I57">
        <v>2.3807895632312185E-5</v>
      </c>
      <c r="J57" t="s">
        <v>88</v>
      </c>
      <c r="L57" t="s">
        <v>89</v>
      </c>
      <c r="M57">
        <v>1.8435012930373727E-5</v>
      </c>
      <c r="N57">
        <v>5.7215222844256313E-5</v>
      </c>
      <c r="O57" t="s">
        <v>88</v>
      </c>
      <c r="Q57" t="s">
        <v>89</v>
      </c>
      <c r="R57">
        <v>1.8285915091466773E-5</v>
      </c>
      <c r="S57">
        <v>5.6804486953370022E-5</v>
      </c>
      <c r="T57" t="s">
        <v>88</v>
      </c>
    </row>
    <row r="58" spans="2:20" x14ac:dyDescent="0.2">
      <c r="B58" t="s">
        <v>60</v>
      </c>
      <c r="C58">
        <v>0.99975525030543222</v>
      </c>
      <c r="D58">
        <v>2.8560099392702277E-5</v>
      </c>
      <c r="E58" t="s">
        <v>90</v>
      </c>
      <c r="G58" t="s">
        <v>60</v>
      </c>
      <c r="H58">
        <v>0.99989416058376135</v>
      </c>
      <c r="I58">
        <v>3.4830786366235878E-5</v>
      </c>
      <c r="J58" t="s">
        <v>90</v>
      </c>
      <c r="L58" t="s">
        <v>60</v>
      </c>
      <c r="M58">
        <v>0.99936185881005457</v>
      </c>
      <c r="N58">
        <v>8.3627419511932412E-5</v>
      </c>
      <c r="O58" t="s">
        <v>90</v>
      </c>
      <c r="Q58" t="s">
        <v>60</v>
      </c>
      <c r="R58">
        <v>0.99981236158539488</v>
      </c>
      <c r="S58">
        <v>8.3173581579982643E-5</v>
      </c>
      <c r="T58" t="s">
        <v>90</v>
      </c>
    </row>
    <row r="59" spans="2:20" x14ac:dyDescent="0.2">
      <c r="C59">
        <v>32678.455499477612</v>
      </c>
      <c r="D59">
        <v>8</v>
      </c>
      <c r="H59">
        <v>75578.206767859971</v>
      </c>
      <c r="I59">
        <v>8</v>
      </c>
      <c r="M59">
        <v>12528.410634589171</v>
      </c>
      <c r="N59">
        <v>8</v>
      </c>
      <c r="R59">
        <v>42627.19288860089</v>
      </c>
      <c r="S59">
        <v>8</v>
      </c>
    </row>
    <row r="60" spans="2:20" x14ac:dyDescent="0.2">
      <c r="C60">
        <v>2.6655138965781436E-5</v>
      </c>
      <c r="D60">
        <v>6.5254342185682642E-9</v>
      </c>
      <c r="H60">
        <v>9.1690246930568899E-5</v>
      </c>
      <c r="I60">
        <v>9.7054694311229044E-9</v>
      </c>
      <c r="M60">
        <v>8.7618007237646206E-5</v>
      </c>
      <c r="N60">
        <v>5.5948362353797875E-8</v>
      </c>
      <c r="R60">
        <v>2.9488829924261727E-4</v>
      </c>
      <c r="S60">
        <v>5.5342757382736231E-8</v>
      </c>
    </row>
    <row r="62" spans="2:20" x14ac:dyDescent="0.2">
      <c r="B62" t="s">
        <v>91</v>
      </c>
      <c r="D62" t="s">
        <v>92</v>
      </c>
      <c r="G62" t="s">
        <v>91</v>
      </c>
      <c r="I62" t="s">
        <v>92</v>
      </c>
      <c r="L62" t="s">
        <v>91</v>
      </c>
      <c r="N62" t="s">
        <v>92</v>
      </c>
      <c r="Q62" t="s">
        <v>91</v>
      </c>
      <c r="S62" t="s">
        <v>92</v>
      </c>
    </row>
    <row r="63" spans="2:20" x14ac:dyDescent="0.2">
      <c r="C63" t="s">
        <v>93</v>
      </c>
      <c r="D63" s="3">
        <f>(C8/1000)*B8</f>
        <v>1.1466000000000002E-3</v>
      </c>
      <c r="E63" t="s">
        <v>94</v>
      </c>
      <c r="H63" t="s">
        <v>93</v>
      </c>
      <c r="I63" s="3">
        <f>(H8/1000)*G8</f>
        <v>2.3184000000000004E-3</v>
      </c>
      <c r="J63" t="s">
        <v>94</v>
      </c>
      <c r="M63" t="s">
        <v>93</v>
      </c>
      <c r="N63" s="3">
        <f>(M8/1000)*L8</f>
        <v>2.0622000000000001E-3</v>
      </c>
      <c r="O63" t="s">
        <v>94</v>
      </c>
      <c r="R63" t="s">
        <v>93</v>
      </c>
      <c r="S63" s="3">
        <f>(R8/1000)*Q8</f>
        <v>4.1748000000000002E-3</v>
      </c>
      <c r="T63" t="s">
        <v>94</v>
      </c>
    </row>
    <row r="64" spans="2:20" x14ac:dyDescent="0.2">
      <c r="C64" t="s">
        <v>95</v>
      </c>
      <c r="D64">
        <f>($N$4/1000)*B8+$P$4*(C8/1000)</f>
        <v>3.1500000000000007E-5</v>
      </c>
      <c r="H64" t="s">
        <v>95</v>
      </c>
      <c r="I64">
        <f>($N$4/1000)*G8+$P$4*(H8/1000)</f>
        <v>3.6000000000000008E-5</v>
      </c>
      <c r="M64" t="s">
        <v>95</v>
      </c>
      <c r="N64">
        <f>($N$4/1000)*L8+$P$4*(M8/1000)</f>
        <v>5.3300000000000008E-5</v>
      </c>
      <c r="R64" t="s">
        <v>95</v>
      </c>
      <c r="S64">
        <f>($N$4/1000)*Q8+$P$4*(R8/1000)</f>
        <v>5.8100000000000003E-5</v>
      </c>
    </row>
    <row r="67" spans="5:14" x14ac:dyDescent="0.2">
      <c r="E67" t="s">
        <v>100</v>
      </c>
      <c r="N67" t="s">
        <v>100</v>
      </c>
    </row>
  </sheetData>
  <mergeCells count="12">
    <mergeCell ref="Q43:Q52"/>
    <mergeCell ref="R43:R52"/>
    <mergeCell ref="F41:R41"/>
    <mergeCell ref="F43:F52"/>
    <mergeCell ref="G43:G52"/>
    <mergeCell ref="H43:H52"/>
    <mergeCell ref="J43:J52"/>
    <mergeCell ref="L43:L52"/>
    <mergeCell ref="M43:M52"/>
    <mergeCell ref="N43:N52"/>
    <mergeCell ref="O43:O52"/>
    <mergeCell ref="P43:P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310A-21D3-1342-8EE1-92DAF7CCB3D8}">
  <dimension ref="B2:V75"/>
  <sheetViews>
    <sheetView topLeftCell="C24" workbookViewId="0">
      <selection activeCell="J46" sqref="J46"/>
    </sheetView>
  </sheetViews>
  <sheetFormatPr baseColWidth="10" defaultRowHeight="16" x14ac:dyDescent="0.2"/>
  <cols>
    <col min="12" max="12" width="14" customWidth="1"/>
  </cols>
  <sheetData>
    <row r="2" spans="2:21" ht="17" thickBot="1" x14ac:dyDescent="0.25">
      <c r="B2" s="20" t="s">
        <v>68</v>
      </c>
      <c r="D2" s="16" t="s">
        <v>38</v>
      </c>
      <c r="E2" s="16"/>
      <c r="F2" s="16"/>
      <c r="G2" s="16"/>
      <c r="H2" s="16" t="s">
        <v>39</v>
      </c>
      <c r="K2" t="s">
        <v>13</v>
      </c>
    </row>
    <row r="3" spans="2:21" x14ac:dyDescent="0.2">
      <c r="B3" s="20" t="s">
        <v>69</v>
      </c>
      <c r="K3" s="29" t="s">
        <v>83</v>
      </c>
      <c r="L3" s="30" t="s">
        <v>84</v>
      </c>
      <c r="M3" s="30" t="s">
        <v>82</v>
      </c>
      <c r="N3" s="31" t="s">
        <v>3</v>
      </c>
      <c r="P3" s="29" t="s">
        <v>65</v>
      </c>
      <c r="Q3" s="10"/>
    </row>
    <row r="4" spans="2:21" ht="17" thickBot="1" x14ac:dyDescent="0.25">
      <c r="K4" s="32">
        <v>0.01</v>
      </c>
      <c r="L4" s="33">
        <v>0.1</v>
      </c>
      <c r="M4" s="33">
        <v>1E-3</v>
      </c>
      <c r="N4" s="34">
        <v>1E-3</v>
      </c>
      <c r="P4" s="59" t="s">
        <v>66</v>
      </c>
      <c r="Q4" s="12"/>
    </row>
    <row r="6" spans="2:21" x14ac:dyDescent="0.2">
      <c r="B6" s="2" t="s">
        <v>67</v>
      </c>
      <c r="C6" s="2"/>
      <c r="D6" s="19" t="s">
        <v>33</v>
      </c>
      <c r="E6" s="19" t="s">
        <v>8</v>
      </c>
      <c r="G6" s="2" t="s">
        <v>67</v>
      </c>
      <c r="H6" s="2"/>
      <c r="I6" s="19" t="s">
        <v>33</v>
      </c>
      <c r="J6" s="19" t="s">
        <v>10</v>
      </c>
      <c r="L6" s="2" t="s">
        <v>67</v>
      </c>
      <c r="M6" s="2"/>
      <c r="N6" s="19" t="s">
        <v>33</v>
      </c>
      <c r="O6" s="19" t="s">
        <v>8</v>
      </c>
      <c r="Q6" s="2" t="s">
        <v>67</v>
      </c>
      <c r="R6" s="2"/>
      <c r="S6" s="19" t="s">
        <v>33</v>
      </c>
      <c r="T6" s="19" t="s">
        <v>10</v>
      </c>
    </row>
    <row r="7" spans="2:21" x14ac:dyDescent="0.2">
      <c r="B7" s="2">
        <v>4.2000000000000003E-2</v>
      </c>
      <c r="C7" s="2"/>
      <c r="D7" s="19">
        <v>2.5</v>
      </c>
      <c r="E7" s="19" t="s">
        <v>35</v>
      </c>
      <c r="G7" s="2">
        <v>8.4000000000000005E-2</v>
      </c>
      <c r="H7" s="2"/>
      <c r="I7" s="19">
        <v>2.5</v>
      </c>
      <c r="J7" s="19" t="s">
        <v>36</v>
      </c>
      <c r="L7" s="2">
        <v>4.2000000000000003E-2</v>
      </c>
      <c r="M7" s="2"/>
      <c r="N7" s="19">
        <v>4.5</v>
      </c>
      <c r="O7" s="19" t="s">
        <v>35</v>
      </c>
      <c r="Q7" s="2">
        <v>8.4000000000000005E-2</v>
      </c>
      <c r="R7" s="2"/>
      <c r="S7" s="19">
        <v>4.5</v>
      </c>
      <c r="T7" s="19" t="s">
        <v>36</v>
      </c>
    </row>
    <row r="8" spans="2:21" x14ac:dyDescent="0.2">
      <c r="D8">
        <v>2.5009999999999999</v>
      </c>
      <c r="I8">
        <v>2.504</v>
      </c>
      <c r="N8">
        <v>4.5030000000000001</v>
      </c>
      <c r="S8">
        <v>4.5030000000000001</v>
      </c>
    </row>
    <row r="10" spans="2:21" x14ac:dyDescent="0.2">
      <c r="I10" t="s">
        <v>78</v>
      </c>
      <c r="M10">
        <v>0.1</v>
      </c>
      <c r="N10">
        <v>1E-3</v>
      </c>
      <c r="P10">
        <v>0.01</v>
      </c>
    </row>
    <row r="11" spans="2:21" x14ac:dyDescent="0.2">
      <c r="B11" s="74" t="s">
        <v>58</v>
      </c>
      <c r="C11" s="2" t="s">
        <v>79</v>
      </c>
      <c r="D11" s="2" t="s">
        <v>34</v>
      </c>
      <c r="E11" s="2" t="s">
        <v>32</v>
      </c>
      <c r="F11" s="2" t="s">
        <v>37</v>
      </c>
      <c r="G11" s="74" t="s">
        <v>58</v>
      </c>
      <c r="H11" s="2" t="s">
        <v>79</v>
      </c>
      <c r="I11" s="2" t="s">
        <v>34</v>
      </c>
      <c r="J11" s="2" t="s">
        <v>32</v>
      </c>
      <c r="K11" s="2" t="s">
        <v>37</v>
      </c>
      <c r="L11" s="74" t="s">
        <v>58</v>
      </c>
      <c r="M11" s="2" t="s">
        <v>79</v>
      </c>
      <c r="N11" s="2" t="s">
        <v>34</v>
      </c>
      <c r="O11" s="2" t="s">
        <v>32</v>
      </c>
      <c r="P11" s="2" t="s">
        <v>37</v>
      </c>
      <c r="Q11" s="74" t="s">
        <v>58</v>
      </c>
      <c r="R11" s="2" t="s">
        <v>79</v>
      </c>
      <c r="S11" s="2" t="s">
        <v>34</v>
      </c>
      <c r="T11" s="2" t="s">
        <v>32</v>
      </c>
      <c r="U11" s="2" t="s">
        <v>37</v>
      </c>
    </row>
    <row r="12" spans="2:21" x14ac:dyDescent="0.2">
      <c r="B12" s="74">
        <f>C12/1000</f>
        <v>1.9E-3</v>
      </c>
      <c r="C12" s="2">
        <v>1.9</v>
      </c>
      <c r="D12" s="2">
        <v>0</v>
      </c>
      <c r="E12" s="2">
        <f>F12*9.8/1000</f>
        <v>0</v>
      </c>
      <c r="F12" s="2">
        <v>0</v>
      </c>
      <c r="G12" s="74">
        <f>H12/1000</f>
        <v>1.2999999999999999E-3</v>
      </c>
      <c r="H12" s="2">
        <v>1.3</v>
      </c>
      <c r="I12" s="2">
        <v>0</v>
      </c>
      <c r="J12" s="2">
        <f>K12*9.8/1000</f>
        <v>0</v>
      </c>
      <c r="K12" s="2">
        <v>0</v>
      </c>
      <c r="L12" s="74">
        <f>M12/1000</f>
        <v>1.2999999999999999E-3</v>
      </c>
      <c r="M12" s="2">
        <v>1.3</v>
      </c>
      <c r="N12" s="2">
        <v>0</v>
      </c>
      <c r="O12" s="2">
        <f>P12*9.8/1000</f>
        <v>0</v>
      </c>
      <c r="P12" s="2">
        <v>0</v>
      </c>
      <c r="Q12" s="74">
        <f>R12/1000</f>
        <v>1E-4</v>
      </c>
      <c r="R12" s="2">
        <v>0.1</v>
      </c>
      <c r="S12" s="2">
        <v>0</v>
      </c>
      <c r="T12" s="2">
        <f>U12*9.8/1000</f>
        <v>0</v>
      </c>
      <c r="U12" s="2">
        <v>0</v>
      </c>
    </row>
    <row r="13" spans="2:21" x14ac:dyDescent="0.2">
      <c r="B13" s="74">
        <f t="shared" ref="B13:B24" si="0">C13/1000</f>
        <v>5.7000000000000002E-3</v>
      </c>
      <c r="C13" s="2">
        <v>5.7</v>
      </c>
      <c r="D13" s="2">
        <v>0.10100000000000001</v>
      </c>
      <c r="E13" s="2">
        <f t="shared" ref="E13:E24" si="1">F13*9.8/1000</f>
        <v>3.9200000000000004E-4</v>
      </c>
      <c r="F13" s="2">
        <v>0.04</v>
      </c>
      <c r="G13" s="74">
        <f t="shared" ref="G13:G24" si="2">H13/1000</f>
        <v>5.1999999999999998E-3</v>
      </c>
      <c r="H13" s="2">
        <v>5.2</v>
      </c>
      <c r="I13" s="2">
        <v>0.1</v>
      </c>
      <c r="J13" s="2">
        <f t="shared" ref="J13:J24" si="3">K13*9.8/1000</f>
        <v>6.8600000000000019E-4</v>
      </c>
      <c r="K13" s="2">
        <v>7.0000000000000007E-2</v>
      </c>
      <c r="L13" s="74">
        <f t="shared" ref="L13:L24" si="4">M13/1000</f>
        <v>5.1999999999999998E-3</v>
      </c>
      <c r="M13" s="2">
        <v>5.2</v>
      </c>
      <c r="N13" s="2">
        <v>0.1</v>
      </c>
      <c r="O13" s="2">
        <f>P13*9.8/1000</f>
        <v>7.8400000000000008E-4</v>
      </c>
      <c r="P13" s="2">
        <v>0.08</v>
      </c>
      <c r="Q13" s="74">
        <f t="shared" ref="Q13:Q24" si="5">R13/1000</f>
        <v>4.7999999999999996E-3</v>
      </c>
      <c r="R13" s="2">
        <v>4.8</v>
      </c>
      <c r="S13" s="2">
        <v>0.10100000000000001</v>
      </c>
      <c r="T13" s="2">
        <f t="shared" ref="T13:T24" si="6">U13*9.8/1000</f>
        <v>1.078E-3</v>
      </c>
      <c r="U13" s="2">
        <v>0.11</v>
      </c>
    </row>
    <row r="14" spans="2:21" x14ac:dyDescent="0.2">
      <c r="B14" s="74">
        <f t="shared" si="0"/>
        <v>9.4000000000000004E-3</v>
      </c>
      <c r="C14" s="2">
        <v>9.4</v>
      </c>
      <c r="D14" s="2">
        <v>0.2</v>
      </c>
      <c r="E14" s="2">
        <f t="shared" si="1"/>
        <v>6.8600000000000019E-4</v>
      </c>
      <c r="F14" s="2">
        <v>7.0000000000000007E-2</v>
      </c>
      <c r="G14" s="74">
        <f t="shared" si="2"/>
        <v>9.300000000000001E-3</v>
      </c>
      <c r="H14" s="2">
        <v>9.3000000000000007</v>
      </c>
      <c r="I14" s="2">
        <v>0.20200000000000001</v>
      </c>
      <c r="J14" s="2">
        <f t="shared" si="3"/>
        <v>1.47E-3</v>
      </c>
      <c r="K14" s="2">
        <v>0.15</v>
      </c>
      <c r="L14" s="74">
        <f t="shared" si="4"/>
        <v>9.1000000000000004E-3</v>
      </c>
      <c r="M14" s="2">
        <v>9.1</v>
      </c>
      <c r="N14" s="2">
        <v>0.2</v>
      </c>
      <c r="O14" s="2">
        <f t="shared" ref="O14:O24" si="7">P14*9.8/1000</f>
        <v>1.47E-3</v>
      </c>
      <c r="P14" s="2">
        <v>0.15</v>
      </c>
      <c r="Q14" s="74">
        <f t="shared" si="5"/>
        <v>8.8000000000000005E-3</v>
      </c>
      <c r="R14" s="2">
        <v>8.8000000000000007</v>
      </c>
      <c r="S14" s="2">
        <v>0.2</v>
      </c>
      <c r="T14" s="2">
        <f t="shared" si="6"/>
        <v>2.2540000000000004E-3</v>
      </c>
      <c r="U14" s="2">
        <v>0.23</v>
      </c>
    </row>
    <row r="15" spans="2:21" x14ac:dyDescent="0.2">
      <c r="B15" s="74">
        <f t="shared" si="0"/>
        <v>1.35E-2</v>
      </c>
      <c r="C15" s="2">
        <v>13.5</v>
      </c>
      <c r="D15" s="2">
        <v>0.30099999999999999</v>
      </c>
      <c r="E15" s="2">
        <f t="shared" si="1"/>
        <v>1.078E-3</v>
      </c>
      <c r="F15" s="2">
        <v>0.11</v>
      </c>
      <c r="G15" s="74">
        <f t="shared" si="2"/>
        <v>1.3300000000000001E-2</v>
      </c>
      <c r="H15" s="2">
        <v>13.3</v>
      </c>
      <c r="I15" s="2">
        <v>0.3</v>
      </c>
      <c r="J15" s="2">
        <f t="shared" si="3"/>
        <v>2.2540000000000004E-3</v>
      </c>
      <c r="K15" s="2">
        <v>0.23</v>
      </c>
      <c r="L15" s="74">
        <f t="shared" si="4"/>
        <v>1.3699999999999999E-2</v>
      </c>
      <c r="M15" s="2">
        <v>13.7</v>
      </c>
      <c r="N15" s="2">
        <v>0.30199999999999999</v>
      </c>
      <c r="O15" s="2">
        <f t="shared" si="7"/>
        <v>2.2540000000000004E-3</v>
      </c>
      <c r="P15" s="2">
        <v>0.23</v>
      </c>
      <c r="Q15" s="74">
        <f t="shared" si="5"/>
        <v>1.2999999999999999E-2</v>
      </c>
      <c r="R15" s="2">
        <v>13</v>
      </c>
      <c r="S15" s="2">
        <v>0.30199999999999999</v>
      </c>
      <c r="T15" s="2">
        <f t="shared" si="6"/>
        <v>3.6260000000000003E-3</v>
      </c>
      <c r="U15" s="2">
        <v>0.37</v>
      </c>
    </row>
    <row r="16" spans="2:21" x14ac:dyDescent="0.2">
      <c r="B16" s="74">
        <f t="shared" si="0"/>
        <v>1.77E-2</v>
      </c>
      <c r="C16" s="2">
        <v>17.7</v>
      </c>
      <c r="D16" s="2">
        <v>0.40100000000000002</v>
      </c>
      <c r="E16" s="2">
        <f t="shared" si="1"/>
        <v>1.47E-3</v>
      </c>
      <c r="F16" s="2">
        <v>0.15</v>
      </c>
      <c r="G16" s="74">
        <f t="shared" si="2"/>
        <v>1.77E-2</v>
      </c>
      <c r="H16" s="2">
        <v>17.7</v>
      </c>
      <c r="I16" s="2">
        <v>0.4</v>
      </c>
      <c r="J16" s="2">
        <f t="shared" si="3"/>
        <v>3.0380000000000003E-3</v>
      </c>
      <c r="K16" s="2">
        <v>0.31</v>
      </c>
      <c r="L16" s="74">
        <f t="shared" si="4"/>
        <v>1.77E-2</v>
      </c>
      <c r="M16" s="2">
        <v>17.7</v>
      </c>
      <c r="N16" s="2">
        <v>0.40300000000000002</v>
      </c>
      <c r="O16" s="2">
        <f t="shared" si="7"/>
        <v>2.9399999999999999E-3</v>
      </c>
      <c r="P16" s="2">
        <v>0.3</v>
      </c>
      <c r="Q16" s="74">
        <f t="shared" si="5"/>
        <v>1.7100000000000001E-2</v>
      </c>
      <c r="R16" s="2">
        <v>17.100000000000001</v>
      </c>
      <c r="S16" s="2">
        <v>0.4</v>
      </c>
      <c r="T16" s="2">
        <f t="shared" si="6"/>
        <v>5.0960000000000007E-3</v>
      </c>
      <c r="U16" s="2">
        <v>0.52</v>
      </c>
    </row>
    <row r="17" spans="2:22" x14ac:dyDescent="0.2">
      <c r="B17" s="74">
        <f t="shared" si="0"/>
        <v>2.1999999999999999E-2</v>
      </c>
      <c r="C17" s="2">
        <v>22</v>
      </c>
      <c r="D17" s="2">
        <v>0.501</v>
      </c>
      <c r="E17" s="2">
        <f t="shared" si="1"/>
        <v>1.8620000000000002E-3</v>
      </c>
      <c r="F17" s="2">
        <v>0.19</v>
      </c>
      <c r="G17" s="74">
        <f t="shared" si="2"/>
        <v>2.18E-2</v>
      </c>
      <c r="H17" s="2">
        <v>21.8</v>
      </c>
      <c r="I17" s="2">
        <v>0.5</v>
      </c>
      <c r="J17" s="2">
        <f t="shared" si="3"/>
        <v>3.8220000000000003E-3</v>
      </c>
      <c r="K17" s="2">
        <v>0.39</v>
      </c>
      <c r="L17" s="74">
        <f t="shared" si="4"/>
        <v>2.2600000000000002E-2</v>
      </c>
      <c r="M17" s="2">
        <v>22.6</v>
      </c>
      <c r="N17" s="2">
        <v>0.502</v>
      </c>
      <c r="O17" s="2">
        <f t="shared" si="7"/>
        <v>3.8220000000000003E-3</v>
      </c>
      <c r="P17" s="2">
        <v>0.39</v>
      </c>
      <c r="Q17" s="74">
        <f t="shared" si="5"/>
        <v>2.2100000000000002E-2</v>
      </c>
      <c r="R17" s="2">
        <v>22.1</v>
      </c>
      <c r="S17" s="2">
        <v>0.501</v>
      </c>
      <c r="T17" s="2">
        <f t="shared" si="6"/>
        <v>7.2520000000000006E-3</v>
      </c>
      <c r="U17" s="2">
        <v>0.74</v>
      </c>
    </row>
    <row r="18" spans="2:22" x14ac:dyDescent="0.2">
      <c r="B18" s="74">
        <f t="shared" si="0"/>
        <v>2.63E-2</v>
      </c>
      <c r="C18" s="2">
        <v>26.3</v>
      </c>
      <c r="D18" s="2">
        <v>0.6</v>
      </c>
      <c r="E18" s="2">
        <f t="shared" si="1"/>
        <v>2.2540000000000004E-3</v>
      </c>
      <c r="F18" s="2">
        <v>0.23</v>
      </c>
      <c r="G18" s="74">
        <f t="shared" si="2"/>
        <v>2.6100000000000002E-2</v>
      </c>
      <c r="H18" s="2">
        <v>26.1</v>
      </c>
      <c r="I18" s="2">
        <v>0.6</v>
      </c>
      <c r="J18" s="2">
        <f t="shared" si="3"/>
        <v>4.6059999999999999E-3</v>
      </c>
      <c r="K18" s="2">
        <v>0.47</v>
      </c>
      <c r="L18" s="74">
        <f t="shared" si="4"/>
        <v>2.6499999999999999E-2</v>
      </c>
      <c r="M18" s="2">
        <v>26.5</v>
      </c>
      <c r="N18" s="2">
        <v>0.60099999999999998</v>
      </c>
      <c r="O18" s="2">
        <f t="shared" si="7"/>
        <v>4.6059999999999999E-3</v>
      </c>
      <c r="P18" s="2">
        <v>0.47</v>
      </c>
      <c r="Q18" s="74">
        <f t="shared" si="5"/>
        <v>2.6100000000000002E-2</v>
      </c>
      <c r="R18" s="2">
        <v>26.1</v>
      </c>
      <c r="S18" s="2">
        <v>0.6</v>
      </c>
      <c r="T18" s="2">
        <f t="shared" si="6"/>
        <v>8.5260000000000006E-3</v>
      </c>
      <c r="U18" s="2">
        <v>0.87</v>
      </c>
    </row>
    <row r="19" spans="2:22" x14ac:dyDescent="0.2">
      <c r="B19" s="74">
        <f t="shared" si="0"/>
        <v>3.1399999999999997E-2</v>
      </c>
      <c r="C19" s="2">
        <v>31.4</v>
      </c>
      <c r="D19" s="2">
        <v>0.7</v>
      </c>
      <c r="E19" s="2">
        <f t="shared" si="1"/>
        <v>2.7440000000000008E-3</v>
      </c>
      <c r="F19" s="2">
        <v>0.28000000000000003</v>
      </c>
      <c r="G19" s="74">
        <f t="shared" si="2"/>
        <v>3.0899999999999997E-2</v>
      </c>
      <c r="H19" s="2">
        <v>30.9</v>
      </c>
      <c r="I19" s="2">
        <v>0.70099999999999996</v>
      </c>
      <c r="J19" s="2">
        <f t="shared" si="3"/>
        <v>5.5860000000000007E-3</v>
      </c>
      <c r="K19" s="2">
        <v>0.56999999999999995</v>
      </c>
      <c r="L19" s="74">
        <f t="shared" si="4"/>
        <v>3.0699999999999998E-2</v>
      </c>
      <c r="M19" s="2">
        <v>30.7</v>
      </c>
      <c r="N19" s="2">
        <v>0.69799999999999995</v>
      </c>
      <c r="O19" s="2">
        <f t="shared" si="7"/>
        <v>5.3900000000000007E-3</v>
      </c>
      <c r="P19" s="2">
        <v>0.55000000000000004</v>
      </c>
      <c r="Q19" s="74">
        <f t="shared" si="5"/>
        <v>3.0699999999999998E-2</v>
      </c>
      <c r="R19" s="2">
        <v>30.7</v>
      </c>
      <c r="S19" s="2">
        <v>0.70499999999999996</v>
      </c>
      <c r="T19" s="2">
        <f t="shared" si="6"/>
        <v>1.0094000000000001E-2</v>
      </c>
      <c r="U19" s="2">
        <v>1.03</v>
      </c>
    </row>
    <row r="20" spans="2:22" x14ac:dyDescent="0.2">
      <c r="B20" s="74">
        <f t="shared" si="0"/>
        <v>3.5200000000000002E-2</v>
      </c>
      <c r="C20" s="2">
        <v>35.200000000000003</v>
      </c>
      <c r="D20" s="2">
        <v>0.79900000000000004</v>
      </c>
      <c r="E20" s="2">
        <f t="shared" si="1"/>
        <v>3.0380000000000003E-3</v>
      </c>
      <c r="F20" s="2">
        <v>0.31</v>
      </c>
      <c r="G20" s="74">
        <f t="shared" si="2"/>
        <v>3.5000000000000003E-2</v>
      </c>
      <c r="H20" s="2">
        <v>35</v>
      </c>
      <c r="I20" s="2">
        <v>0.80400000000000005</v>
      </c>
      <c r="J20" s="2">
        <f t="shared" si="3"/>
        <v>6.1740000000000007E-3</v>
      </c>
      <c r="K20" s="2">
        <v>0.63</v>
      </c>
      <c r="L20" s="74">
        <f t="shared" si="4"/>
        <v>3.4799999999999998E-2</v>
      </c>
      <c r="M20" s="2">
        <v>34.799999999999997</v>
      </c>
      <c r="N20" s="2">
        <v>0.79800000000000004</v>
      </c>
      <c r="O20" s="2">
        <f t="shared" si="7"/>
        <v>6.0760000000000007E-3</v>
      </c>
      <c r="P20" s="2">
        <v>0.62</v>
      </c>
      <c r="Q20" s="74">
        <f t="shared" si="5"/>
        <v>3.44E-2</v>
      </c>
      <c r="R20" s="2">
        <v>34.4</v>
      </c>
      <c r="S20" s="2">
        <v>0.8</v>
      </c>
      <c r="T20" s="2">
        <f t="shared" si="6"/>
        <v>1.1465999999999999E-2</v>
      </c>
      <c r="U20" s="2">
        <v>1.17</v>
      </c>
    </row>
    <row r="21" spans="2:22" x14ac:dyDescent="0.2">
      <c r="B21" s="74">
        <f t="shared" si="0"/>
        <v>3.9299999999999995E-2</v>
      </c>
      <c r="C21" s="2">
        <v>39.299999999999997</v>
      </c>
      <c r="D21" s="2">
        <v>0.89900000000000002</v>
      </c>
      <c r="E21" s="2">
        <f t="shared" si="1"/>
        <v>3.4300000000000003E-3</v>
      </c>
      <c r="F21" s="2">
        <v>0.35</v>
      </c>
      <c r="G21" s="74">
        <f t="shared" si="2"/>
        <v>3.9299999999999995E-2</v>
      </c>
      <c r="H21" s="2">
        <v>39.299999999999997</v>
      </c>
      <c r="I21" s="2">
        <v>0.90100000000000002</v>
      </c>
      <c r="J21" s="2">
        <f t="shared" si="3"/>
        <v>7.0559999999999998E-3</v>
      </c>
      <c r="K21" s="2">
        <v>0.72</v>
      </c>
      <c r="L21" s="74">
        <f t="shared" si="4"/>
        <v>3.9100000000000003E-2</v>
      </c>
      <c r="M21" s="2">
        <v>39.1</v>
      </c>
      <c r="N21" s="2">
        <v>0.98899999999999999</v>
      </c>
      <c r="O21" s="2">
        <f t="shared" si="7"/>
        <v>6.8600000000000006E-3</v>
      </c>
      <c r="P21" s="2">
        <v>0.7</v>
      </c>
      <c r="Q21" s="74">
        <f t="shared" si="5"/>
        <v>3.9399999999999998E-2</v>
      </c>
      <c r="R21" s="2">
        <v>39.4</v>
      </c>
      <c r="S21" s="2">
        <v>0.9</v>
      </c>
      <c r="T21" s="2">
        <f t="shared" si="6"/>
        <v>1.3132000000000001E-2</v>
      </c>
      <c r="U21" s="2">
        <v>1.34</v>
      </c>
    </row>
    <row r="22" spans="2:22" x14ac:dyDescent="0.2">
      <c r="B22" s="74">
        <f t="shared" si="0"/>
        <v>4.4200000000000003E-2</v>
      </c>
      <c r="C22" s="2">
        <v>44.2</v>
      </c>
      <c r="D22" s="2">
        <v>1.0069999999999999</v>
      </c>
      <c r="E22" s="2">
        <f t="shared" si="1"/>
        <v>3.8220000000000003E-3</v>
      </c>
      <c r="F22" s="2">
        <v>0.39</v>
      </c>
      <c r="G22" s="74">
        <f t="shared" si="2"/>
        <v>4.3799999999999999E-2</v>
      </c>
      <c r="H22" s="2">
        <v>43.8</v>
      </c>
      <c r="I22" s="2">
        <v>1</v>
      </c>
      <c r="J22" s="2">
        <f t="shared" si="3"/>
        <v>7.8400000000000015E-3</v>
      </c>
      <c r="K22" s="2">
        <v>0.8</v>
      </c>
      <c r="L22" s="74">
        <f t="shared" si="4"/>
        <v>4.3700000000000003E-2</v>
      </c>
      <c r="M22" s="2">
        <v>43.7</v>
      </c>
      <c r="N22" s="2">
        <v>1.004</v>
      </c>
      <c r="O22" s="2">
        <f t="shared" si="7"/>
        <v>7.7420000000000006E-3</v>
      </c>
      <c r="P22" s="2">
        <v>0.79</v>
      </c>
      <c r="Q22" s="74">
        <f t="shared" si="5"/>
        <v>4.41E-2</v>
      </c>
      <c r="R22" s="2">
        <v>44.1</v>
      </c>
      <c r="S22" s="2">
        <v>1.0009999999999999</v>
      </c>
      <c r="T22" s="2">
        <f t="shared" si="6"/>
        <v>1.4700000000000001E-2</v>
      </c>
      <c r="U22" s="2">
        <v>1.5</v>
      </c>
    </row>
    <row r="23" spans="2:22" x14ac:dyDescent="0.2">
      <c r="B23" s="74">
        <f t="shared" si="0"/>
        <v>4.82E-2</v>
      </c>
      <c r="C23" s="2">
        <v>48.2</v>
      </c>
      <c r="D23" s="2">
        <v>1.1020000000000001</v>
      </c>
      <c r="E23" s="2">
        <f t="shared" si="1"/>
        <v>4.2140000000000007E-3</v>
      </c>
      <c r="F23" s="2">
        <v>0.43</v>
      </c>
      <c r="G23" s="74">
        <f t="shared" si="2"/>
        <v>4.8000000000000001E-2</v>
      </c>
      <c r="H23" s="2">
        <v>48</v>
      </c>
      <c r="I23" s="2">
        <v>1.1000000000000001</v>
      </c>
      <c r="J23" s="2">
        <f t="shared" si="3"/>
        <v>8.5260000000000006E-3</v>
      </c>
      <c r="K23" s="2">
        <v>0.87</v>
      </c>
      <c r="L23" s="74">
        <f t="shared" si="4"/>
        <v>4.7799999999999995E-2</v>
      </c>
      <c r="M23" s="2">
        <v>47.8</v>
      </c>
      <c r="N23" s="2">
        <v>1.101</v>
      </c>
      <c r="O23" s="2">
        <f t="shared" si="7"/>
        <v>8.5260000000000006E-3</v>
      </c>
      <c r="P23" s="2">
        <v>0.87</v>
      </c>
      <c r="Q23" s="74">
        <f t="shared" si="5"/>
        <v>4.8000000000000001E-2</v>
      </c>
      <c r="R23" s="2">
        <v>48</v>
      </c>
      <c r="S23" s="2">
        <v>1.105</v>
      </c>
      <c r="T23" s="2">
        <f t="shared" si="6"/>
        <v>1.5973999999999999E-2</v>
      </c>
      <c r="U23" s="2">
        <v>1.63</v>
      </c>
    </row>
    <row r="24" spans="2:22" x14ac:dyDescent="0.2">
      <c r="B24" s="74">
        <f t="shared" si="0"/>
        <v>5.3100000000000001E-2</v>
      </c>
      <c r="C24" s="2">
        <v>53.1</v>
      </c>
      <c r="D24" s="2">
        <v>1.204</v>
      </c>
      <c r="E24" s="2">
        <f t="shared" si="1"/>
        <v>4.5080000000000007E-3</v>
      </c>
      <c r="F24" s="2">
        <v>0.46</v>
      </c>
      <c r="G24" s="74">
        <f t="shared" si="2"/>
        <v>5.2200000000000003E-2</v>
      </c>
      <c r="H24" s="2">
        <v>52.2</v>
      </c>
      <c r="I24" s="2">
        <v>1.2030000000000001</v>
      </c>
      <c r="J24" s="2">
        <f t="shared" si="3"/>
        <v>9.3100000000000006E-3</v>
      </c>
      <c r="K24" s="2">
        <v>0.95</v>
      </c>
      <c r="L24" s="74">
        <f t="shared" si="4"/>
        <v>5.21E-2</v>
      </c>
      <c r="M24" s="2">
        <v>52.1</v>
      </c>
      <c r="N24" s="2">
        <v>1.2050000000000001</v>
      </c>
      <c r="O24" s="2">
        <f t="shared" si="7"/>
        <v>9.2119999999999997E-3</v>
      </c>
      <c r="P24" s="2">
        <v>0.94</v>
      </c>
      <c r="Q24" s="74">
        <f t="shared" si="5"/>
        <v>5.1999999999999998E-2</v>
      </c>
      <c r="R24" s="2">
        <v>52</v>
      </c>
      <c r="S24" s="2">
        <v>1.198</v>
      </c>
      <c r="T24" s="2">
        <f t="shared" si="6"/>
        <v>1.7247999999999999E-2</v>
      </c>
      <c r="U24" s="2">
        <v>1.76</v>
      </c>
    </row>
    <row r="26" spans="2:22" ht="17" thickBot="1" x14ac:dyDescent="0.25">
      <c r="B26" s="1" t="s">
        <v>59</v>
      </c>
      <c r="C26" s="1"/>
      <c r="D26" s="1"/>
      <c r="E26" s="1"/>
      <c r="F26" s="1"/>
      <c r="H26" s="1" t="s">
        <v>59</v>
      </c>
      <c r="I26" s="1"/>
      <c r="J26" s="1"/>
      <c r="K26" s="1"/>
      <c r="L26" s="1"/>
      <c r="M26" s="1" t="s">
        <v>59</v>
      </c>
      <c r="N26" s="1"/>
      <c r="O26" s="1"/>
      <c r="P26" s="1"/>
      <c r="Q26" s="1"/>
      <c r="R26" s="1" t="s">
        <v>59</v>
      </c>
      <c r="S26" s="1"/>
      <c r="T26" s="1"/>
      <c r="U26" s="1"/>
      <c r="V26" s="1"/>
    </row>
    <row r="27" spans="2:22" x14ac:dyDescent="0.2">
      <c r="B27" s="35" t="s">
        <v>60</v>
      </c>
      <c r="C27" s="36" t="s">
        <v>57</v>
      </c>
      <c r="D27" s="36" t="s">
        <v>61</v>
      </c>
      <c r="E27" s="36" t="s">
        <v>56</v>
      </c>
      <c r="F27" s="37" t="s">
        <v>62</v>
      </c>
      <c r="H27" s="41" t="s">
        <v>60</v>
      </c>
      <c r="I27" s="42" t="s">
        <v>57</v>
      </c>
      <c r="J27" s="42" t="s">
        <v>61</v>
      </c>
      <c r="K27" s="42" t="s">
        <v>56</v>
      </c>
      <c r="L27" s="43" t="s">
        <v>62</v>
      </c>
      <c r="M27" s="47" t="s">
        <v>60</v>
      </c>
      <c r="N27" s="48" t="s">
        <v>57</v>
      </c>
      <c r="O27" s="48" t="s">
        <v>61</v>
      </c>
      <c r="P27" s="48" t="s">
        <v>56</v>
      </c>
      <c r="Q27" s="49" t="s">
        <v>62</v>
      </c>
      <c r="R27" s="53" t="s">
        <v>60</v>
      </c>
      <c r="S27" s="54" t="s">
        <v>57</v>
      </c>
      <c r="T27" s="54" t="s">
        <v>61</v>
      </c>
      <c r="U27" s="54" t="s">
        <v>56</v>
      </c>
      <c r="V27" s="55" t="s">
        <v>62</v>
      </c>
    </row>
    <row r="28" spans="2:22" ht="17" thickBot="1" x14ac:dyDescent="0.25">
      <c r="B28" s="38"/>
      <c r="C28" s="39"/>
      <c r="D28" s="39"/>
      <c r="E28" s="39"/>
      <c r="F28" s="40"/>
      <c r="H28" s="44"/>
      <c r="I28" s="45"/>
      <c r="J28" s="45"/>
      <c r="K28" s="45"/>
      <c r="L28" s="46"/>
      <c r="M28" s="50"/>
      <c r="N28" s="51"/>
      <c r="O28" s="51"/>
      <c r="P28" s="51"/>
      <c r="Q28" s="52"/>
      <c r="R28" s="56"/>
      <c r="S28" s="57"/>
      <c r="T28" s="57"/>
      <c r="U28" s="57"/>
      <c r="V28" s="58"/>
    </row>
    <row r="30" spans="2:22" x14ac:dyDescent="0.2">
      <c r="B30" s="60" t="s">
        <v>63</v>
      </c>
      <c r="C30" s="60">
        <f>D7*B7</f>
        <v>0.10500000000000001</v>
      </c>
      <c r="H30" s="60" t="s">
        <v>63</v>
      </c>
      <c r="I30" s="60">
        <f>I7*G7</f>
        <v>0.21000000000000002</v>
      </c>
      <c r="M30" s="60" t="s">
        <v>63</v>
      </c>
      <c r="N30" s="60">
        <f>N7*L7</f>
        <v>0.189</v>
      </c>
      <c r="R30" s="62" t="s">
        <v>63</v>
      </c>
      <c r="S30" s="63">
        <f>Q7*S7</f>
        <v>0.378</v>
      </c>
    </row>
    <row r="31" spans="2:22" x14ac:dyDescent="0.2">
      <c r="B31" s="61" t="s">
        <v>70</v>
      </c>
      <c r="C31" s="61"/>
      <c r="H31" s="61" t="s">
        <v>70</v>
      </c>
      <c r="I31" s="61"/>
      <c r="M31" s="61" t="s">
        <v>70</v>
      </c>
      <c r="N31" s="61"/>
      <c r="R31" s="64" t="s">
        <v>70</v>
      </c>
      <c r="S31" s="64"/>
    </row>
    <row r="50" spans="2:18" ht="17" thickBot="1" x14ac:dyDescent="0.25"/>
    <row r="51" spans="2:18" ht="17" thickBot="1" x14ac:dyDescent="0.25">
      <c r="B51" s="21" t="s">
        <v>57</v>
      </c>
      <c r="C51" s="21" t="s">
        <v>28</v>
      </c>
      <c r="D51" s="21"/>
      <c r="E51" s="21"/>
      <c r="F51" s="79" t="s">
        <v>40</v>
      </c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2:18" ht="18" thickBot="1" x14ac:dyDescent="0.25">
      <c r="B52" s="22" t="s">
        <v>41</v>
      </c>
      <c r="C52" s="22" t="s">
        <v>42</v>
      </c>
      <c r="D52" s="22" t="s">
        <v>43</v>
      </c>
      <c r="E52" s="22" t="s">
        <v>44</v>
      </c>
      <c r="F52" s="23" t="s">
        <v>45</v>
      </c>
      <c r="G52" s="23" t="s">
        <v>46</v>
      </c>
      <c r="H52" s="23" t="s">
        <v>47</v>
      </c>
      <c r="I52" s="23" t="s">
        <v>48</v>
      </c>
      <c r="J52" s="23" t="s">
        <v>49</v>
      </c>
      <c r="K52" s="23" t="s">
        <v>50</v>
      </c>
      <c r="L52" s="23" t="s">
        <v>51</v>
      </c>
      <c r="M52" s="23" t="s">
        <v>52</v>
      </c>
      <c r="N52" s="24" t="s">
        <v>53</v>
      </c>
      <c r="O52" s="24" t="s">
        <v>54</v>
      </c>
      <c r="P52" s="24" t="s">
        <v>55</v>
      </c>
      <c r="Q52" s="23" t="s">
        <v>56</v>
      </c>
      <c r="R52" s="23" t="s">
        <v>57</v>
      </c>
    </row>
    <row r="53" spans="2:18" ht="17" thickBot="1" x14ac:dyDescent="0.25">
      <c r="D53" s="25">
        <v>0</v>
      </c>
      <c r="E53" s="25">
        <f>0.01*SQRT(2)</f>
        <v>1.4142135623730952E-2</v>
      </c>
      <c r="F53" s="76">
        <f>COUNTA(C53:C62)</f>
        <v>0</v>
      </c>
      <c r="G53" s="76">
        <f>SUM(B53:B62)</f>
        <v>0</v>
      </c>
      <c r="H53" s="76">
        <f>SUM(C53:C62)</f>
        <v>0</v>
      </c>
      <c r="I53" s="25">
        <f>B53*C53</f>
        <v>0</v>
      </c>
      <c r="J53" s="76">
        <f>SUM(I53:I62)</f>
        <v>0</v>
      </c>
      <c r="K53" s="25">
        <f>B53^2</f>
        <v>0</v>
      </c>
      <c r="L53" s="76">
        <f>SUM(K53:K62)</f>
        <v>0</v>
      </c>
      <c r="M53" s="76">
        <f>(F53*L53)-(G53^2)</f>
        <v>0</v>
      </c>
      <c r="N53" s="76" t="e">
        <f>SQRT(E53^2+(R53*D53)^2)</f>
        <v>#DIV/0!</v>
      </c>
      <c r="O53" s="76" t="e">
        <f>N53*SQRT(L53/M53)</f>
        <v>#DIV/0!</v>
      </c>
      <c r="P53" s="76" t="e">
        <f>N53*SQRT(F53/M53)</f>
        <v>#DIV/0!</v>
      </c>
      <c r="Q53" s="76" t="e">
        <f>(L53*H53-G53*J53)/M53</f>
        <v>#DIV/0!</v>
      </c>
      <c r="R53" s="76" t="e">
        <f>((F53*J53)-(G53*H53))/M53</f>
        <v>#DIV/0!</v>
      </c>
    </row>
    <row r="54" spans="2:18" ht="17" thickBot="1" x14ac:dyDescent="0.25">
      <c r="D54" s="25">
        <v>0</v>
      </c>
      <c r="E54" s="25">
        <f t="shared" ref="E54:E62" si="8">0.01*SQRT(2)</f>
        <v>1.4142135623730952E-2</v>
      </c>
      <c r="F54" s="77"/>
      <c r="G54" s="77"/>
      <c r="H54" s="77"/>
      <c r="I54" s="26">
        <f t="shared" ref="I54:I61" si="9">B54*C54</f>
        <v>0</v>
      </c>
      <c r="J54" s="77"/>
      <c r="K54" s="26">
        <f t="shared" ref="K54:K61" si="10">B54^2</f>
        <v>0</v>
      </c>
      <c r="L54" s="77"/>
      <c r="M54" s="77"/>
      <c r="N54" s="77"/>
      <c r="O54" s="77"/>
      <c r="P54" s="77"/>
      <c r="Q54" s="77"/>
      <c r="R54" s="77"/>
    </row>
    <row r="55" spans="2:18" ht="17" thickBot="1" x14ac:dyDescent="0.25">
      <c r="D55" s="25">
        <v>0</v>
      </c>
      <c r="E55" s="25">
        <f t="shared" si="8"/>
        <v>1.4142135623730952E-2</v>
      </c>
      <c r="F55" s="77"/>
      <c r="G55" s="77"/>
      <c r="H55" s="77"/>
      <c r="I55" s="26">
        <f t="shared" si="9"/>
        <v>0</v>
      </c>
      <c r="J55" s="77"/>
      <c r="K55" s="26">
        <f t="shared" si="10"/>
        <v>0</v>
      </c>
      <c r="L55" s="77"/>
      <c r="M55" s="77"/>
      <c r="N55" s="77"/>
      <c r="O55" s="77"/>
      <c r="P55" s="77"/>
      <c r="Q55" s="77"/>
      <c r="R55" s="77"/>
    </row>
    <row r="56" spans="2:18" ht="17" thickBot="1" x14ac:dyDescent="0.25">
      <c r="D56" s="25">
        <v>0</v>
      </c>
      <c r="E56" s="25">
        <f t="shared" si="8"/>
        <v>1.4142135623730952E-2</v>
      </c>
      <c r="F56" s="77"/>
      <c r="G56" s="77"/>
      <c r="H56" s="77"/>
      <c r="I56" s="26">
        <f t="shared" si="9"/>
        <v>0</v>
      </c>
      <c r="J56" s="77"/>
      <c r="K56" s="26">
        <f t="shared" si="10"/>
        <v>0</v>
      </c>
      <c r="L56" s="77"/>
      <c r="M56" s="77"/>
      <c r="N56" s="77"/>
      <c r="O56" s="77"/>
      <c r="P56" s="77"/>
      <c r="Q56" s="77"/>
      <c r="R56" s="77"/>
    </row>
    <row r="57" spans="2:18" ht="17" thickBot="1" x14ac:dyDescent="0.25">
      <c r="D57" s="25">
        <v>0</v>
      </c>
      <c r="E57" s="25">
        <f t="shared" si="8"/>
        <v>1.4142135623730952E-2</v>
      </c>
      <c r="F57" s="77"/>
      <c r="G57" s="77"/>
      <c r="H57" s="77"/>
      <c r="I57" s="26">
        <f t="shared" si="9"/>
        <v>0</v>
      </c>
      <c r="J57" s="77"/>
      <c r="K57" s="26">
        <f t="shared" si="10"/>
        <v>0</v>
      </c>
      <c r="L57" s="77"/>
      <c r="M57" s="77"/>
      <c r="N57" s="77"/>
      <c r="O57" s="77"/>
      <c r="P57" s="77"/>
      <c r="Q57" s="77"/>
      <c r="R57" s="77"/>
    </row>
    <row r="58" spans="2:18" ht="17" thickBot="1" x14ac:dyDescent="0.25">
      <c r="D58" s="25">
        <v>0</v>
      </c>
      <c r="E58" s="25">
        <f t="shared" si="8"/>
        <v>1.4142135623730952E-2</v>
      </c>
      <c r="F58" s="77"/>
      <c r="G58" s="77"/>
      <c r="H58" s="77"/>
      <c r="I58" s="26">
        <f t="shared" si="9"/>
        <v>0</v>
      </c>
      <c r="J58" s="77"/>
      <c r="K58" s="26">
        <f t="shared" si="10"/>
        <v>0</v>
      </c>
      <c r="L58" s="77"/>
      <c r="M58" s="77"/>
      <c r="N58" s="77"/>
      <c r="O58" s="77"/>
      <c r="P58" s="77"/>
      <c r="Q58" s="77"/>
      <c r="R58" s="77"/>
    </row>
    <row r="59" spans="2:18" ht="17" thickBot="1" x14ac:dyDescent="0.25">
      <c r="D59" s="25">
        <v>0</v>
      </c>
      <c r="E59" s="25">
        <f t="shared" si="8"/>
        <v>1.4142135623730952E-2</v>
      </c>
      <c r="F59" s="77"/>
      <c r="G59" s="77"/>
      <c r="H59" s="77"/>
      <c r="I59" s="26">
        <f t="shared" si="9"/>
        <v>0</v>
      </c>
      <c r="J59" s="77"/>
      <c r="K59" s="26">
        <f t="shared" si="10"/>
        <v>0</v>
      </c>
      <c r="L59" s="77"/>
      <c r="M59" s="77"/>
      <c r="N59" s="77"/>
      <c r="O59" s="77"/>
      <c r="P59" s="77"/>
      <c r="Q59" s="77"/>
      <c r="R59" s="77"/>
    </row>
    <row r="60" spans="2:18" ht="17" thickBot="1" x14ac:dyDescent="0.25">
      <c r="D60" s="25">
        <v>0</v>
      </c>
      <c r="E60" s="25">
        <f t="shared" si="8"/>
        <v>1.4142135623730952E-2</v>
      </c>
      <c r="F60" s="77"/>
      <c r="G60" s="77"/>
      <c r="H60" s="77"/>
      <c r="I60" s="26">
        <f t="shared" si="9"/>
        <v>0</v>
      </c>
      <c r="J60" s="77"/>
      <c r="K60" s="26">
        <f t="shared" si="10"/>
        <v>0</v>
      </c>
      <c r="L60" s="77"/>
      <c r="M60" s="77"/>
      <c r="N60" s="77"/>
      <c r="O60" s="77"/>
      <c r="P60" s="77"/>
      <c r="Q60" s="77"/>
      <c r="R60" s="77"/>
    </row>
    <row r="61" spans="2:18" ht="17" thickBot="1" x14ac:dyDescent="0.25">
      <c r="D61" s="25">
        <v>0</v>
      </c>
      <c r="E61" s="25">
        <f t="shared" si="8"/>
        <v>1.4142135623730952E-2</v>
      </c>
      <c r="F61" s="77"/>
      <c r="G61" s="77"/>
      <c r="H61" s="77"/>
      <c r="I61" s="26">
        <f t="shared" si="9"/>
        <v>0</v>
      </c>
      <c r="J61" s="77"/>
      <c r="K61" s="26">
        <f t="shared" si="10"/>
        <v>0</v>
      </c>
      <c r="L61" s="77"/>
      <c r="M61" s="77"/>
      <c r="N61" s="77"/>
      <c r="O61" s="77"/>
      <c r="P61" s="77"/>
      <c r="Q61" s="77"/>
      <c r="R61" s="77"/>
    </row>
    <row r="62" spans="2:18" ht="17" thickBot="1" x14ac:dyDescent="0.25">
      <c r="D62" s="28">
        <v>0</v>
      </c>
      <c r="E62" s="28">
        <f t="shared" si="8"/>
        <v>1.4142135623730952E-2</v>
      </c>
      <c r="F62" s="78"/>
      <c r="G62" s="78"/>
      <c r="H62" s="78"/>
      <c r="I62" s="27">
        <f>B62*C62</f>
        <v>0</v>
      </c>
      <c r="J62" s="78"/>
      <c r="K62" s="27">
        <f>B62^2</f>
        <v>0</v>
      </c>
      <c r="L62" s="78"/>
      <c r="M62" s="78"/>
      <c r="N62" s="78"/>
      <c r="O62" s="78"/>
      <c r="P62" s="78"/>
      <c r="Q62" s="78"/>
      <c r="R62" s="78"/>
    </row>
    <row r="65" spans="3:21" x14ac:dyDescent="0.2">
      <c r="D65" s="19" t="s">
        <v>33</v>
      </c>
      <c r="E65" s="19" t="s">
        <v>8</v>
      </c>
      <c r="I65" s="19" t="s">
        <v>33</v>
      </c>
      <c r="J65" s="19" t="s">
        <v>10</v>
      </c>
      <c r="N65" s="19" t="s">
        <v>33</v>
      </c>
      <c r="O65" s="19" t="s">
        <v>8</v>
      </c>
      <c r="S65" s="19" t="s">
        <v>33</v>
      </c>
      <c r="T65" s="19" t="s">
        <v>10</v>
      </c>
    </row>
    <row r="66" spans="3:21" x14ac:dyDescent="0.2">
      <c r="D66" s="19">
        <v>2.5</v>
      </c>
      <c r="E66" s="19" t="s">
        <v>35</v>
      </c>
      <c r="I66" s="19">
        <v>2.5</v>
      </c>
      <c r="J66" s="19" t="s">
        <v>36</v>
      </c>
      <c r="N66" s="19">
        <v>4.5</v>
      </c>
      <c r="O66" s="19" t="s">
        <v>35</v>
      </c>
      <c r="S66" s="19">
        <v>4.5</v>
      </c>
      <c r="T66" s="19" t="s">
        <v>36</v>
      </c>
    </row>
    <row r="67" spans="3:21" x14ac:dyDescent="0.2">
      <c r="C67" t="s">
        <v>86</v>
      </c>
      <c r="D67" cm="1">
        <f t="array" ref="D67:E71">LINEST(E12:E24,B12:B24,1,1)</f>
        <v>8.9339835151593064E-2</v>
      </c>
      <c r="E67">
        <v>-1.2179451147994015E-4</v>
      </c>
      <c r="F67" t="s">
        <v>87</v>
      </c>
      <c r="H67" t="s">
        <v>86</v>
      </c>
      <c r="I67" cm="1">
        <f t="array" ref="I67:J71">LINEST(J12:J24,G12:G24,1,1)</f>
        <v>0.18350970245377979</v>
      </c>
      <c r="J67">
        <v>-2.1084512875806701E-4</v>
      </c>
      <c r="K67" t="s">
        <v>87</v>
      </c>
      <c r="M67" t="s">
        <v>86</v>
      </c>
      <c r="N67" cm="1">
        <f t="array" ref="N67:O71">LINEST(O12:O24,L12:L24,1,1)</f>
        <v>0.1816499937960688</v>
      </c>
      <c r="O67">
        <v>-2.2000714338357621E-4</v>
      </c>
      <c r="P67" t="s">
        <v>87</v>
      </c>
      <c r="R67" t="s">
        <v>86</v>
      </c>
      <c r="S67" cm="1">
        <f t="array" ref="S67:T71">LINEST(T12:T24,Q12:Q24,1,1)</f>
        <v>0.34373325733827292</v>
      </c>
      <c r="T67">
        <v>-5.0996518841659594E-4</v>
      </c>
      <c r="U67" t="s">
        <v>87</v>
      </c>
    </row>
    <row r="68" spans="3:21" x14ac:dyDescent="0.2">
      <c r="C68" t="s">
        <v>89</v>
      </c>
      <c r="D68">
        <v>8.0677480397060592E-4</v>
      </c>
      <c r="E68">
        <v>2.5178285022003088E-5</v>
      </c>
      <c r="F68" t="s">
        <v>88</v>
      </c>
      <c r="H68" t="s">
        <v>89</v>
      </c>
      <c r="I68">
        <v>9.9382522273274549E-4</v>
      </c>
      <c r="J68">
        <v>3.073504231382023E-5</v>
      </c>
      <c r="K68" t="s">
        <v>88</v>
      </c>
      <c r="M68" t="s">
        <v>89</v>
      </c>
      <c r="N68">
        <v>7.5022522641053364E-4</v>
      </c>
      <c r="O68">
        <v>2.31859558705208E-5</v>
      </c>
      <c r="P68" t="s">
        <v>88</v>
      </c>
      <c r="R68" t="s">
        <v>89</v>
      </c>
      <c r="S68">
        <v>3.8677882923499329E-3</v>
      </c>
      <c r="T68">
        <v>1.1927374983921707E-4</v>
      </c>
      <c r="U68" t="s">
        <v>88</v>
      </c>
    </row>
    <row r="69" spans="3:21" x14ac:dyDescent="0.2">
      <c r="C69" t="s">
        <v>60</v>
      </c>
      <c r="D69">
        <v>0.99910377378315951</v>
      </c>
      <c r="E69">
        <v>4.6704741579270389E-5</v>
      </c>
      <c r="F69" t="s">
        <v>90</v>
      </c>
      <c r="H69" t="s">
        <v>60</v>
      </c>
      <c r="I69">
        <v>0.99967748155151903</v>
      </c>
      <c r="J69">
        <v>5.7401062494645507E-5</v>
      </c>
      <c r="K69" t="s">
        <v>90</v>
      </c>
      <c r="M69" t="s">
        <v>60</v>
      </c>
      <c r="N69">
        <v>0.99981240392076531</v>
      </c>
      <c r="O69">
        <v>4.3085121383186405E-5</v>
      </c>
      <c r="P69" t="s">
        <v>90</v>
      </c>
      <c r="R69" t="s">
        <v>60</v>
      </c>
      <c r="S69">
        <v>0.99860918129906751</v>
      </c>
      <c r="T69">
        <v>2.268127250316151E-4</v>
      </c>
      <c r="U69" t="s">
        <v>90</v>
      </c>
    </row>
    <row r="70" spans="3:21" x14ac:dyDescent="0.2">
      <c r="D70">
        <v>12262.686925583492</v>
      </c>
      <c r="E70">
        <v>11</v>
      </c>
      <c r="I70">
        <v>34095.576079009086</v>
      </c>
      <c r="J70">
        <v>11</v>
      </c>
      <c r="N70">
        <v>58625.619938307136</v>
      </c>
      <c r="O70">
        <v>11</v>
      </c>
      <c r="S70">
        <v>7898.0107090339125</v>
      </c>
      <c r="T70">
        <v>11</v>
      </c>
    </row>
    <row r="71" spans="3:21" x14ac:dyDescent="0.2">
      <c r="D71">
        <v>2.674900226133108E-5</v>
      </c>
      <c r="E71">
        <v>2.3994661745850711E-8</v>
      </c>
      <c r="I71">
        <v>1.1234089906750013E-4</v>
      </c>
      <c r="J71">
        <v>3.624370173065619E-8</v>
      </c>
      <c r="N71">
        <v>1.0882836131854629E-4</v>
      </c>
      <c r="O71">
        <v>2.041960453064297E-8</v>
      </c>
      <c r="S71">
        <v>4.0630535955770873E-4</v>
      </c>
      <c r="T71">
        <v>5.6588413459893742E-7</v>
      </c>
    </row>
    <row r="73" spans="3:21" x14ac:dyDescent="0.2">
      <c r="D73" t="s">
        <v>63</v>
      </c>
      <c r="E73">
        <v>0.10500000000000001</v>
      </c>
      <c r="I73" t="s">
        <v>63</v>
      </c>
      <c r="J73">
        <v>0.21</v>
      </c>
      <c r="N73" t="s">
        <v>63</v>
      </c>
      <c r="O73">
        <v>0.189</v>
      </c>
      <c r="S73" t="s">
        <v>63</v>
      </c>
      <c r="T73">
        <v>0.378</v>
      </c>
    </row>
    <row r="74" spans="3:21" x14ac:dyDescent="0.2">
      <c r="D74" t="s">
        <v>70</v>
      </c>
      <c r="I74" t="s">
        <v>70</v>
      </c>
      <c r="N74" t="s">
        <v>70</v>
      </c>
      <c r="S74" t="s">
        <v>70</v>
      </c>
    </row>
    <row r="75" spans="3:21" x14ac:dyDescent="0.2">
      <c r="D75" t="s">
        <v>96</v>
      </c>
      <c r="E75">
        <f>$N$4*D7+$M$4*B7</f>
        <v>2.542E-3</v>
      </c>
      <c r="I75" t="s">
        <v>96</v>
      </c>
      <c r="J75">
        <f>$N$4*I7+$M$4*G7</f>
        <v>2.5839999999999999E-3</v>
      </c>
      <c r="N75" t="s">
        <v>96</v>
      </c>
      <c r="O75">
        <f>$N$4*N7+$M$4*L7</f>
        <v>4.5420000000000009E-3</v>
      </c>
      <c r="S75" t="s">
        <v>96</v>
      </c>
      <c r="T75">
        <f>$N$4*S7+$M$4*Q7</f>
        <v>4.5840000000000004E-3</v>
      </c>
    </row>
  </sheetData>
  <mergeCells count="12">
    <mergeCell ref="Q53:Q62"/>
    <mergeCell ref="R53:R62"/>
    <mergeCell ref="F51:R51"/>
    <mergeCell ref="F53:F62"/>
    <mergeCell ref="G53:G62"/>
    <mergeCell ref="H53:H62"/>
    <mergeCell ref="J53:J62"/>
    <mergeCell ref="L53:L62"/>
    <mergeCell ref="M53:M62"/>
    <mergeCell ref="N53:N62"/>
    <mergeCell ref="O53:O62"/>
    <mergeCell ref="P53:P6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E47F-24F0-E74B-B2D3-49E5E7F66A12}">
  <dimension ref="B2:S36"/>
  <sheetViews>
    <sheetView tabSelected="1" topLeftCell="D1" workbookViewId="0">
      <selection activeCell="O17" sqref="O17"/>
    </sheetView>
  </sheetViews>
  <sheetFormatPr baseColWidth="10" defaultRowHeight="16" x14ac:dyDescent="0.2"/>
  <cols>
    <col min="12" max="12" width="14" customWidth="1"/>
  </cols>
  <sheetData>
    <row r="2" spans="2:18" ht="17" thickBot="1" x14ac:dyDescent="0.25">
      <c r="B2" s="20" t="s">
        <v>71</v>
      </c>
      <c r="D2" s="16" t="s">
        <v>38</v>
      </c>
      <c r="E2" s="16"/>
      <c r="F2" s="16"/>
      <c r="G2" s="16"/>
      <c r="H2" s="16" t="s">
        <v>39</v>
      </c>
      <c r="K2" t="s">
        <v>13</v>
      </c>
    </row>
    <row r="3" spans="2:18" x14ac:dyDescent="0.2">
      <c r="B3" s="20" t="s">
        <v>72</v>
      </c>
      <c r="K3" s="29" t="s">
        <v>83</v>
      </c>
      <c r="L3" s="30" t="s">
        <v>84</v>
      </c>
      <c r="M3" s="30" t="s">
        <v>82</v>
      </c>
      <c r="N3" s="31" t="s">
        <v>3</v>
      </c>
      <c r="P3" s="29" t="s">
        <v>65</v>
      </c>
      <c r="Q3" s="10"/>
    </row>
    <row r="4" spans="2:18" ht="17" thickBot="1" x14ac:dyDescent="0.25">
      <c r="K4" s="32">
        <v>0.01</v>
      </c>
      <c r="L4" s="33">
        <v>0.1</v>
      </c>
      <c r="M4" s="33">
        <v>1E-3</v>
      </c>
      <c r="N4" s="34">
        <v>1E-3</v>
      </c>
      <c r="P4" s="59" t="s">
        <v>66</v>
      </c>
      <c r="Q4" s="12"/>
    </row>
    <row r="6" spans="2:18" ht="17" thickBot="1" x14ac:dyDescent="0.25"/>
    <row r="7" spans="2:18" x14ac:dyDescent="0.2">
      <c r="B7" s="65" t="s">
        <v>33</v>
      </c>
      <c r="C7" s="66" t="s">
        <v>34</v>
      </c>
      <c r="E7" s="69" t="s">
        <v>58</v>
      </c>
      <c r="F7" s="1"/>
    </row>
    <row r="8" spans="2:18" ht="17" thickBot="1" x14ac:dyDescent="0.25">
      <c r="B8" s="67">
        <v>4.5</v>
      </c>
      <c r="C8" s="68">
        <v>1.1000000000000001</v>
      </c>
      <c r="E8" s="70">
        <f>AVERAGE(I12:I17)/1000</f>
        <v>4.9199999999999994E-2</v>
      </c>
      <c r="F8" s="1" t="s">
        <v>74</v>
      </c>
      <c r="G8" t="s">
        <v>101</v>
      </c>
    </row>
    <row r="9" spans="2:18" x14ac:dyDescent="0.2">
      <c r="B9" s="1">
        <v>4.5</v>
      </c>
      <c r="C9" s="1">
        <v>1.1020000000000001</v>
      </c>
      <c r="I9" t="s">
        <v>80</v>
      </c>
    </row>
    <row r="11" spans="2:18" ht="17" thickBot="1" x14ac:dyDescent="0.25">
      <c r="E11" s="1"/>
      <c r="F11" s="2" t="s">
        <v>67</v>
      </c>
      <c r="G11" s="2" t="s">
        <v>32</v>
      </c>
      <c r="H11" s="2" t="s">
        <v>37</v>
      </c>
      <c r="I11" s="2" t="s">
        <v>79</v>
      </c>
      <c r="K11" s="1" t="s">
        <v>59</v>
      </c>
      <c r="L11" s="1"/>
      <c r="M11" s="1"/>
      <c r="N11" s="1"/>
      <c r="O11" s="1"/>
      <c r="Q11" s="75" t="s">
        <v>99</v>
      </c>
      <c r="R11" s="75"/>
    </row>
    <row r="12" spans="2:18" x14ac:dyDescent="0.2">
      <c r="E12" s="2" t="s">
        <v>5</v>
      </c>
      <c r="F12" s="2">
        <v>1.2E-2</v>
      </c>
      <c r="G12" s="2">
        <f>H12*9.8/1000</f>
        <v>2.9399999999999999E-3</v>
      </c>
      <c r="H12" s="2">
        <v>0.3</v>
      </c>
      <c r="I12" s="2">
        <v>49.3</v>
      </c>
      <c r="K12" s="53" t="s">
        <v>60</v>
      </c>
      <c r="L12" s="54" t="s">
        <v>57</v>
      </c>
      <c r="M12" s="54" t="s">
        <v>61</v>
      </c>
      <c r="N12" s="54" t="s">
        <v>56</v>
      </c>
      <c r="O12" s="55" t="s">
        <v>62</v>
      </c>
      <c r="Q12">
        <f>($N$4*$B$8*I12/1000) + ($M$4*F12*I12/1000) + ($L$4/1000)*F12*$B$8</f>
        <v>2.2784160000000002E-4</v>
      </c>
    </row>
    <row r="13" spans="2:18" ht="17" thickBot="1" x14ac:dyDescent="0.25">
      <c r="E13" s="2" t="s">
        <v>7</v>
      </c>
      <c r="F13" s="2">
        <v>2.1999999999999999E-2</v>
      </c>
      <c r="G13" s="2">
        <f t="shared" ref="G13:G17" si="0">H13*9.8/1000</f>
        <v>4.9979999999999998E-3</v>
      </c>
      <c r="H13" s="2">
        <v>0.51</v>
      </c>
      <c r="I13" s="2">
        <v>49.6</v>
      </c>
      <c r="K13" s="56">
        <v>0.99903299999999995</v>
      </c>
      <c r="L13" s="57">
        <v>0.19144</v>
      </c>
      <c r="M13" s="57" t="s">
        <v>98</v>
      </c>
      <c r="N13" s="57">
        <v>8.1490000000000002E-4</v>
      </c>
      <c r="O13" s="58" t="s">
        <v>98</v>
      </c>
      <c r="Q13">
        <f t="shared" ref="Q13:Q17" si="1">($N$4*$B$8*I13/1000) + ($M$4*F13*I13/1000) + ($L$4/1000)*F13*$B$8</f>
        <v>2.3419120000000004E-4</v>
      </c>
    </row>
    <row r="14" spans="2:18" x14ac:dyDescent="0.2">
      <c r="E14" s="2" t="s">
        <v>6</v>
      </c>
      <c r="F14" s="2">
        <v>3.2000000000000001E-2</v>
      </c>
      <c r="G14" s="2">
        <f t="shared" si="0"/>
        <v>7.0559999999999998E-3</v>
      </c>
      <c r="H14" s="2">
        <v>0.72</v>
      </c>
      <c r="I14" s="2">
        <v>49.5</v>
      </c>
      <c r="Q14">
        <f t="shared" si="1"/>
        <v>2.3873400000000002E-4</v>
      </c>
    </row>
    <row r="15" spans="2:18" x14ac:dyDescent="0.2">
      <c r="E15" s="2" t="s">
        <v>8</v>
      </c>
      <c r="F15" s="2">
        <v>4.2000000000000003E-2</v>
      </c>
      <c r="G15" s="2">
        <f t="shared" si="0"/>
        <v>9.1140000000000006E-3</v>
      </c>
      <c r="H15" s="2">
        <v>0.93</v>
      </c>
      <c r="I15" s="2">
        <v>49.2</v>
      </c>
      <c r="K15" s="62" t="s">
        <v>63</v>
      </c>
      <c r="L15" s="63">
        <f>E8*B8</f>
        <v>0.22139999999999999</v>
      </c>
      <c r="Q15">
        <f t="shared" si="1"/>
        <v>2.4236640000000004E-4</v>
      </c>
    </row>
    <row r="16" spans="2:18" x14ac:dyDescent="0.2">
      <c r="E16" s="2" t="s">
        <v>9</v>
      </c>
      <c r="F16" s="2">
        <v>6.4000000000000001E-2</v>
      </c>
      <c r="G16" s="2">
        <f t="shared" si="0"/>
        <v>1.2936000000000001E-2</v>
      </c>
      <c r="H16" s="2">
        <v>1.32</v>
      </c>
      <c r="I16" s="2">
        <v>48.7</v>
      </c>
      <c r="K16" s="64" t="s">
        <v>73</v>
      </c>
      <c r="L16" s="64" t="s">
        <v>97</v>
      </c>
      <c r="M16" t="s">
        <v>75</v>
      </c>
      <c r="N16" t="s">
        <v>76</v>
      </c>
      <c r="Q16">
        <f t="shared" si="1"/>
        <v>2.5106680000000004E-4</v>
      </c>
    </row>
    <row r="17" spans="2:19" x14ac:dyDescent="0.2">
      <c r="E17" s="2" t="s">
        <v>10</v>
      </c>
      <c r="F17" s="2">
        <v>8.4000000000000005E-2</v>
      </c>
      <c r="G17" s="2">
        <f t="shared" si="0"/>
        <v>1.6856000000000003E-2</v>
      </c>
      <c r="H17" s="2">
        <v>1.72</v>
      </c>
      <c r="I17" s="2">
        <v>48.9</v>
      </c>
      <c r="M17">
        <f>(L4/1000)*B8+M4*E8</f>
        <v>4.9919999999999999E-4</v>
      </c>
      <c r="Q17">
        <f t="shared" si="1"/>
        <v>2.6195760000000004E-4</v>
      </c>
    </row>
    <row r="19" spans="2:19" x14ac:dyDescent="0.2">
      <c r="P19" t="s">
        <v>86</v>
      </c>
      <c r="Q19" cm="1">
        <f t="array" ref="Q19:R23">LINEST(G12:G17,F12:F17,1,1)</f>
        <v>0.1914476956839796</v>
      </c>
      <c r="R19">
        <v>8.1489831748353912E-4</v>
      </c>
      <c r="S19" t="s">
        <v>87</v>
      </c>
    </row>
    <row r="20" spans="2:19" x14ac:dyDescent="0.2">
      <c r="P20" t="s">
        <v>89</v>
      </c>
      <c r="Q20">
        <v>2.9783113296401138E-3</v>
      </c>
      <c r="R20">
        <v>1.4675551634458497E-4</v>
      </c>
      <c r="S20" t="s">
        <v>88</v>
      </c>
    </row>
    <row r="21" spans="2:19" x14ac:dyDescent="0.2">
      <c r="P21" t="s">
        <v>60</v>
      </c>
      <c r="Q21">
        <v>0.99903288153742664</v>
      </c>
      <c r="R21">
        <v>1.798202996353197E-4</v>
      </c>
      <c r="S21" t="s">
        <v>90</v>
      </c>
    </row>
    <row r="22" spans="2:19" x14ac:dyDescent="0.2">
      <c r="Q22">
        <v>4131.9979721166301</v>
      </c>
      <c r="R22">
        <v>4</v>
      </c>
    </row>
    <row r="23" spans="2:19" x14ac:dyDescent="0.2">
      <c r="Q23">
        <v>1.3360955997268964E-4</v>
      </c>
      <c r="R23">
        <v>1.2934136064374465E-7</v>
      </c>
    </row>
    <row r="24" spans="2:19" ht="17" thickBot="1" x14ac:dyDescent="0.25"/>
    <row r="25" spans="2:19" ht="17" thickBot="1" x14ac:dyDescent="0.25">
      <c r="B25" s="21"/>
      <c r="C25" s="21"/>
      <c r="D25" s="21"/>
      <c r="E25" s="21"/>
      <c r="F25" s="79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1"/>
    </row>
    <row r="26" spans="2:19" ht="17" thickBot="1" x14ac:dyDescent="0.25">
      <c r="B26" s="22"/>
      <c r="C26" s="22"/>
      <c r="D26" s="22"/>
      <c r="E26" s="22"/>
      <c r="F26" s="23"/>
      <c r="G26" s="23"/>
      <c r="H26" s="23"/>
      <c r="I26" s="23"/>
      <c r="J26" s="23"/>
      <c r="K26" s="23"/>
      <c r="L26" s="23"/>
      <c r="M26" s="23"/>
      <c r="N26" s="24"/>
      <c r="O26" s="24"/>
      <c r="P26" s="24"/>
      <c r="Q26" s="23"/>
      <c r="R26" s="23"/>
    </row>
    <row r="27" spans="2:19" ht="17" thickBot="1" x14ac:dyDescent="0.25">
      <c r="D27" s="25"/>
      <c r="E27" s="25"/>
      <c r="F27" s="76"/>
      <c r="G27" s="76"/>
      <c r="H27" s="76"/>
      <c r="I27" s="25"/>
      <c r="J27" s="76"/>
      <c r="K27" s="25"/>
      <c r="L27" s="76"/>
      <c r="M27" s="76"/>
      <c r="N27" s="76"/>
      <c r="O27" s="76"/>
      <c r="P27" s="76"/>
      <c r="Q27" s="76"/>
      <c r="R27" s="76"/>
    </row>
    <row r="28" spans="2:19" ht="17" thickBot="1" x14ac:dyDescent="0.25">
      <c r="D28" s="25"/>
      <c r="E28" s="25"/>
      <c r="F28" s="77"/>
      <c r="G28" s="77"/>
      <c r="H28" s="77"/>
      <c r="I28" s="26"/>
      <c r="J28" s="77"/>
      <c r="K28" s="26"/>
      <c r="L28" s="77"/>
      <c r="M28" s="77"/>
      <c r="N28" s="77"/>
      <c r="O28" s="77"/>
      <c r="P28" s="77"/>
      <c r="Q28" s="77"/>
      <c r="R28" s="77"/>
    </row>
    <row r="29" spans="2:19" ht="17" thickBot="1" x14ac:dyDescent="0.25">
      <c r="D29" s="25"/>
      <c r="E29" s="25"/>
      <c r="F29" s="77"/>
      <c r="G29" s="77"/>
      <c r="H29" s="77"/>
      <c r="I29" s="26"/>
      <c r="J29" s="77"/>
      <c r="K29" s="26"/>
      <c r="L29" s="77"/>
      <c r="M29" s="77"/>
      <c r="N29" s="77"/>
      <c r="O29" s="77"/>
      <c r="P29" s="77"/>
      <c r="Q29" s="77"/>
      <c r="R29" s="77"/>
    </row>
    <row r="30" spans="2:19" ht="17" thickBot="1" x14ac:dyDescent="0.25">
      <c r="D30" s="25"/>
      <c r="E30" s="25"/>
      <c r="F30" s="77"/>
      <c r="G30" s="77"/>
      <c r="H30" s="77"/>
      <c r="I30" s="26"/>
      <c r="J30" s="77"/>
      <c r="K30" s="26"/>
      <c r="L30" s="77"/>
      <c r="M30" s="77"/>
      <c r="N30" s="77"/>
      <c r="O30" s="77"/>
      <c r="P30" s="77"/>
      <c r="Q30" s="77"/>
      <c r="R30" s="77"/>
    </row>
    <row r="31" spans="2:19" ht="17" thickBot="1" x14ac:dyDescent="0.25">
      <c r="D31" s="25"/>
      <c r="E31" s="25"/>
      <c r="F31" s="77"/>
      <c r="G31" s="77"/>
      <c r="H31" s="77"/>
      <c r="I31" s="26"/>
      <c r="J31" s="77"/>
      <c r="K31" s="26"/>
      <c r="L31" s="77"/>
      <c r="M31" s="77"/>
      <c r="N31" s="77"/>
      <c r="O31" s="77"/>
      <c r="P31" s="77"/>
      <c r="Q31" s="77"/>
      <c r="R31" s="77"/>
    </row>
    <row r="32" spans="2:19" ht="17" thickBot="1" x14ac:dyDescent="0.25">
      <c r="D32" s="25"/>
      <c r="E32" s="25"/>
      <c r="F32" s="77"/>
      <c r="G32" s="77"/>
      <c r="H32" s="77"/>
      <c r="I32" s="26"/>
      <c r="J32" s="77"/>
      <c r="K32" s="26"/>
      <c r="L32" s="77"/>
      <c r="M32" s="77"/>
      <c r="N32" s="77"/>
      <c r="O32" s="77"/>
      <c r="P32" s="77"/>
      <c r="Q32" s="77"/>
      <c r="R32" s="77"/>
    </row>
    <row r="33" spans="4:18" ht="17" thickBot="1" x14ac:dyDescent="0.25">
      <c r="D33" s="25"/>
      <c r="E33" s="25"/>
      <c r="F33" s="77"/>
      <c r="G33" s="77"/>
      <c r="H33" s="77"/>
      <c r="I33" s="26"/>
      <c r="J33" s="77"/>
      <c r="K33" s="26"/>
      <c r="L33" s="77"/>
      <c r="M33" s="77"/>
      <c r="N33" s="77"/>
      <c r="O33" s="77"/>
      <c r="P33" s="77"/>
      <c r="Q33" s="77"/>
      <c r="R33" s="77"/>
    </row>
    <row r="34" spans="4:18" ht="17" thickBot="1" x14ac:dyDescent="0.25">
      <c r="D34" s="25"/>
      <c r="E34" s="25"/>
      <c r="F34" s="77"/>
      <c r="G34" s="77"/>
      <c r="H34" s="77"/>
      <c r="I34" s="26"/>
      <c r="J34" s="77"/>
      <c r="K34" s="26"/>
      <c r="L34" s="77"/>
      <c r="M34" s="77"/>
      <c r="N34" s="77"/>
      <c r="O34" s="77"/>
      <c r="P34" s="77"/>
      <c r="Q34" s="77"/>
      <c r="R34" s="77"/>
    </row>
    <row r="35" spans="4:18" ht="17" thickBot="1" x14ac:dyDescent="0.25">
      <c r="D35" s="25"/>
      <c r="E35" s="25"/>
      <c r="F35" s="77"/>
      <c r="G35" s="77"/>
      <c r="H35" s="77"/>
      <c r="I35" s="26"/>
      <c r="J35" s="77"/>
      <c r="K35" s="26"/>
      <c r="L35" s="77"/>
      <c r="M35" s="77"/>
      <c r="N35" s="77"/>
      <c r="O35" s="77"/>
      <c r="P35" s="77"/>
      <c r="Q35" s="77"/>
      <c r="R35" s="77"/>
    </row>
    <row r="36" spans="4:18" ht="17" thickBot="1" x14ac:dyDescent="0.25">
      <c r="D36" s="28"/>
      <c r="E36" s="28"/>
      <c r="F36" s="78"/>
      <c r="G36" s="78"/>
      <c r="H36" s="78"/>
      <c r="I36" s="27"/>
      <c r="J36" s="78"/>
      <c r="K36" s="27"/>
      <c r="L36" s="78"/>
      <c r="M36" s="78"/>
      <c r="N36" s="78"/>
      <c r="O36" s="78"/>
      <c r="P36" s="78"/>
      <c r="Q36" s="78"/>
      <c r="R36" s="78"/>
    </row>
  </sheetData>
  <mergeCells count="12">
    <mergeCell ref="Q27:Q36"/>
    <mergeCell ref="R27:R36"/>
    <mergeCell ref="F25:R25"/>
    <mergeCell ref="F27:F36"/>
    <mergeCell ref="G27:G36"/>
    <mergeCell ref="H27:H36"/>
    <mergeCell ref="J27:J36"/>
    <mergeCell ref="L27:L36"/>
    <mergeCell ref="M27:M36"/>
    <mergeCell ref="N27:N36"/>
    <mergeCell ref="O27:O36"/>
    <mergeCell ref="P27:P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Muntatge i calibració</vt:lpstr>
      <vt:lpstr>Apartat 1</vt:lpstr>
      <vt:lpstr>Apartat 2</vt:lpstr>
      <vt:lpstr>Apartat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Joan Ribot Oliver</cp:lastModifiedBy>
  <dcterms:created xsi:type="dcterms:W3CDTF">2023-03-16T08:23:38Z</dcterms:created>
  <dcterms:modified xsi:type="dcterms:W3CDTF">2023-04-08T15:35:17Z</dcterms:modified>
</cp:coreProperties>
</file>