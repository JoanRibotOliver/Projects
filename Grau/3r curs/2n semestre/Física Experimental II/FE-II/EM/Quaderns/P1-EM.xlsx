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eu/Documents/"/>
    </mc:Choice>
  </mc:AlternateContent>
  <xr:revisionPtr revIDLastSave="351" documentId="14_{653A8D68-921A-6F43-9BF1-EA2FCCCBBE5D}" xr6:coauthVersionLast="47" xr6:coauthVersionMax="47" xr10:uidLastSave="{AF7E12BD-3DA8-7247-AB81-75098AF0AA8F}"/>
  <bookViews>
    <workbookView xWindow="0" yWindow="500" windowWidth="28800" windowHeight="16340" xr2:uid="{00000000-000D-0000-FFFF-FFFF00000000}"/>
  </bookViews>
  <sheets>
    <sheet name="Ful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76" i="1" l="1"/>
  <c r="AT176" i="1"/>
  <c r="AR176" i="1"/>
  <c r="BB175" i="1"/>
  <c r="BH175" i="1" s="1"/>
  <c r="AT175" i="1"/>
  <c r="AR175" i="1"/>
  <c r="BB174" i="1"/>
  <c r="BD174" i="1" s="1"/>
  <c r="AT174" i="1"/>
  <c r="AR174" i="1"/>
  <c r="BB173" i="1"/>
  <c r="BJ173" i="1" s="1"/>
  <c r="AT173" i="1"/>
  <c r="AR173" i="1"/>
  <c r="BB172" i="1"/>
  <c r="BJ172" i="1" s="1"/>
  <c r="AT172" i="1"/>
  <c r="AR172" i="1"/>
  <c r="BB171" i="1"/>
  <c r="BH171" i="1" s="1"/>
  <c r="AT171" i="1"/>
  <c r="AR171" i="1"/>
  <c r="BB170" i="1"/>
  <c r="BD170" i="1" s="1"/>
  <c r="AT170" i="1"/>
  <c r="AR170" i="1"/>
  <c r="BB169" i="1"/>
  <c r="BH169" i="1" s="1"/>
  <c r="AT169" i="1"/>
  <c r="AR169" i="1"/>
  <c r="BB168" i="1"/>
  <c r="AT168" i="1"/>
  <c r="AR168" i="1"/>
  <c r="BT167" i="1"/>
  <c r="BS167" i="1"/>
  <c r="BR167" i="1"/>
  <c r="BQ167" i="1"/>
  <c r="BD167" i="1"/>
  <c r="BC167" i="1"/>
  <c r="BB167" i="1"/>
  <c r="BH167" i="1" s="1"/>
  <c r="AT167" i="1"/>
  <c r="AU167" i="1" s="1"/>
  <c r="AR167" i="1"/>
  <c r="AQ167" i="1"/>
  <c r="AP167" i="1"/>
  <c r="AO167" i="1"/>
  <c r="BF160" i="1"/>
  <c r="BD160" i="1"/>
  <c r="BB160" i="1"/>
  <c r="BJ160" i="1" s="1"/>
  <c r="AT160" i="1"/>
  <c r="AR160" i="1"/>
  <c r="BB159" i="1"/>
  <c r="BH159" i="1" s="1"/>
  <c r="AT159" i="1"/>
  <c r="AR159" i="1"/>
  <c r="BB158" i="1"/>
  <c r="BF158" i="1" s="1"/>
  <c r="AT158" i="1"/>
  <c r="AR158" i="1"/>
  <c r="BH157" i="1"/>
  <c r="BF157" i="1"/>
  <c r="BB157" i="1"/>
  <c r="BD157" i="1" s="1"/>
  <c r="AT157" i="1"/>
  <c r="AR157" i="1"/>
  <c r="BF156" i="1"/>
  <c r="BD156" i="1"/>
  <c r="BB156" i="1"/>
  <c r="AT156" i="1"/>
  <c r="AR156" i="1"/>
  <c r="BB155" i="1"/>
  <c r="BH155" i="1" s="1"/>
  <c r="AT155" i="1"/>
  <c r="AR155" i="1"/>
  <c r="BH154" i="1"/>
  <c r="BB154" i="1"/>
  <c r="BF154" i="1" s="1"/>
  <c r="AT154" i="1"/>
  <c r="AR154" i="1"/>
  <c r="BH153" i="1"/>
  <c r="BB153" i="1"/>
  <c r="BD153" i="1" s="1"/>
  <c r="AT153" i="1"/>
  <c r="AR153" i="1"/>
  <c r="BB152" i="1"/>
  <c r="AT152" i="1"/>
  <c r="AR152" i="1"/>
  <c r="BT151" i="1"/>
  <c r="BS151" i="1"/>
  <c r="BR151" i="1"/>
  <c r="BQ151" i="1"/>
  <c r="BB151" i="1"/>
  <c r="BJ151" i="1" s="1"/>
  <c r="AT151" i="1"/>
  <c r="AR151" i="1"/>
  <c r="AQ151" i="1"/>
  <c r="AP151" i="1"/>
  <c r="AO151" i="1"/>
  <c r="BB144" i="1"/>
  <c r="BB143" i="1"/>
  <c r="BH143" i="1" s="1"/>
  <c r="BH142" i="1"/>
  <c r="BB142" i="1"/>
  <c r="BF142" i="1" s="1"/>
  <c r="BH141" i="1"/>
  <c r="BB141" i="1"/>
  <c r="BJ141" i="1" s="1"/>
  <c r="BB140" i="1"/>
  <c r="BJ140" i="1" s="1"/>
  <c r="BB139" i="1"/>
  <c r="BH139" i="1" s="1"/>
  <c r="BB138" i="1"/>
  <c r="BF138" i="1" s="1"/>
  <c r="BB137" i="1"/>
  <c r="BH137" i="1" s="1"/>
  <c r="AT137" i="1"/>
  <c r="AR137" i="1"/>
  <c r="BB136" i="1"/>
  <c r="AT136" i="1"/>
  <c r="AR136" i="1"/>
  <c r="BT135" i="1"/>
  <c r="BS135" i="1"/>
  <c r="BR135" i="1"/>
  <c r="BQ135" i="1"/>
  <c r="BB135" i="1"/>
  <c r="AT135" i="1"/>
  <c r="AR135" i="1"/>
  <c r="AQ135" i="1"/>
  <c r="AP135" i="1"/>
  <c r="AO135" i="1"/>
  <c r="V68" i="1"/>
  <c r="AB68" i="1" s="1"/>
  <c r="V79" i="1"/>
  <c r="AB79" i="1" s="1"/>
  <c r="X79" i="1"/>
  <c r="X76" i="1"/>
  <c r="V82" i="1"/>
  <c r="AB82" i="1" s="1"/>
  <c r="AY7" i="1"/>
  <c r="AZ7" i="1"/>
  <c r="AS7" i="1"/>
  <c r="AR7" i="1"/>
  <c r="AQ7" i="1"/>
  <c r="AS167" i="1" l="1"/>
  <c r="BF169" i="1"/>
  <c r="BF153" i="1"/>
  <c r="BF137" i="1"/>
  <c r="AU135" i="1"/>
  <c r="BJ135" i="1"/>
  <c r="BJ167" i="1"/>
  <c r="BH174" i="1"/>
  <c r="BF170" i="1"/>
  <c r="BD172" i="1"/>
  <c r="BD173" i="1"/>
  <c r="BJ168" i="1"/>
  <c r="BJ169" i="1"/>
  <c r="BH170" i="1"/>
  <c r="BF173" i="1"/>
  <c r="BJ176" i="1"/>
  <c r="BD168" i="1"/>
  <c r="BD169" i="1"/>
  <c r="BH173" i="1"/>
  <c r="BF174" i="1"/>
  <c r="BD176" i="1"/>
  <c r="BJ152" i="1"/>
  <c r="AU151" i="1"/>
  <c r="AV151" i="1" s="1"/>
  <c r="BH158" i="1"/>
  <c r="AS151" i="1"/>
  <c r="BH151" i="1"/>
  <c r="BD152" i="1"/>
  <c r="BJ156" i="1"/>
  <c r="BD151" i="1"/>
  <c r="BE151" i="1" s="1"/>
  <c r="BF152" i="1"/>
  <c r="AS135" i="1"/>
  <c r="BJ144" i="1"/>
  <c r="BJ137" i="1"/>
  <c r="BJ136" i="1"/>
  <c r="BD141" i="1"/>
  <c r="BF136" i="1"/>
  <c r="BD137" i="1"/>
  <c r="BF141" i="1"/>
  <c r="BC135" i="1"/>
  <c r="BD140" i="1"/>
  <c r="BD135" i="1"/>
  <c r="BH138" i="1"/>
  <c r="BF140" i="1"/>
  <c r="BH135" i="1"/>
  <c r="BD136" i="1"/>
  <c r="AV167" i="1"/>
  <c r="AZ167" i="1" s="1"/>
  <c r="BJ171" i="1"/>
  <c r="BJ175" i="1"/>
  <c r="BF168" i="1"/>
  <c r="BJ170" i="1"/>
  <c r="BD171" i="1"/>
  <c r="BF172" i="1"/>
  <c r="BJ174" i="1"/>
  <c r="BD175" i="1"/>
  <c r="BF176" i="1"/>
  <c r="BF167" i="1"/>
  <c r="BH168" i="1"/>
  <c r="BI167" i="1" s="1"/>
  <c r="BF171" i="1"/>
  <c r="BH172" i="1"/>
  <c r="BF175" i="1"/>
  <c r="BH176" i="1"/>
  <c r="BJ155" i="1"/>
  <c r="BJ159" i="1"/>
  <c r="BD155" i="1"/>
  <c r="BJ158" i="1"/>
  <c r="BD159" i="1"/>
  <c r="BF151" i="1"/>
  <c r="BH152" i="1"/>
  <c r="BJ153" i="1"/>
  <c r="BD154" i="1"/>
  <c r="BF155" i="1"/>
  <c r="BH156" i="1"/>
  <c r="BJ157" i="1"/>
  <c r="BD158" i="1"/>
  <c r="BF159" i="1"/>
  <c r="BH160" i="1"/>
  <c r="BJ154" i="1"/>
  <c r="BC151" i="1"/>
  <c r="AV135" i="1"/>
  <c r="BD144" i="1"/>
  <c r="BF144" i="1"/>
  <c r="BJ139" i="1"/>
  <c r="BJ143" i="1"/>
  <c r="BJ138" i="1"/>
  <c r="BD139" i="1"/>
  <c r="BJ142" i="1"/>
  <c r="BD143" i="1"/>
  <c r="BF135" i="1"/>
  <c r="BH136" i="1"/>
  <c r="BD138" i="1"/>
  <c r="BF139" i="1"/>
  <c r="BH140" i="1"/>
  <c r="BD142" i="1"/>
  <c r="BF143" i="1"/>
  <c r="BH144" i="1"/>
  <c r="AV16" i="1"/>
  <c r="AT16" i="1"/>
  <c r="BA135" i="1" l="1"/>
  <c r="AW135" i="1" s="1"/>
  <c r="AX135" i="1" s="1"/>
  <c r="BE167" i="1"/>
  <c r="BK167" i="1"/>
  <c r="BI151" i="1"/>
  <c r="BK151" i="1"/>
  <c r="BN151" i="1" s="1"/>
  <c r="AZ151" i="1"/>
  <c r="BE135" i="1"/>
  <c r="BK135" i="1"/>
  <c r="BI135" i="1"/>
  <c r="BG167" i="1"/>
  <c r="BA167" i="1"/>
  <c r="AW167" i="1" s="1"/>
  <c r="BG151" i="1"/>
  <c r="BA151" i="1"/>
  <c r="AW151" i="1" s="1"/>
  <c r="AY135" i="1"/>
  <c r="BG135" i="1"/>
  <c r="AZ135" i="1"/>
  <c r="R97" i="1"/>
  <c r="S97" i="1"/>
  <c r="T97" i="1"/>
  <c r="T92" i="1"/>
  <c r="S92" i="1"/>
  <c r="R92" i="1"/>
  <c r="R96" i="1"/>
  <c r="T96" i="1"/>
  <c r="S96" i="1"/>
  <c r="S90" i="1"/>
  <c r="T90" i="1"/>
  <c r="R90" i="1"/>
  <c r="S91" i="1"/>
  <c r="R91" i="1"/>
  <c r="T91" i="1"/>
  <c r="R73" i="1"/>
  <c r="R72" i="1"/>
  <c r="R71" i="1"/>
  <c r="R67" i="1"/>
  <c r="BN167" i="1" l="1"/>
  <c r="BP167" i="1" s="1"/>
  <c r="BO151" i="1"/>
  <c r="BM151" i="1"/>
  <c r="BP151" i="1"/>
  <c r="BL151" i="1"/>
  <c r="BM167" i="1"/>
  <c r="BN135" i="1"/>
  <c r="BP135" i="1" s="1"/>
  <c r="AX167" i="1"/>
  <c r="AY167" i="1"/>
  <c r="BO167" i="1"/>
  <c r="AY151" i="1"/>
  <c r="AX151" i="1"/>
  <c r="BD7" i="1"/>
  <c r="AT12" i="1"/>
  <c r="AT11" i="1"/>
  <c r="BD16" i="1"/>
  <c r="BJ16" i="1" s="1"/>
  <c r="BD15" i="1"/>
  <c r="BJ15" i="1" s="1"/>
  <c r="AV15" i="1"/>
  <c r="AT15" i="1"/>
  <c r="BD14" i="1"/>
  <c r="BH14" i="1" s="1"/>
  <c r="AV14" i="1"/>
  <c r="AT14" i="1"/>
  <c r="BD13" i="1"/>
  <c r="BF13" i="1" s="1"/>
  <c r="AV13" i="1"/>
  <c r="AT13" i="1"/>
  <c r="BD12" i="1"/>
  <c r="BJ12" i="1" s="1"/>
  <c r="AV12" i="1"/>
  <c r="BD11" i="1"/>
  <c r="AV11" i="1"/>
  <c r="BD10" i="1"/>
  <c r="AV10" i="1"/>
  <c r="AT10" i="1"/>
  <c r="BD9" i="1"/>
  <c r="BJ9" i="1" s="1"/>
  <c r="AV9" i="1"/>
  <c r="BD8" i="1"/>
  <c r="BJ8" i="1" s="1"/>
  <c r="AV8" i="1"/>
  <c r="AT8" i="1"/>
  <c r="BS7" i="1"/>
  <c r="AV7" i="1"/>
  <c r="AT7" i="1"/>
  <c r="BL167" i="1" l="1"/>
  <c r="BL135" i="1"/>
  <c r="BM135" i="1"/>
  <c r="BO135" i="1"/>
  <c r="AW7" i="1"/>
  <c r="BL15" i="1"/>
  <c r="BE7" i="1"/>
  <c r="BF9" i="1"/>
  <c r="BF12" i="1"/>
  <c r="BF14" i="1"/>
  <c r="BH12" i="1"/>
  <c r="BJ14" i="1"/>
  <c r="BH16" i="1"/>
  <c r="BH8" i="1"/>
  <c r="BF15" i="1"/>
  <c r="BL9" i="1"/>
  <c r="BL12" i="1"/>
  <c r="BL14" i="1"/>
  <c r="BH15" i="1"/>
  <c r="BH13" i="1"/>
  <c r="BF7" i="1"/>
  <c r="BT7" i="1"/>
  <c r="AT9" i="1"/>
  <c r="AU7" i="1" s="1"/>
  <c r="BU7" i="1"/>
  <c r="BV7" i="1"/>
  <c r="BH9" i="1"/>
  <c r="BL8" i="1"/>
  <c r="BL16" i="1"/>
  <c r="BL11" i="1"/>
  <c r="BL10" i="1"/>
  <c r="BF11" i="1"/>
  <c r="BJ13" i="1"/>
  <c r="BH7" i="1"/>
  <c r="BF10" i="1"/>
  <c r="BH11" i="1"/>
  <c r="BL13" i="1"/>
  <c r="BH10" i="1"/>
  <c r="BJ11" i="1"/>
  <c r="BJ7" i="1"/>
  <c r="BF8" i="1"/>
  <c r="BJ10" i="1"/>
  <c r="BF16" i="1"/>
  <c r="BL7" i="1"/>
  <c r="AX7" i="1" l="1"/>
  <c r="BB7" i="1" s="1"/>
  <c r="BI7" i="1"/>
  <c r="BG7" i="1"/>
  <c r="BK7" i="1"/>
  <c r="BM7" i="1"/>
  <c r="BC7" i="1" l="1"/>
  <c r="BP7" i="1"/>
  <c r="BR7" i="1" s="1"/>
  <c r="W38" i="1"/>
  <c r="AL38" i="1" s="1"/>
  <c r="AC110" i="1"/>
  <c r="X137" i="1"/>
  <c r="AC137" i="1" s="1"/>
  <c r="X138" i="1"/>
  <c r="AC138" i="1" s="1"/>
  <c r="X139" i="1"/>
  <c r="AC139" i="1" s="1"/>
  <c r="X140" i="1"/>
  <c r="AC140" i="1" s="1"/>
  <c r="X141" i="1"/>
  <c r="AC141" i="1" s="1"/>
  <c r="X109" i="1"/>
  <c r="AC109" i="1" s="1"/>
  <c r="X110" i="1"/>
  <c r="X111" i="1"/>
  <c r="AC111" i="1" s="1"/>
  <c r="X112" i="1"/>
  <c r="AC112" i="1" s="1"/>
  <c r="X113" i="1"/>
  <c r="AC113" i="1" s="1"/>
  <c r="X114" i="1"/>
  <c r="AC114" i="1" s="1"/>
  <c r="X115" i="1"/>
  <c r="AC115" i="1" s="1"/>
  <c r="X116" i="1"/>
  <c r="AC116" i="1" s="1"/>
  <c r="X117" i="1"/>
  <c r="AC117" i="1" s="1"/>
  <c r="X118" i="1"/>
  <c r="AC118" i="1" s="1"/>
  <c r="X119" i="1"/>
  <c r="AC119" i="1" s="1"/>
  <c r="X120" i="1"/>
  <c r="AC120" i="1" s="1"/>
  <c r="X121" i="1"/>
  <c r="AC121" i="1" s="1"/>
  <c r="X122" i="1"/>
  <c r="AC122" i="1" s="1"/>
  <c r="X123" i="1"/>
  <c r="AC123" i="1" s="1"/>
  <c r="X124" i="1"/>
  <c r="AC124" i="1" s="1"/>
  <c r="X125" i="1"/>
  <c r="AC125" i="1" s="1"/>
  <c r="X126" i="1"/>
  <c r="AC126" i="1" s="1"/>
  <c r="X127" i="1"/>
  <c r="AC127" i="1" s="1"/>
  <c r="X128" i="1"/>
  <c r="AC128" i="1" s="1"/>
  <c r="X129" i="1"/>
  <c r="AC129" i="1" s="1"/>
  <c r="X130" i="1"/>
  <c r="AC130" i="1" s="1"/>
  <c r="X131" i="1"/>
  <c r="AC131" i="1" s="1"/>
  <c r="X132" i="1"/>
  <c r="AC132" i="1" s="1"/>
  <c r="X133" i="1"/>
  <c r="AC133" i="1" s="1"/>
  <c r="X134" i="1"/>
  <c r="AC134" i="1" s="1"/>
  <c r="X135" i="1"/>
  <c r="AC135" i="1" s="1"/>
  <c r="X136" i="1"/>
  <c r="AC136" i="1" s="1"/>
  <c r="X108" i="1"/>
  <c r="AC108" i="1" s="1"/>
  <c r="W109" i="1"/>
  <c r="V109" i="1" s="1"/>
  <c r="AB109" i="1" s="1"/>
  <c r="W110" i="1"/>
  <c r="W111" i="1"/>
  <c r="W112" i="1"/>
  <c r="V112" i="1" s="1"/>
  <c r="AB112" i="1" s="1"/>
  <c r="W113" i="1"/>
  <c r="V113" i="1" s="1"/>
  <c r="W114" i="1"/>
  <c r="V114" i="1" s="1"/>
  <c r="AB114" i="1" s="1"/>
  <c r="W115" i="1"/>
  <c r="W116" i="1"/>
  <c r="V116" i="1" s="1"/>
  <c r="AB116" i="1" s="1"/>
  <c r="W117" i="1"/>
  <c r="V117" i="1" s="1"/>
  <c r="AB117" i="1" s="1"/>
  <c r="W118" i="1"/>
  <c r="W119" i="1"/>
  <c r="W120" i="1"/>
  <c r="V120" i="1" s="1"/>
  <c r="AB120" i="1" s="1"/>
  <c r="W121" i="1"/>
  <c r="V121" i="1" s="1"/>
  <c r="AB121" i="1" s="1"/>
  <c r="W122" i="1"/>
  <c r="V122" i="1" s="1"/>
  <c r="W123" i="1"/>
  <c r="W124" i="1"/>
  <c r="W125" i="1"/>
  <c r="V125" i="1" s="1"/>
  <c r="AB125" i="1" s="1"/>
  <c r="W126" i="1"/>
  <c r="W127" i="1"/>
  <c r="AA127" i="1" s="1"/>
  <c r="W128" i="1"/>
  <c r="V128" i="1" s="1"/>
  <c r="AB128" i="1" s="1"/>
  <c r="W129" i="1"/>
  <c r="V129" i="1" s="1"/>
  <c r="AB129" i="1" s="1"/>
  <c r="W130" i="1"/>
  <c r="V130" i="1" s="1"/>
  <c r="W131" i="1"/>
  <c r="V131" i="1" s="1"/>
  <c r="AB131" i="1" s="1"/>
  <c r="W132" i="1"/>
  <c r="V132" i="1" s="1"/>
  <c r="AB132" i="1" s="1"/>
  <c r="W133" i="1"/>
  <c r="V133" i="1" s="1"/>
  <c r="AB133" i="1" s="1"/>
  <c r="W134" i="1"/>
  <c r="V134" i="1" s="1"/>
  <c r="AB134" i="1" s="1"/>
  <c r="W135" i="1"/>
  <c r="V135" i="1" s="1"/>
  <c r="AB135" i="1" s="1"/>
  <c r="W136" i="1"/>
  <c r="V136" i="1" s="1"/>
  <c r="AB136" i="1" s="1"/>
  <c r="W137" i="1"/>
  <c r="V137" i="1" s="1"/>
  <c r="AB137" i="1" s="1"/>
  <c r="W138" i="1"/>
  <c r="V138" i="1" s="1"/>
  <c r="AB138" i="1" s="1"/>
  <c r="W139" i="1"/>
  <c r="V139" i="1" s="1"/>
  <c r="AB139" i="1" s="1"/>
  <c r="W140" i="1"/>
  <c r="V140" i="1" s="1"/>
  <c r="AB140" i="1" s="1"/>
  <c r="W141" i="1"/>
  <c r="V141" i="1" s="1"/>
  <c r="AB141" i="1" s="1"/>
  <c r="W108" i="1"/>
  <c r="V108" i="1" s="1"/>
  <c r="AB108" i="1" s="1"/>
  <c r="AB113" i="1"/>
  <c r="AB122" i="1"/>
  <c r="AB130" i="1"/>
  <c r="AA93" i="1"/>
  <c r="AC92" i="1"/>
  <c r="AC99" i="1"/>
  <c r="AC100" i="1"/>
  <c r="AC68" i="1"/>
  <c r="V86" i="1"/>
  <c r="AB86" i="1" s="1"/>
  <c r="V90" i="1"/>
  <c r="AB90" i="1" s="1"/>
  <c r="V94" i="1"/>
  <c r="AB94" i="1" s="1"/>
  <c r="V102" i="1"/>
  <c r="AB102" i="1" s="1"/>
  <c r="W83" i="1"/>
  <c r="V83" i="1" s="1"/>
  <c r="AB83" i="1" s="1"/>
  <c r="W84" i="1"/>
  <c r="V84" i="1" s="1"/>
  <c r="AB84" i="1" s="1"/>
  <c r="W85" i="1"/>
  <c r="V85" i="1" s="1"/>
  <c r="AB85" i="1" s="1"/>
  <c r="W86" i="1"/>
  <c r="W87" i="1"/>
  <c r="V87" i="1" s="1"/>
  <c r="AB87" i="1" s="1"/>
  <c r="W88" i="1"/>
  <c r="V88" i="1" s="1"/>
  <c r="AB88" i="1" s="1"/>
  <c r="W89" i="1"/>
  <c r="V89" i="1" s="1"/>
  <c r="AB89" i="1" s="1"/>
  <c r="W90" i="1"/>
  <c r="W91" i="1"/>
  <c r="V91" i="1" s="1"/>
  <c r="AB91" i="1" s="1"/>
  <c r="W92" i="1"/>
  <c r="V92" i="1" s="1"/>
  <c r="AB92" i="1" s="1"/>
  <c r="W93" i="1"/>
  <c r="V93" i="1" s="1"/>
  <c r="AB93" i="1" s="1"/>
  <c r="W94" i="1"/>
  <c r="W95" i="1"/>
  <c r="AA95" i="1" s="1"/>
  <c r="W96" i="1"/>
  <c r="V96" i="1" s="1"/>
  <c r="AB96" i="1" s="1"/>
  <c r="W97" i="1"/>
  <c r="AA97" i="1" s="1"/>
  <c r="W98" i="1"/>
  <c r="V98" i="1" s="1"/>
  <c r="AB98" i="1" s="1"/>
  <c r="W99" i="1"/>
  <c r="V99" i="1" s="1"/>
  <c r="AB99" i="1" s="1"/>
  <c r="W100" i="1"/>
  <c r="V100" i="1" s="1"/>
  <c r="AB100" i="1" s="1"/>
  <c r="W101" i="1"/>
  <c r="AA101" i="1" s="1"/>
  <c r="W102" i="1"/>
  <c r="W103" i="1"/>
  <c r="V103" i="1" s="1"/>
  <c r="AB103" i="1" s="1"/>
  <c r="W104" i="1"/>
  <c r="V104" i="1" s="1"/>
  <c r="AB104" i="1" s="1"/>
  <c r="W82" i="1"/>
  <c r="X102" i="1"/>
  <c r="AC102" i="1" s="1"/>
  <c r="X103" i="1"/>
  <c r="AC103" i="1" s="1"/>
  <c r="X104" i="1"/>
  <c r="AC104" i="1" s="1"/>
  <c r="X83" i="1"/>
  <c r="AC83" i="1" s="1"/>
  <c r="X84" i="1"/>
  <c r="AC84" i="1" s="1"/>
  <c r="X85" i="1"/>
  <c r="AC85" i="1" s="1"/>
  <c r="X86" i="1"/>
  <c r="AC86" i="1" s="1"/>
  <c r="X87" i="1"/>
  <c r="AC87" i="1" s="1"/>
  <c r="X88" i="1"/>
  <c r="AC88" i="1" s="1"/>
  <c r="X89" i="1"/>
  <c r="AC89" i="1" s="1"/>
  <c r="X90" i="1"/>
  <c r="AC90" i="1" s="1"/>
  <c r="X91" i="1"/>
  <c r="AC91" i="1" s="1"/>
  <c r="X92" i="1"/>
  <c r="X93" i="1"/>
  <c r="AC93" i="1" s="1"/>
  <c r="X94" i="1"/>
  <c r="AC94" i="1" s="1"/>
  <c r="X95" i="1"/>
  <c r="AC95" i="1" s="1"/>
  <c r="X96" i="1"/>
  <c r="AC96" i="1" s="1"/>
  <c r="X97" i="1"/>
  <c r="AC97" i="1" s="1"/>
  <c r="X98" i="1"/>
  <c r="AC98" i="1" s="1"/>
  <c r="X99" i="1"/>
  <c r="X100" i="1"/>
  <c r="X101" i="1"/>
  <c r="AC101" i="1" s="1"/>
  <c r="X82" i="1"/>
  <c r="AC82" i="1" s="1"/>
  <c r="AG38" i="1"/>
  <c r="AV38" i="1" s="1"/>
  <c r="AG47" i="1"/>
  <c r="AV47" i="1" s="1"/>
  <c r="AG46" i="1"/>
  <c r="AV46" i="1" s="1"/>
  <c r="AG45" i="1"/>
  <c r="AV45" i="1" s="1"/>
  <c r="AG44" i="1"/>
  <c r="AV44" i="1" s="1"/>
  <c r="AG43" i="1"/>
  <c r="AV43" i="1" s="1"/>
  <c r="AG42" i="1"/>
  <c r="AV42" i="1" s="1"/>
  <c r="AG41" i="1"/>
  <c r="AV41" i="1" s="1"/>
  <c r="AG40" i="1"/>
  <c r="AV40" i="1" s="1"/>
  <c r="AG39" i="1"/>
  <c r="AV39" i="1" s="1"/>
  <c r="AG37" i="1"/>
  <c r="AV37" i="1" s="1"/>
  <c r="AB38" i="1"/>
  <c r="AQ38" i="1" s="1"/>
  <c r="AB47" i="1"/>
  <c r="AQ47" i="1" s="1"/>
  <c r="AB46" i="1"/>
  <c r="AQ46" i="1" s="1"/>
  <c r="AB45" i="1"/>
  <c r="AQ45" i="1" s="1"/>
  <c r="AB44" i="1"/>
  <c r="AQ44" i="1" s="1"/>
  <c r="AB43" i="1"/>
  <c r="AQ43" i="1" s="1"/>
  <c r="AB42" i="1"/>
  <c r="AQ42" i="1" s="1"/>
  <c r="AB41" i="1"/>
  <c r="AQ41" i="1" s="1"/>
  <c r="AB40" i="1"/>
  <c r="AQ40" i="1" s="1"/>
  <c r="AB39" i="1"/>
  <c r="AQ39" i="1" s="1"/>
  <c r="AB37" i="1"/>
  <c r="AQ37" i="1" s="1"/>
  <c r="W39" i="1"/>
  <c r="AL39" i="1" s="1"/>
  <c r="W40" i="1"/>
  <c r="AL40" i="1" s="1"/>
  <c r="W41" i="1"/>
  <c r="AL41" i="1" s="1"/>
  <c r="W42" i="1"/>
  <c r="AL42" i="1" s="1"/>
  <c r="W43" i="1"/>
  <c r="AL43" i="1" s="1"/>
  <c r="W44" i="1"/>
  <c r="AL44" i="1" s="1"/>
  <c r="W45" i="1"/>
  <c r="AL45" i="1" s="1"/>
  <c r="W46" i="1"/>
  <c r="AL46" i="1" s="1"/>
  <c r="W47" i="1"/>
  <c r="AL47" i="1" s="1"/>
  <c r="W37" i="1"/>
  <c r="AL37" i="1" s="1"/>
  <c r="AC78" i="1"/>
  <c r="X78" i="1" s="1"/>
  <c r="AC69" i="1"/>
  <c r="X69" i="1" s="1"/>
  <c r="AC70" i="1"/>
  <c r="X70" i="1" s="1"/>
  <c r="AC71" i="1"/>
  <c r="X71" i="1" s="1"/>
  <c r="AC72" i="1"/>
  <c r="X72" i="1" s="1"/>
  <c r="AC73" i="1"/>
  <c r="X73" i="1" s="1"/>
  <c r="AC74" i="1"/>
  <c r="X74" i="1" s="1"/>
  <c r="AC75" i="1"/>
  <c r="X75" i="1" s="1"/>
  <c r="AC76" i="1"/>
  <c r="AC77" i="1"/>
  <c r="X77" i="1" s="1"/>
  <c r="X68" i="1"/>
  <c r="W68" i="1"/>
  <c r="W70" i="1"/>
  <c r="V70" i="1" s="1"/>
  <c r="AB70" i="1" s="1"/>
  <c r="W71" i="1"/>
  <c r="V71" i="1" s="1"/>
  <c r="W72" i="1"/>
  <c r="V72" i="1" s="1"/>
  <c r="W73" i="1"/>
  <c r="V73" i="1" s="1"/>
  <c r="W74" i="1"/>
  <c r="V74" i="1" s="1"/>
  <c r="W75" i="1"/>
  <c r="V75" i="1" s="1"/>
  <c r="W76" i="1"/>
  <c r="V76" i="1" s="1"/>
  <c r="W77" i="1"/>
  <c r="V77" i="1" s="1"/>
  <c r="W78" i="1"/>
  <c r="V78" i="1" s="1"/>
  <c r="AB78" i="1" s="1"/>
  <c r="W69" i="1"/>
  <c r="V69" i="1" s="1"/>
  <c r="AB69" i="1" s="1"/>
  <c r="BA7" i="1" l="1"/>
  <c r="AA99" i="1"/>
  <c r="AA137" i="1"/>
  <c r="V101" i="1"/>
  <c r="AB101" i="1" s="1"/>
  <c r="V97" i="1"/>
  <c r="AB97" i="1" s="1"/>
  <c r="V115" i="1"/>
  <c r="AB115" i="1" s="1"/>
  <c r="AA125" i="1"/>
  <c r="V123" i="1"/>
  <c r="AB123" i="1" s="1"/>
  <c r="AA131" i="1"/>
  <c r="AA123" i="1"/>
  <c r="AA103" i="1"/>
  <c r="AA141" i="1"/>
  <c r="AA129" i="1"/>
  <c r="V95" i="1"/>
  <c r="AB95" i="1" s="1"/>
  <c r="V127" i="1"/>
  <c r="AB127" i="1" s="1"/>
  <c r="V119" i="1"/>
  <c r="AB119" i="1" s="1"/>
  <c r="V111" i="1"/>
  <c r="AB111" i="1" s="1"/>
  <c r="AA139" i="1"/>
  <c r="V126" i="1"/>
  <c r="AB126" i="1" s="1"/>
  <c r="V118" i="1"/>
  <c r="AB118" i="1" s="1"/>
  <c r="V110" i="1"/>
  <c r="AB110" i="1" s="1"/>
  <c r="AA135" i="1"/>
  <c r="AA119" i="1"/>
  <c r="V124" i="1"/>
  <c r="AB124" i="1" s="1"/>
  <c r="AA133" i="1"/>
  <c r="AA121" i="1"/>
  <c r="BN7" i="1"/>
  <c r="BO7" i="1"/>
  <c r="BQ7" i="1"/>
  <c r="AB71" i="1"/>
  <c r="AB72" i="1"/>
  <c r="AB73" i="1"/>
  <c r="AB76" i="1"/>
  <c r="AB75" i="1"/>
  <c r="AB74" i="1"/>
  <c r="AB77" i="1"/>
</calcChain>
</file>

<file path=xl/sharedStrings.xml><?xml version="1.0" encoding="utf-8"?>
<sst xmlns="http://schemas.openxmlformats.org/spreadsheetml/2006/main" count="403" uniqueCount="144">
  <si>
    <t>En el centre de la bobina</t>
  </si>
  <si>
    <t>Bobina 1</t>
  </si>
  <si>
    <t>100 voltes</t>
  </si>
  <si>
    <t>Bobina 2</t>
  </si>
  <si>
    <t>200 voltes</t>
  </si>
  <si>
    <t>Bobina 3</t>
  </si>
  <si>
    <t>300 voltes</t>
  </si>
  <si>
    <t>Mesura</t>
  </si>
  <si>
    <t>Precissió (mas menos)</t>
  </si>
  <si>
    <t>Càlcul d'incerteses derivades parcials</t>
  </si>
  <si>
    <t>variar I...</t>
  </si>
  <si>
    <t>BEN ENMIG</t>
  </si>
  <si>
    <t>Distància</t>
  </si>
  <si>
    <t>0,001 m</t>
  </si>
  <si>
    <t>1mm</t>
  </si>
  <si>
    <t>Intensitat (A)</t>
  </si>
  <si>
    <t>Camp magnètic (mT)</t>
  </si>
  <si>
    <t>Camp B</t>
  </si>
  <si>
    <t>0,01 mT</t>
  </si>
  <si>
    <t>comparar bteo ?</t>
  </si>
  <si>
    <t>Intensitat I</t>
  </si>
  <si>
    <t>0,01 A</t>
  </si>
  <si>
    <t>CADA VEGADA ESTABLIM ZERO AL TESLÁMETRE</t>
  </si>
  <si>
    <t xml:space="preserve"> </t>
  </si>
  <si>
    <t>B = mu_0 n I</t>
  </si>
  <si>
    <t>CANVI DE SONDA</t>
  </si>
  <si>
    <t>AQUESTA AMB MAJOR INCERTESA</t>
  </si>
  <si>
    <t>0,5 cm incertesa aprox - debatre</t>
  </si>
  <si>
    <t>5,5 cm</t>
  </si>
  <si>
    <t>10,75 cm</t>
  </si>
  <si>
    <t>16 cm</t>
  </si>
  <si>
    <t>1,1 ohm</t>
  </si>
  <si>
    <t>2,2 ohms</t>
  </si>
  <si>
    <t>3,5 ohm</t>
  </si>
  <si>
    <t>S'estan recuperant les dades. Espereu-vos una estona i torneu a provar de retallar o copiar.</t>
  </si>
  <si>
    <t>NO PASSAR DE 1.2 A... NO LES HEM DE ROMPRE!</t>
  </si>
  <si>
    <t>MESURAR DE 0,5CM EN 0,5CM ALS EXTREMS... PRIMERS 5 CM... ENMIG DE 1 CM EN 1CM</t>
  </si>
  <si>
    <t>0,05 A</t>
  </si>
  <si>
    <t>1 A</t>
  </si>
  <si>
    <t>Posició (cm)</t>
  </si>
  <si>
    <t>Intensitat</t>
  </si>
  <si>
    <t>0,01 incertesa</t>
  </si>
  <si>
    <t>?</t>
  </si>
  <si>
    <t>dos darrers ja estan defora...</t>
  </si>
  <si>
    <t>De davant cap a darrere</t>
  </si>
  <si>
    <t>Enrades a la font enfora de la sonda</t>
  </si>
  <si>
    <t>EL ZERO ERA QUAN ESTAVA DEFORA O AL ZERO DE LA BOBINA?</t>
  </si>
  <si>
    <t>De darrere cap a davant</t>
  </si>
  <si>
    <t>n</t>
  </si>
  <si>
    <t>l (m)</t>
  </si>
  <si>
    <t>a (radi, m)</t>
  </si>
  <si>
    <t>z (m)</t>
  </si>
  <si>
    <t>mu_0</t>
  </si>
  <si>
    <t>B_teo (T)</t>
  </si>
  <si>
    <t>B_teo (mT)</t>
  </si>
  <si>
    <t>B_exp (mT)</t>
  </si>
  <si>
    <t>L (m)</t>
  </si>
  <si>
    <t>Camp magnètic (T)</t>
  </si>
  <si>
    <t>B_exp (T)</t>
  </si>
  <si>
    <t>n = 100</t>
  </si>
  <si>
    <t>n = 200</t>
  </si>
  <si>
    <t>n = 300</t>
  </si>
  <si>
    <t>Incerteses</t>
  </si>
  <si>
    <t>I (A)</t>
  </si>
  <si>
    <t>B (mT)</t>
  </si>
  <si>
    <t>per graficar:</t>
  </si>
  <si>
    <t>0,010</t>
  </si>
  <si>
    <t>0,020</t>
  </si>
  <si>
    <t>0,030</t>
  </si>
  <si>
    <t>0,040</t>
  </si>
  <si>
    <t>0,050</t>
  </si>
  <si>
    <t>0,060</t>
  </si>
  <si>
    <t>0,070</t>
  </si>
  <si>
    <t>0,080</t>
  </si>
  <si>
    <t>0,090</t>
  </si>
  <si>
    <t>0,100</t>
  </si>
  <si>
    <t>0,110</t>
  </si>
  <si>
    <t>0,120</t>
  </si>
  <si>
    <t>0,130</t>
  </si>
  <si>
    <t>0,140</t>
  </si>
  <si>
    <t>0,150</t>
  </si>
  <si>
    <t>0,160</t>
  </si>
  <si>
    <t>LLEVAR EL ZERO ? Si</t>
  </si>
  <si>
    <t>Sin pesos</t>
  </si>
  <si>
    <t>Con peos</t>
  </si>
  <si>
    <t>x</t>
  </si>
  <si>
    <t>y</t>
  </si>
  <si>
    <t>Incertidumbre de x</t>
  </si>
  <si>
    <t>Incertidumbre de y</t>
  </si>
  <si>
    <t>Sn</t>
  </si>
  <si>
    <t>Sx</t>
  </si>
  <si>
    <t>Sy</t>
  </si>
  <si>
    <t>xy</t>
  </si>
  <si>
    <t>Sxy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</si>
  <si>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</si>
  <si>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Sx</t>
    </r>
    <r>
      <rPr>
        <vertAlign val="superscript"/>
        <sz val="11"/>
        <color theme="1"/>
        <rFont val="Calibri"/>
        <family val="2"/>
        <scheme val="minor"/>
      </rPr>
      <t>2</t>
    </r>
  </si>
  <si>
    <t>Δ</t>
  </si>
  <si>
    <r>
      <t>σ</t>
    </r>
    <r>
      <rPr>
        <vertAlign val="subscript"/>
        <sz val="11"/>
        <rFont val="Calibri"/>
        <family val="2"/>
      </rPr>
      <t>y (equivalente)</t>
    </r>
  </si>
  <si>
    <r>
      <t>σ</t>
    </r>
    <r>
      <rPr>
        <vertAlign val="subscript"/>
        <sz val="11"/>
        <rFont val="Calibri"/>
        <family val="2"/>
      </rPr>
      <t>A</t>
    </r>
  </si>
  <si>
    <r>
      <t>σ</t>
    </r>
    <r>
      <rPr>
        <vertAlign val="subscript"/>
        <sz val="11"/>
        <rFont val="Calibri"/>
        <family val="2"/>
      </rPr>
      <t>B</t>
    </r>
  </si>
  <si>
    <t>A</t>
  </si>
  <si>
    <t>B</t>
  </si>
  <si>
    <t>W</t>
  </si>
  <si>
    <t>wx</t>
  </si>
  <si>
    <t>wy</t>
  </si>
  <si>
    <t>wxy</t>
  </si>
  <si>
    <t>wx2</t>
  </si>
  <si>
    <t>Sx2</t>
  </si>
  <si>
    <r>
      <t>σ</t>
    </r>
    <r>
      <rPr>
        <vertAlign val="subscript"/>
        <sz val="11"/>
        <color theme="0"/>
        <rFont val="Calibri"/>
        <family val="2"/>
      </rPr>
      <t>A</t>
    </r>
  </si>
  <si>
    <r>
      <t>σ</t>
    </r>
    <r>
      <rPr>
        <vertAlign val="subscript"/>
        <sz val="11"/>
        <color theme="0"/>
        <rFont val="Calibri"/>
        <family val="2"/>
      </rPr>
      <t>B</t>
    </r>
  </si>
  <si>
    <r>
      <t>σ</t>
    </r>
    <r>
      <rPr>
        <vertAlign val="subscript"/>
        <sz val="11"/>
        <color theme="1"/>
        <rFont val="Calibri"/>
        <family val="2"/>
        <scheme val="minor"/>
      </rPr>
      <t>x</t>
    </r>
  </si>
  <si>
    <r>
      <t>σ</t>
    </r>
    <r>
      <rPr>
        <vertAlign val="subscript"/>
        <sz val="11"/>
        <color theme="1"/>
        <rFont val="Calibri"/>
        <family val="2"/>
        <scheme val="minor"/>
      </rPr>
      <t>y</t>
    </r>
  </si>
  <si>
    <r>
      <t>σ</t>
    </r>
    <r>
      <rPr>
        <vertAlign val="subscript"/>
        <sz val="11"/>
        <color theme="1"/>
        <rFont val="Calibri"/>
        <family val="2"/>
        <scheme val="minor"/>
      </rPr>
      <t>xy</t>
    </r>
  </si>
  <si>
    <t>R</t>
  </si>
  <si>
    <t>dA</t>
  </si>
  <si>
    <t>dB</t>
  </si>
  <si>
    <t>y = Bx + A</t>
  </si>
  <si>
    <t>Centre</t>
  </si>
  <si>
    <t>Quart</t>
  </si>
  <si>
    <t>Inici</t>
  </si>
  <si>
    <t>I = 1 A</t>
  </si>
  <si>
    <t>Distància (m)</t>
  </si>
  <si>
    <t>Camp (mT)</t>
  </si>
  <si>
    <t>z</t>
  </si>
  <si>
    <t>ORANGE</t>
  </si>
  <si>
    <t>GREEN</t>
  </si>
  <si>
    <t>BLUE</t>
  </si>
  <si>
    <t>MU_0</t>
  </si>
  <si>
    <t xml:space="preserve">I (A) </t>
  </si>
  <si>
    <t>n = N/longitud</t>
  </si>
  <si>
    <t>B Vs. N</t>
  </si>
  <si>
    <t>Delta mu_0</t>
  </si>
  <si>
    <t>N espires</t>
  </si>
  <si>
    <t>dn</t>
  </si>
  <si>
    <t>A NO ÉS LA SECCIÓ, ÉS EL PENDENT</t>
  </si>
  <si>
    <t>y = Ax + C</t>
  </si>
  <si>
    <t>C</t>
  </si>
  <si>
    <t>dC</t>
  </si>
  <si>
    <t>mT</t>
  </si>
  <si>
    <t>CANVIS, MESURES DE LA P2-EM</t>
  </si>
  <si>
    <t>Vout</t>
  </si>
  <si>
    <t>Iout</t>
  </si>
  <si>
    <t>mA</t>
  </si>
  <si>
    <t>B_teo(mT)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</si>
</sst>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</font>
    <font>
      <vertAlign val="subscript"/>
      <sz val="11"/>
      <name val="Calibri"/>
      <family val="2"/>
    </font>
    <font>
      <sz val="11"/>
      <color theme="0"/>
      <name val="Calibri"/>
      <family val="2"/>
    </font>
    <font>
      <vertAlign val="subscript"/>
      <sz val="11"/>
      <color theme="0"/>
      <name val="Calibri"/>
      <family val="2"/>
    </font>
    <font>
      <vertAlign val="subscript"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49" fontId="0" fillId="0" borderId="6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6" xfId="0" applyFill="1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 magnètic Vs. Intensitat. Bobina 200 voltes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Full1!$AB$5</c:f>
              <c:strCache>
                <c:ptCount val="1"/>
                <c:pt idx="0">
                  <c:v>Camp magnètic (mT)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Full1!$AA$6:$AA$16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Full1!$AB$6:$AB$16</c:f>
              <c:numCache>
                <c:formatCode>General</c:formatCode>
                <c:ptCount val="11"/>
                <c:pt idx="0">
                  <c:v>0</c:v>
                </c:pt>
                <c:pt idx="1">
                  <c:v>-0.24</c:v>
                </c:pt>
                <c:pt idx="2">
                  <c:v>-0.46</c:v>
                </c:pt>
                <c:pt idx="3">
                  <c:v>-0.67</c:v>
                </c:pt>
                <c:pt idx="4">
                  <c:v>-0.89</c:v>
                </c:pt>
                <c:pt idx="5">
                  <c:v>-1.1200000000000001</c:v>
                </c:pt>
                <c:pt idx="6">
                  <c:v>-1.33</c:v>
                </c:pt>
                <c:pt idx="7">
                  <c:v>-1.57</c:v>
                </c:pt>
                <c:pt idx="8">
                  <c:v>-1.78</c:v>
                </c:pt>
                <c:pt idx="9">
                  <c:v>-2.0099999999999998</c:v>
                </c:pt>
                <c:pt idx="10">
                  <c:v>-2.25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19-461F-A08D-D81117ADB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194696"/>
        <c:axId val="877221096"/>
      </c:scatterChart>
      <c:valAx>
        <c:axId val="877194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Intensitat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77221096"/>
        <c:crosses val="autoZero"/>
        <c:crossBetween val="midCat"/>
      </c:valAx>
      <c:valAx>
        <c:axId val="87722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Camp magnètic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77194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 magnètic Vs. Intensitat. Bobina 100 voltes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Full1!$W$5</c:f>
              <c:strCache>
                <c:ptCount val="1"/>
                <c:pt idx="0">
                  <c:v>Camp magnètic (mT)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.1000000000000001"/>
            <c:backward val="0.1"/>
            <c:dispRSqr val="0"/>
            <c:dispEq val="0"/>
          </c:trendline>
          <c:errBars>
            <c:errDir val="x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5.000000000000001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Full1!$V$6:$V$16</c:f>
              <c:numCache>
                <c:formatCode>General</c:formatCode>
                <c:ptCount val="11"/>
                <c:pt idx="0">
                  <c:v>0</c:v>
                </c:pt>
                <c:pt idx="1">
                  <c:v>0.11</c:v>
                </c:pt>
                <c:pt idx="2">
                  <c:v>0.21</c:v>
                </c:pt>
                <c:pt idx="3">
                  <c:v>0.3</c:v>
                </c:pt>
                <c:pt idx="4">
                  <c:v>0.41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Full1!$W$6:$W$16</c:f>
              <c:numCache>
                <c:formatCode>General</c:formatCode>
                <c:ptCount val="11"/>
                <c:pt idx="0">
                  <c:v>0</c:v>
                </c:pt>
                <c:pt idx="1">
                  <c:v>-0.23</c:v>
                </c:pt>
                <c:pt idx="2">
                  <c:v>-0.43</c:v>
                </c:pt>
                <c:pt idx="3">
                  <c:v>-0.59</c:v>
                </c:pt>
                <c:pt idx="4">
                  <c:v>-0.82</c:v>
                </c:pt>
                <c:pt idx="5">
                  <c:v>-0.99</c:v>
                </c:pt>
                <c:pt idx="6">
                  <c:v>-1.19</c:v>
                </c:pt>
                <c:pt idx="7">
                  <c:v>-1.36</c:v>
                </c:pt>
                <c:pt idx="8">
                  <c:v>-1.55</c:v>
                </c:pt>
                <c:pt idx="9">
                  <c:v>-1.74</c:v>
                </c:pt>
                <c:pt idx="10">
                  <c:v>-1.94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58-4DF9-B8E2-93F1BC35B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29848"/>
        <c:axId val="203631768"/>
      </c:scatterChart>
      <c:valAx>
        <c:axId val="203629848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Intensitat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03631768"/>
        <c:crosses val="autoZero"/>
        <c:crossBetween val="midCat"/>
      </c:valAx>
      <c:valAx>
        <c:axId val="203631768"/>
        <c:scaling>
          <c:orientation val="minMax"/>
          <c:max val="0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Camp magnètic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03629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 magnètic Vs. Intensitat. Bobina 300 voltes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Full1!$AG$5</c:f>
              <c:strCache>
                <c:ptCount val="1"/>
                <c:pt idx="0">
                  <c:v>Camp magnètic (mT)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Full1!$AF$6:$AF$16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Full1!$AG$6:$AG$16</c:f>
              <c:numCache>
                <c:formatCode>General</c:formatCode>
                <c:ptCount val="11"/>
                <c:pt idx="0">
                  <c:v>0</c:v>
                </c:pt>
                <c:pt idx="1">
                  <c:v>-0.24</c:v>
                </c:pt>
                <c:pt idx="2">
                  <c:v>-0.47</c:v>
                </c:pt>
                <c:pt idx="3">
                  <c:v>-0.7</c:v>
                </c:pt>
                <c:pt idx="4">
                  <c:v>-0.92</c:v>
                </c:pt>
                <c:pt idx="5">
                  <c:v>-1.1499999999999999</c:v>
                </c:pt>
                <c:pt idx="6">
                  <c:v>-1.38</c:v>
                </c:pt>
                <c:pt idx="7">
                  <c:v>-1.6</c:v>
                </c:pt>
                <c:pt idx="8">
                  <c:v>-1.82</c:v>
                </c:pt>
                <c:pt idx="9">
                  <c:v>-2.04</c:v>
                </c:pt>
                <c:pt idx="10">
                  <c:v>-2.25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75-4488-9389-901CAAD53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37048"/>
        <c:axId val="203620248"/>
      </c:scatterChart>
      <c:valAx>
        <c:axId val="203637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Intensitat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03620248"/>
        <c:crosses val="autoZero"/>
        <c:crossBetween val="midCat"/>
      </c:valAx>
      <c:valAx>
        <c:axId val="20362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Camp</a:t>
                </a:r>
                <a:r>
                  <a:rPr lang="en-GB" baseline="0"/>
                  <a:t> magnètic (mT)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03637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Full1!$H$30:$H$52</c:f>
              <c:numCache>
                <c:formatCode>General</c:formatCode>
                <c:ptCount val="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</c:numCache>
            </c:numRef>
          </c:xVal>
          <c:yVal>
            <c:numRef>
              <c:f>Full1!$I$30:$I$52</c:f>
              <c:numCache>
                <c:formatCode>General</c:formatCode>
                <c:ptCount val="23"/>
                <c:pt idx="0">
                  <c:v>-1.04</c:v>
                </c:pt>
                <c:pt idx="1">
                  <c:v>-1.29</c:v>
                </c:pt>
                <c:pt idx="2">
                  <c:v>-1.52</c:v>
                </c:pt>
                <c:pt idx="3">
                  <c:v>-1.7</c:v>
                </c:pt>
                <c:pt idx="4">
                  <c:v>-1.89</c:v>
                </c:pt>
                <c:pt idx="5">
                  <c:v>-2</c:v>
                </c:pt>
                <c:pt idx="6">
                  <c:v>-2.09</c:v>
                </c:pt>
                <c:pt idx="7">
                  <c:v>-2.14</c:v>
                </c:pt>
                <c:pt idx="8">
                  <c:v>-2.1800000000000002</c:v>
                </c:pt>
                <c:pt idx="9">
                  <c:v>-2.19</c:v>
                </c:pt>
                <c:pt idx="10">
                  <c:v>-2.19</c:v>
                </c:pt>
                <c:pt idx="11">
                  <c:v>-2.19</c:v>
                </c:pt>
                <c:pt idx="12">
                  <c:v>-2.1800000000000002</c:v>
                </c:pt>
                <c:pt idx="13">
                  <c:v>-2.16</c:v>
                </c:pt>
                <c:pt idx="14">
                  <c:v>-2.15</c:v>
                </c:pt>
                <c:pt idx="15">
                  <c:v>-2.12</c:v>
                </c:pt>
                <c:pt idx="16">
                  <c:v>-2.08</c:v>
                </c:pt>
                <c:pt idx="17">
                  <c:v>-2</c:v>
                </c:pt>
                <c:pt idx="18">
                  <c:v>-1.91</c:v>
                </c:pt>
                <c:pt idx="19">
                  <c:v>-1.76</c:v>
                </c:pt>
                <c:pt idx="20">
                  <c:v>-1.59</c:v>
                </c:pt>
                <c:pt idx="21">
                  <c:v>-1.35</c:v>
                </c:pt>
                <c:pt idx="22">
                  <c:v>-1.08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31-48BC-9099-E3EF0089C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000464"/>
        <c:axId val="1007002432"/>
      </c:scatterChart>
      <c:valAx>
        <c:axId val="100700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07002432"/>
        <c:crosses val="autoZero"/>
        <c:crossBetween val="midCat"/>
      </c:valAx>
      <c:valAx>
        <c:axId val="10070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0700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Full1!$M$28:$M$61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Full1!$N$28:$N$61</c:f>
              <c:numCache>
                <c:formatCode>General</c:formatCode>
                <c:ptCount val="34"/>
                <c:pt idx="0">
                  <c:v>-1.02</c:v>
                </c:pt>
                <c:pt idx="1">
                  <c:v>-1.32</c:v>
                </c:pt>
                <c:pt idx="2">
                  <c:v>-1.55</c:v>
                </c:pt>
                <c:pt idx="3">
                  <c:v>-1.74</c:v>
                </c:pt>
                <c:pt idx="4">
                  <c:v>-1.92</c:v>
                </c:pt>
                <c:pt idx="5">
                  <c:v>-2.0299999999999998</c:v>
                </c:pt>
                <c:pt idx="6">
                  <c:v>-2.11</c:v>
                </c:pt>
                <c:pt idx="7">
                  <c:v>-2.15</c:v>
                </c:pt>
                <c:pt idx="8">
                  <c:v>-2.19</c:v>
                </c:pt>
                <c:pt idx="9">
                  <c:v>-2.2000000000000002</c:v>
                </c:pt>
                <c:pt idx="10">
                  <c:v>-2.2200000000000002</c:v>
                </c:pt>
                <c:pt idx="11">
                  <c:v>-2.2400000000000002</c:v>
                </c:pt>
                <c:pt idx="12">
                  <c:v>-2.2400000000000002</c:v>
                </c:pt>
                <c:pt idx="13">
                  <c:v>-2.2400000000000002</c:v>
                </c:pt>
                <c:pt idx="14">
                  <c:v>-2.2400000000000002</c:v>
                </c:pt>
                <c:pt idx="15">
                  <c:v>-2.2400000000000002</c:v>
                </c:pt>
                <c:pt idx="16">
                  <c:v>-2.2400000000000002</c:v>
                </c:pt>
                <c:pt idx="17">
                  <c:v>-2.2400000000000002</c:v>
                </c:pt>
                <c:pt idx="18">
                  <c:v>-2.2400000000000002</c:v>
                </c:pt>
                <c:pt idx="19">
                  <c:v>-2.2400000000000002</c:v>
                </c:pt>
                <c:pt idx="20">
                  <c:v>-2.2400000000000002</c:v>
                </c:pt>
                <c:pt idx="21">
                  <c:v>-2.23</c:v>
                </c:pt>
                <c:pt idx="22">
                  <c:v>-2.2200000000000002</c:v>
                </c:pt>
                <c:pt idx="23">
                  <c:v>-2.21</c:v>
                </c:pt>
                <c:pt idx="24">
                  <c:v>-2.19</c:v>
                </c:pt>
                <c:pt idx="25">
                  <c:v>-2.17</c:v>
                </c:pt>
                <c:pt idx="26">
                  <c:v>-2.14</c:v>
                </c:pt>
                <c:pt idx="27">
                  <c:v>-2.11</c:v>
                </c:pt>
                <c:pt idx="28">
                  <c:v>-2.0699999999999998</c:v>
                </c:pt>
                <c:pt idx="29">
                  <c:v>-1.97</c:v>
                </c:pt>
                <c:pt idx="30">
                  <c:v>-1.86</c:v>
                </c:pt>
                <c:pt idx="31">
                  <c:v>-1.7</c:v>
                </c:pt>
                <c:pt idx="32">
                  <c:v>-1.43</c:v>
                </c:pt>
                <c:pt idx="33">
                  <c:v>-1.0900000000000001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06-5742-8AAD-FFEBDB55B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04736"/>
        <c:axId val="1031178608"/>
      </c:scatterChart>
      <c:valAx>
        <c:axId val="103110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31178608"/>
        <c:crosses val="autoZero"/>
        <c:crossBetween val="midCat"/>
      </c:valAx>
      <c:valAx>
        <c:axId val="10311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3110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Camp magnètic Vs.</a:t>
            </a:r>
            <a:r>
              <a:rPr lang="en-GB" baseline="0"/>
              <a:t> Posició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Full1!$D$27</c:f>
              <c:strCache>
                <c:ptCount val="1"/>
                <c:pt idx="0">
                  <c:v>Camp magnètic (mT)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Full1!$C$28:$C$38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Full1!$D$28:$D$38</c:f>
              <c:numCache>
                <c:formatCode>General</c:formatCode>
                <c:ptCount val="11"/>
                <c:pt idx="0">
                  <c:v>-1.1499999999999999</c:v>
                </c:pt>
                <c:pt idx="1">
                  <c:v>-1.37</c:v>
                </c:pt>
                <c:pt idx="2">
                  <c:v>-1.62</c:v>
                </c:pt>
                <c:pt idx="3">
                  <c:v>-1.76</c:v>
                </c:pt>
                <c:pt idx="4">
                  <c:v>-1.84</c:v>
                </c:pt>
                <c:pt idx="5">
                  <c:v>-1.88</c:v>
                </c:pt>
                <c:pt idx="6">
                  <c:v>-1.87</c:v>
                </c:pt>
                <c:pt idx="7">
                  <c:v>-1.82</c:v>
                </c:pt>
                <c:pt idx="8">
                  <c:v>-1.7</c:v>
                </c:pt>
                <c:pt idx="9">
                  <c:v>-1.54</c:v>
                </c:pt>
                <c:pt idx="10">
                  <c:v>-1.29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1A-9742-BA79-2F41FAF68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182111"/>
        <c:axId val="1123285247"/>
      </c:scatterChart>
      <c:valAx>
        <c:axId val="112318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Posició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23285247"/>
        <c:crosses val="autoZero"/>
        <c:crossBetween val="midCat"/>
      </c:valAx>
      <c:valAx>
        <c:axId val="112328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Camp magnètic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2318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Comparació dels</a:t>
            </a:r>
            <a:r>
              <a:rPr lang="en-GB" sz="1100" baseline="0"/>
              <a:t> c</a:t>
            </a:r>
            <a:r>
              <a:rPr lang="en-GB" sz="1100"/>
              <a:t>amps magnètics teòric i real Vs. Posició</a:t>
            </a:r>
          </a:p>
          <a:p>
            <a:pPr>
              <a:defRPr/>
            </a:pPr>
            <a:r>
              <a:rPr lang="en-GB" sz="1100"/>
              <a:t>Bobina de 100 espires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Full1!$AB$67</c:f>
              <c:strCache>
                <c:ptCount val="1"/>
                <c:pt idx="0">
                  <c:v>B_teo (mT)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Full1!$AA$68:$AA$78</c:f>
              <c:strCache>
                <c:ptCount val="11"/>
                <c:pt idx="0">
                  <c:v>0</c:v>
                </c:pt>
                <c:pt idx="1">
                  <c:v>0,005</c:v>
                </c:pt>
                <c:pt idx="2">
                  <c:v>0,010</c:v>
                </c:pt>
                <c:pt idx="3">
                  <c:v>0,015</c:v>
                </c:pt>
                <c:pt idx="4">
                  <c:v>0,020</c:v>
                </c:pt>
                <c:pt idx="5">
                  <c:v>0,025</c:v>
                </c:pt>
                <c:pt idx="6">
                  <c:v>0,030</c:v>
                </c:pt>
                <c:pt idx="7">
                  <c:v>0,035</c:v>
                </c:pt>
                <c:pt idx="8">
                  <c:v>0,040</c:v>
                </c:pt>
                <c:pt idx="9">
                  <c:v>0,045</c:v>
                </c:pt>
                <c:pt idx="10">
                  <c:v>0,050</c:v>
                </c:pt>
              </c:strCache>
            </c:strRef>
          </c:cat>
          <c:val>
            <c:numRef>
              <c:f>Full1!$AB$68:$AB$78</c:f>
              <c:numCache>
                <c:formatCode>General</c:formatCode>
                <c:ptCount val="11"/>
                <c:pt idx="0">
                  <c:v>0.89568580956764743</c:v>
                </c:pt>
                <c:pt idx="1">
                  <c:v>1.1109314646715847</c:v>
                </c:pt>
                <c:pt idx="2">
                  <c:v>1.2889501844807008</c:v>
                </c:pt>
                <c:pt idx="3">
                  <c:v>1.415126088974292</c:v>
                </c:pt>
                <c:pt idx="4">
                  <c:v>1.4923267509388749</c:v>
                </c:pt>
                <c:pt idx="5">
                  <c:v>1.5283684154974952</c:v>
                </c:pt>
                <c:pt idx="6">
                  <c:v>1.5283684154974952</c:v>
                </c:pt>
                <c:pt idx="7">
                  <c:v>1.4923267509388749</c:v>
                </c:pt>
                <c:pt idx="8">
                  <c:v>1.415126088974292</c:v>
                </c:pt>
                <c:pt idx="9">
                  <c:v>1.288950184480701</c:v>
                </c:pt>
                <c:pt idx="10">
                  <c:v>1.1109314646715847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69-9A45-B625-B0395EC5DCB2}"/>
            </c:ext>
          </c:extLst>
        </c:ser>
        <c:ser>
          <c:idx val="1"/>
          <c:order val="1"/>
          <c:tx>
            <c:strRef>
              <c:f>Full1!$AC$67</c:f>
              <c:strCache>
                <c:ptCount val="1"/>
                <c:pt idx="0">
                  <c:v>B_exp (mT)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3175">
                <a:noFill/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Full1!$AA$68:$AA$78</c:f>
              <c:strCache>
                <c:ptCount val="11"/>
                <c:pt idx="0">
                  <c:v>0</c:v>
                </c:pt>
                <c:pt idx="1">
                  <c:v>0,005</c:v>
                </c:pt>
                <c:pt idx="2">
                  <c:v>0,010</c:v>
                </c:pt>
                <c:pt idx="3">
                  <c:v>0,015</c:v>
                </c:pt>
                <c:pt idx="4">
                  <c:v>0,020</c:v>
                </c:pt>
                <c:pt idx="5">
                  <c:v>0,025</c:v>
                </c:pt>
                <c:pt idx="6">
                  <c:v>0,030</c:v>
                </c:pt>
                <c:pt idx="7">
                  <c:v>0,035</c:v>
                </c:pt>
                <c:pt idx="8">
                  <c:v>0,040</c:v>
                </c:pt>
                <c:pt idx="9">
                  <c:v>0,045</c:v>
                </c:pt>
                <c:pt idx="10">
                  <c:v>0,050</c:v>
                </c:pt>
              </c:strCache>
            </c:strRef>
          </c:cat>
          <c:val>
            <c:numRef>
              <c:f>Full1!$AC$68:$AC$78</c:f>
              <c:numCache>
                <c:formatCode>General</c:formatCode>
                <c:ptCount val="11"/>
                <c:pt idx="0">
                  <c:v>1.1499999999999999</c:v>
                </c:pt>
                <c:pt idx="1">
                  <c:v>1.37</c:v>
                </c:pt>
                <c:pt idx="2">
                  <c:v>1.62</c:v>
                </c:pt>
                <c:pt idx="3">
                  <c:v>1.76</c:v>
                </c:pt>
                <c:pt idx="4">
                  <c:v>1.84</c:v>
                </c:pt>
                <c:pt idx="5">
                  <c:v>1.88</c:v>
                </c:pt>
                <c:pt idx="6">
                  <c:v>1.87</c:v>
                </c:pt>
                <c:pt idx="7">
                  <c:v>1.82</c:v>
                </c:pt>
                <c:pt idx="8">
                  <c:v>1.7</c:v>
                </c:pt>
                <c:pt idx="9">
                  <c:v>1.54</c:v>
                </c:pt>
                <c:pt idx="10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69-9A45-B625-B0395EC5D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172127"/>
        <c:axId val="904967087"/>
      </c:lineChart>
      <c:catAx>
        <c:axId val="90517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 (</a:t>
                </a:r>
                <a:r>
                  <a:rPr lang="en-ES" sz="1000" b="0" i="0" u="none" strike="noStrike" baseline="0">
                    <a:effectLst/>
                  </a:rPr>
                  <a:t>±0,001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04967087"/>
        <c:crosses val="autoZero"/>
        <c:auto val="1"/>
        <c:lblAlgn val="ctr"/>
        <c:lblOffset val="100"/>
        <c:noMultiLvlLbl val="0"/>
      </c:catAx>
      <c:valAx>
        <c:axId val="9049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</a:t>
                </a:r>
                <a:r>
                  <a:rPr lang="en-GB" baseline="0"/>
                  <a:t> (</a:t>
                </a:r>
                <a:r>
                  <a:rPr lang="en-ES" sz="1000" b="0" i="0" u="none" strike="noStrike" baseline="0">
                    <a:effectLst/>
                  </a:rPr>
                  <a:t>±0,01</a:t>
                </a:r>
                <a:r>
                  <a:rPr lang="en-ES" sz="1000" b="0" i="0" u="none" strike="noStrike" baseline="0"/>
                  <a:t> </a:t>
                </a:r>
                <a:r>
                  <a:rPr lang="en-GB" baseline="0"/>
                  <a:t>mT)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0517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Camp magnètic Vs. Intensitat</a:t>
            </a:r>
            <a:r>
              <a:rPr lang="en-GB" sz="1200" baseline="0"/>
              <a:t>. Bobina 100 espires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Full1!$W$36</c:f>
              <c:strCache>
                <c:ptCount val="1"/>
                <c:pt idx="0">
                  <c:v>Camp magnètic (T)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Full1!$V$38:$V$47</c:f>
              <c:numCache>
                <c:formatCode>General</c:formatCode>
                <c:ptCount val="10"/>
                <c:pt idx="0">
                  <c:v>0.11</c:v>
                </c:pt>
                <c:pt idx="1">
                  <c:v>0.21</c:v>
                </c:pt>
                <c:pt idx="2">
                  <c:v>0.3</c:v>
                </c:pt>
                <c:pt idx="3">
                  <c:v>0.41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Full1!$W$38:$W$47</c:f>
              <c:numCache>
                <c:formatCode>General</c:formatCode>
                <c:ptCount val="10"/>
                <c:pt idx="0">
                  <c:v>2.3000000000000001E-4</c:v>
                </c:pt>
                <c:pt idx="1">
                  <c:v>4.2999999999999999E-4</c:v>
                </c:pt>
                <c:pt idx="2">
                  <c:v>5.8999999999999992E-4</c:v>
                </c:pt>
                <c:pt idx="3">
                  <c:v>8.1999999999999998E-4</c:v>
                </c:pt>
                <c:pt idx="4">
                  <c:v>9.8999999999999999E-4</c:v>
                </c:pt>
                <c:pt idx="5">
                  <c:v>1.1899999999999999E-3</c:v>
                </c:pt>
                <c:pt idx="6">
                  <c:v>1.3600000000000001E-3</c:v>
                </c:pt>
                <c:pt idx="7">
                  <c:v>1.5499999999999999E-3</c:v>
                </c:pt>
                <c:pt idx="8">
                  <c:v>1.74E-3</c:v>
                </c:pt>
                <c:pt idx="9">
                  <c:v>1.9399999999999999E-3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F-064F-B809-39D92DEF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278959"/>
        <c:axId val="828246607"/>
      </c:scatterChart>
      <c:valAx>
        <c:axId val="90227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 (</a:t>
                </a:r>
                <a:r>
                  <a:rPr lang="en-GB" sz="1000" b="0" i="0" u="none" strike="noStrike" baseline="0">
                    <a:effectLst/>
                  </a:rPr>
                  <a:t>±</a:t>
                </a:r>
                <a:r>
                  <a:rPr lang="en-GB" sz="1000" b="0" i="0" u="none" strike="noStrike" baseline="0"/>
                  <a:t> 0,01 A)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28246607"/>
        <c:crosses val="autoZero"/>
        <c:crossBetween val="midCat"/>
      </c:valAx>
      <c:valAx>
        <c:axId val="8282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</a:t>
                </a:r>
                <a:r>
                  <a:rPr lang="en-GB" baseline="0"/>
                  <a:t> (</a:t>
                </a:r>
                <a:r>
                  <a:rPr lang="en-GB" sz="1000" b="0" i="0" u="none" strike="noStrike" baseline="0">
                    <a:effectLst/>
                  </a:rPr>
                  <a:t>±</a:t>
                </a:r>
                <a:r>
                  <a:rPr lang="en-GB" sz="1000" b="0" i="0" u="none" strike="noStrike" baseline="0"/>
                  <a:t> </a:t>
                </a:r>
                <a:r>
                  <a:rPr lang="en-GB" baseline="0"/>
                  <a:t>0,00001 T)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0227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baseline="0">
                <a:effectLst/>
              </a:rPr>
              <a:t>Camp magnètic Vs. Intensitat. Bobina 200 espires</a:t>
            </a:r>
            <a:endParaRPr lang="en-E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Full1!$AB$36</c:f>
              <c:strCache>
                <c:ptCount val="1"/>
                <c:pt idx="0">
                  <c:v>Camp magnètic (T)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Full1!$AA$38:$AA$47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Full1!$AB$38:$AB$47</c:f>
              <c:numCache>
                <c:formatCode>General</c:formatCode>
                <c:ptCount val="10"/>
                <c:pt idx="0">
                  <c:v>2.3999999999999998E-4</c:v>
                </c:pt>
                <c:pt idx="1">
                  <c:v>4.6000000000000001E-4</c:v>
                </c:pt>
                <c:pt idx="2">
                  <c:v>6.7000000000000002E-4</c:v>
                </c:pt>
                <c:pt idx="3">
                  <c:v>8.9000000000000006E-4</c:v>
                </c:pt>
                <c:pt idx="4">
                  <c:v>1.1200000000000001E-3</c:v>
                </c:pt>
                <c:pt idx="5">
                  <c:v>1.33E-3</c:v>
                </c:pt>
                <c:pt idx="6">
                  <c:v>1.57E-3</c:v>
                </c:pt>
                <c:pt idx="7">
                  <c:v>1.7800000000000001E-3</c:v>
                </c:pt>
                <c:pt idx="8">
                  <c:v>2.0099999999999996E-3</c:v>
                </c:pt>
                <c:pt idx="9">
                  <c:v>2.2499999999999998E-3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B-8D4F-8F66-085823FE4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353935"/>
        <c:axId val="470345839"/>
      </c:scatterChart>
      <c:valAx>
        <c:axId val="4773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470345839"/>
        <c:crosses val="autoZero"/>
        <c:crossBetween val="midCat"/>
      </c:valAx>
      <c:valAx>
        <c:axId val="47034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47735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baseline="0">
                <a:effectLst/>
              </a:rPr>
              <a:t>Camp magnètic Vs. Intensitat. Bobina 300 espires</a:t>
            </a:r>
            <a:endParaRPr lang="en-E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Full1!$AG$36</c:f>
              <c:strCache>
                <c:ptCount val="1"/>
                <c:pt idx="0">
                  <c:v>Camp magnètic (T)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Full1!$AF$38:$AF$47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Full1!$AG$38:$AG$47</c:f>
              <c:numCache>
                <c:formatCode>General</c:formatCode>
                <c:ptCount val="10"/>
                <c:pt idx="0">
                  <c:v>2.3999999999999998E-4</c:v>
                </c:pt>
                <c:pt idx="1">
                  <c:v>4.6999999999999999E-4</c:v>
                </c:pt>
                <c:pt idx="2">
                  <c:v>6.9999999999999999E-4</c:v>
                </c:pt>
                <c:pt idx="3">
                  <c:v>9.2000000000000003E-4</c:v>
                </c:pt>
                <c:pt idx="4">
                  <c:v>1.15E-3</c:v>
                </c:pt>
                <c:pt idx="5">
                  <c:v>1.3799999999999999E-3</c:v>
                </c:pt>
                <c:pt idx="6">
                  <c:v>1.6000000000000001E-3</c:v>
                </c:pt>
                <c:pt idx="7">
                  <c:v>1.82E-3</c:v>
                </c:pt>
                <c:pt idx="8">
                  <c:v>2.0400000000000001E-3</c:v>
                </c:pt>
                <c:pt idx="9">
                  <c:v>2.2499999999999998E-3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87-9449-A6AB-C999B4BEF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810927"/>
        <c:axId val="943622511"/>
      </c:scatterChart>
      <c:valAx>
        <c:axId val="94281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43622511"/>
        <c:crosses val="autoZero"/>
        <c:crossBetween val="midCat"/>
      </c:valAx>
      <c:valAx>
        <c:axId val="94362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4281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Comparació dels</a:t>
            </a:r>
            <a:r>
              <a:rPr lang="en-GB" sz="1100" baseline="0"/>
              <a:t> c</a:t>
            </a:r>
            <a:r>
              <a:rPr lang="en-GB" sz="1100"/>
              <a:t>amps magnètics teòric i real Vs. Posició</a:t>
            </a:r>
            <a:r>
              <a:rPr lang="en-GB" sz="1100" baseline="0"/>
              <a:t> Bobina de 200 espires</a:t>
            </a:r>
            <a:endParaRPr lang="en-GB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Full1!$AB$67</c:f>
              <c:strCache>
                <c:ptCount val="1"/>
                <c:pt idx="0">
                  <c:v>B_teo (mT)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Full1!$AA$82:$AA$104</c:f>
              <c:strCache>
                <c:ptCount val="23"/>
                <c:pt idx="0">
                  <c:v>0</c:v>
                </c:pt>
                <c:pt idx="1">
                  <c:v>0,005</c:v>
                </c:pt>
                <c:pt idx="2">
                  <c:v>0,010</c:v>
                </c:pt>
                <c:pt idx="3">
                  <c:v>0,015</c:v>
                </c:pt>
                <c:pt idx="4">
                  <c:v>0,020</c:v>
                </c:pt>
                <c:pt idx="5">
                  <c:v>0,025</c:v>
                </c:pt>
                <c:pt idx="6">
                  <c:v>0,030</c:v>
                </c:pt>
                <c:pt idx="7">
                  <c:v>0,035</c:v>
                </c:pt>
                <c:pt idx="8">
                  <c:v>0,040</c:v>
                </c:pt>
                <c:pt idx="9">
                  <c:v>0,045</c:v>
                </c:pt>
                <c:pt idx="10">
                  <c:v>0,050</c:v>
                </c:pt>
                <c:pt idx="11">
                  <c:v>0,055</c:v>
                </c:pt>
                <c:pt idx="12">
                  <c:v>0,060</c:v>
                </c:pt>
                <c:pt idx="13">
                  <c:v>0,065</c:v>
                </c:pt>
                <c:pt idx="14">
                  <c:v>0,070</c:v>
                </c:pt>
                <c:pt idx="15">
                  <c:v>0,075</c:v>
                </c:pt>
                <c:pt idx="16">
                  <c:v>0,080</c:v>
                </c:pt>
                <c:pt idx="17">
                  <c:v>0,085</c:v>
                </c:pt>
                <c:pt idx="18">
                  <c:v>0,090</c:v>
                </c:pt>
                <c:pt idx="19">
                  <c:v>0,095</c:v>
                </c:pt>
                <c:pt idx="20">
                  <c:v>0,100</c:v>
                </c:pt>
                <c:pt idx="21">
                  <c:v>0,105</c:v>
                </c:pt>
                <c:pt idx="22">
                  <c:v>0,110</c:v>
                </c:pt>
              </c:strCache>
            </c:strRef>
          </c:cat>
          <c:val>
            <c:numRef>
              <c:f>Full1!$AB$82:$AB$104</c:f>
              <c:numCache>
                <c:formatCode>General</c:formatCode>
                <c:ptCount val="23"/>
                <c:pt idx="0">
                  <c:v>1.0936258874191263</c:v>
                </c:pt>
                <c:pt idx="1">
                  <c:v>1.3555245691380216</c:v>
                </c:pt>
                <c:pt idx="2">
                  <c:v>1.5776232184195464</c:v>
                </c:pt>
                <c:pt idx="3">
                  <c:v>1.7443943832344884</c:v>
                </c:pt>
                <c:pt idx="4">
                  <c:v>1.8614484917686234</c:v>
                </c:pt>
                <c:pt idx="5">
                  <c:v>1.9413811783466992</c:v>
                </c:pt>
                <c:pt idx="6">
                  <c:v>1.9955336583933896</c:v>
                </c:pt>
                <c:pt idx="7">
                  <c:v>2.0320062029326813</c:v>
                </c:pt>
                <c:pt idx="8">
                  <c:v>2.0560805271531724</c:v>
                </c:pt>
                <c:pt idx="9">
                  <c:v>2.0710369187528479</c:v>
                </c:pt>
                <c:pt idx="10">
                  <c:v>2.0787929124329043</c:v>
                </c:pt>
                <c:pt idx="11">
                  <c:v>2.0802990283065821</c:v>
                </c:pt>
                <c:pt idx="12">
                  <c:v>2.0757360518533852</c:v>
                </c:pt>
                <c:pt idx="13">
                  <c:v>2.0645524135745039</c:v>
                </c:pt>
                <c:pt idx="14">
                  <c:v>2.0453499559471999</c:v>
                </c:pt>
                <c:pt idx="15">
                  <c:v>2.0155936970611568</c:v>
                </c:pt>
                <c:pt idx="16">
                  <c:v>1.971098031392132</c:v>
                </c:pt>
                <c:pt idx="17">
                  <c:v>1.9052737864868474</c:v>
                </c:pt>
                <c:pt idx="18">
                  <c:v>1.8083750262861114</c:v>
                </c:pt>
                <c:pt idx="19">
                  <c:v>1.6678934589081098</c:v>
                </c:pt>
                <c:pt idx="20">
                  <c:v>1.4731728481385589</c:v>
                </c:pt>
                <c:pt idx="21">
                  <c:v>1.2274763856755109</c:v>
                </c:pt>
                <c:pt idx="22">
                  <c:v>0.9597152617434842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C1-4A49-B7F4-370F9C3ED5CA}"/>
            </c:ext>
          </c:extLst>
        </c:ser>
        <c:ser>
          <c:idx val="1"/>
          <c:order val="1"/>
          <c:tx>
            <c:strRef>
              <c:f>Full1!$AC$67</c:f>
              <c:strCache>
                <c:ptCount val="1"/>
                <c:pt idx="0">
                  <c:v>B_exp (mT)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3175">
                <a:noFill/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Full1!$AA$82:$AA$104</c:f>
              <c:strCache>
                <c:ptCount val="23"/>
                <c:pt idx="0">
                  <c:v>0</c:v>
                </c:pt>
                <c:pt idx="1">
                  <c:v>0,005</c:v>
                </c:pt>
                <c:pt idx="2">
                  <c:v>0,010</c:v>
                </c:pt>
                <c:pt idx="3">
                  <c:v>0,015</c:v>
                </c:pt>
                <c:pt idx="4">
                  <c:v>0,020</c:v>
                </c:pt>
                <c:pt idx="5">
                  <c:v>0,025</c:v>
                </c:pt>
                <c:pt idx="6">
                  <c:v>0,030</c:v>
                </c:pt>
                <c:pt idx="7">
                  <c:v>0,035</c:v>
                </c:pt>
                <c:pt idx="8">
                  <c:v>0,040</c:v>
                </c:pt>
                <c:pt idx="9">
                  <c:v>0,045</c:v>
                </c:pt>
                <c:pt idx="10">
                  <c:v>0,050</c:v>
                </c:pt>
                <c:pt idx="11">
                  <c:v>0,055</c:v>
                </c:pt>
                <c:pt idx="12">
                  <c:v>0,060</c:v>
                </c:pt>
                <c:pt idx="13">
                  <c:v>0,065</c:v>
                </c:pt>
                <c:pt idx="14">
                  <c:v>0,070</c:v>
                </c:pt>
                <c:pt idx="15">
                  <c:v>0,075</c:v>
                </c:pt>
                <c:pt idx="16">
                  <c:v>0,080</c:v>
                </c:pt>
                <c:pt idx="17">
                  <c:v>0,085</c:v>
                </c:pt>
                <c:pt idx="18">
                  <c:v>0,090</c:v>
                </c:pt>
                <c:pt idx="19">
                  <c:v>0,095</c:v>
                </c:pt>
                <c:pt idx="20">
                  <c:v>0,100</c:v>
                </c:pt>
                <c:pt idx="21">
                  <c:v>0,105</c:v>
                </c:pt>
                <c:pt idx="22">
                  <c:v>0,110</c:v>
                </c:pt>
              </c:strCache>
            </c:strRef>
          </c:cat>
          <c:val>
            <c:numRef>
              <c:f>Full1!$AC$82:$AC$104</c:f>
              <c:numCache>
                <c:formatCode>General</c:formatCode>
                <c:ptCount val="23"/>
                <c:pt idx="0">
                  <c:v>1.04</c:v>
                </c:pt>
                <c:pt idx="1">
                  <c:v>1.29</c:v>
                </c:pt>
                <c:pt idx="2">
                  <c:v>1.52</c:v>
                </c:pt>
                <c:pt idx="3">
                  <c:v>1.7</c:v>
                </c:pt>
                <c:pt idx="4">
                  <c:v>1.89</c:v>
                </c:pt>
                <c:pt idx="5">
                  <c:v>2</c:v>
                </c:pt>
                <c:pt idx="6">
                  <c:v>2.09</c:v>
                </c:pt>
                <c:pt idx="7">
                  <c:v>2.14</c:v>
                </c:pt>
                <c:pt idx="8">
                  <c:v>2.1800000000000002</c:v>
                </c:pt>
                <c:pt idx="9">
                  <c:v>2.19</c:v>
                </c:pt>
                <c:pt idx="10">
                  <c:v>2.19</c:v>
                </c:pt>
                <c:pt idx="11">
                  <c:v>2.19</c:v>
                </c:pt>
                <c:pt idx="12">
                  <c:v>2.1800000000000002</c:v>
                </c:pt>
                <c:pt idx="13">
                  <c:v>2.16</c:v>
                </c:pt>
                <c:pt idx="14">
                  <c:v>2.15</c:v>
                </c:pt>
                <c:pt idx="15">
                  <c:v>2.12</c:v>
                </c:pt>
                <c:pt idx="16">
                  <c:v>2.08</c:v>
                </c:pt>
                <c:pt idx="17">
                  <c:v>2</c:v>
                </c:pt>
                <c:pt idx="18">
                  <c:v>1.91</c:v>
                </c:pt>
                <c:pt idx="19">
                  <c:v>1.76</c:v>
                </c:pt>
                <c:pt idx="20">
                  <c:v>1.59</c:v>
                </c:pt>
                <c:pt idx="21">
                  <c:v>1.35</c:v>
                </c:pt>
                <c:pt idx="22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1-4A49-B7F4-370F9C3ED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172127"/>
        <c:axId val="904967087"/>
      </c:lineChart>
      <c:catAx>
        <c:axId val="90517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 (</a:t>
                </a:r>
                <a:r>
                  <a:rPr lang="en-ES" sz="1000" b="0" i="0" u="none" strike="noStrike" baseline="0">
                    <a:effectLst/>
                  </a:rPr>
                  <a:t>±0,001</a:t>
                </a:r>
                <a:r>
                  <a:rPr lang="en-ES" sz="1000" b="0" i="0" u="none" strike="noStrike" baseline="0"/>
                  <a:t> 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04967087"/>
        <c:crosses val="autoZero"/>
        <c:auto val="1"/>
        <c:lblAlgn val="ctr"/>
        <c:lblOffset val="100"/>
        <c:tickMarkSkip val="2"/>
        <c:noMultiLvlLbl val="0"/>
      </c:catAx>
      <c:valAx>
        <c:axId val="9049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</a:t>
                </a:r>
                <a:r>
                  <a:rPr lang="en-GB" baseline="0"/>
                  <a:t> (</a:t>
                </a:r>
                <a:r>
                  <a:rPr lang="en-ES" sz="1000" b="0" i="0" u="none" strike="noStrike" baseline="0">
                    <a:effectLst/>
                  </a:rPr>
                  <a:t>±0,01</a:t>
                </a:r>
                <a:r>
                  <a:rPr lang="en-ES" sz="1000" b="0" i="0" u="none" strike="noStrike" baseline="0"/>
                  <a:t>  </a:t>
                </a:r>
                <a:r>
                  <a:rPr lang="en-GB" baseline="0"/>
                  <a:t>mT)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0517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Comparació dels</a:t>
            </a:r>
            <a:r>
              <a:rPr lang="en-GB" sz="1100" baseline="0"/>
              <a:t> c</a:t>
            </a:r>
            <a:r>
              <a:rPr lang="en-GB" sz="1100"/>
              <a:t>amps magnètics teòric i real Vs. Posició</a:t>
            </a:r>
            <a:r>
              <a:rPr lang="en-GB" sz="1100" baseline="0"/>
              <a:t> Bobina de 300 espires</a:t>
            </a:r>
            <a:endParaRPr lang="en-GB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Full1!$AB$67</c:f>
              <c:strCache>
                <c:ptCount val="1"/>
                <c:pt idx="0">
                  <c:v>B_teo (mT)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Full1!$AA$108:$AA$141</c:f>
              <c:strCache>
                <c:ptCount val="34"/>
                <c:pt idx="0">
                  <c:v>0</c:v>
                </c:pt>
                <c:pt idx="1">
                  <c:v>0,005</c:v>
                </c:pt>
                <c:pt idx="2">
                  <c:v>0,010</c:v>
                </c:pt>
                <c:pt idx="3">
                  <c:v>0,015</c:v>
                </c:pt>
                <c:pt idx="4">
                  <c:v>0,020</c:v>
                </c:pt>
                <c:pt idx="5">
                  <c:v>0,025</c:v>
                </c:pt>
                <c:pt idx="6">
                  <c:v>0,030</c:v>
                </c:pt>
                <c:pt idx="7">
                  <c:v>0,035</c:v>
                </c:pt>
                <c:pt idx="8">
                  <c:v>0,040</c:v>
                </c:pt>
                <c:pt idx="9">
                  <c:v>0,045</c:v>
                </c:pt>
                <c:pt idx="10">
                  <c:v>0,050</c:v>
                </c:pt>
                <c:pt idx="11">
                  <c:v>0,055</c:v>
                </c:pt>
                <c:pt idx="12">
                  <c:v>0,060</c:v>
                </c:pt>
                <c:pt idx="13">
                  <c:v>0,065</c:v>
                </c:pt>
                <c:pt idx="14">
                  <c:v>0,070</c:v>
                </c:pt>
                <c:pt idx="15">
                  <c:v>0,075</c:v>
                </c:pt>
                <c:pt idx="16">
                  <c:v>0,080</c:v>
                </c:pt>
                <c:pt idx="17">
                  <c:v>0,085</c:v>
                </c:pt>
                <c:pt idx="18">
                  <c:v>0,090</c:v>
                </c:pt>
                <c:pt idx="19">
                  <c:v>0,095</c:v>
                </c:pt>
                <c:pt idx="20">
                  <c:v>0,100</c:v>
                </c:pt>
                <c:pt idx="21">
                  <c:v>0,105</c:v>
                </c:pt>
                <c:pt idx="22">
                  <c:v>0,110</c:v>
                </c:pt>
                <c:pt idx="23">
                  <c:v>0,115</c:v>
                </c:pt>
                <c:pt idx="24">
                  <c:v>0,120</c:v>
                </c:pt>
                <c:pt idx="25">
                  <c:v>0,125</c:v>
                </c:pt>
                <c:pt idx="26">
                  <c:v>0,130</c:v>
                </c:pt>
                <c:pt idx="27">
                  <c:v>0,135</c:v>
                </c:pt>
                <c:pt idx="28">
                  <c:v>0,140</c:v>
                </c:pt>
                <c:pt idx="29">
                  <c:v>0,145</c:v>
                </c:pt>
                <c:pt idx="30">
                  <c:v>0,150</c:v>
                </c:pt>
                <c:pt idx="31">
                  <c:v>0,155</c:v>
                </c:pt>
                <c:pt idx="32">
                  <c:v>0,160</c:v>
                </c:pt>
                <c:pt idx="33">
                  <c:v>0,165</c:v>
                </c:pt>
              </c:strCache>
            </c:strRef>
          </c:cat>
          <c:val>
            <c:numRef>
              <c:f>Full1!$AB$108:$AB$141</c:f>
              <c:numCache>
                <c:formatCode>General</c:formatCode>
                <c:ptCount val="34"/>
                <c:pt idx="0">
                  <c:v>1.1106181455671573</c:v>
                </c:pt>
                <c:pt idx="1">
                  <c:v>1.375349775594944</c:v>
                </c:pt>
                <c:pt idx="2">
                  <c:v>1.6002861376241171</c:v>
                </c:pt>
                <c:pt idx="3">
                  <c:v>1.7698639647756731</c:v>
                </c:pt>
                <c:pt idx="4">
                  <c:v>1.8897938766539615</c:v>
                </c:pt>
                <c:pt idx="5">
                  <c:v>1.9728321423999007</c:v>
                </c:pt>
                <c:pt idx="6">
                  <c:v>2.0305015271424107</c:v>
                </c:pt>
                <c:pt idx="7">
                  <c:v>2.0711043176800614</c:v>
                </c:pt>
                <c:pt idx="8">
                  <c:v>2.100163096116932</c:v>
                </c:pt>
                <c:pt idx="9">
                  <c:v>2.1212663251200401</c:v>
                </c:pt>
                <c:pt idx="10">
                  <c:v>2.1367467266377034</c:v>
                </c:pt>
                <c:pt idx="11">
                  <c:v>2.1481349104871463</c:v>
                </c:pt>
                <c:pt idx="12">
                  <c:v>2.1564450978175165</c:v>
                </c:pt>
                <c:pt idx="13">
                  <c:v>2.1623518172697329</c:v>
                </c:pt>
                <c:pt idx="14">
                  <c:v>2.1662986612186272</c:v>
                </c:pt>
                <c:pt idx="15">
                  <c:v>2.1685646912116998</c:v>
                </c:pt>
                <c:pt idx="16">
                  <c:v>2.169303665750665</c:v>
                </c:pt>
                <c:pt idx="17">
                  <c:v>2.1685646912116998</c:v>
                </c:pt>
                <c:pt idx="18">
                  <c:v>2.1662986612186272</c:v>
                </c:pt>
                <c:pt idx="19">
                  <c:v>2.1623518172697329</c:v>
                </c:pt>
                <c:pt idx="20">
                  <c:v>2.1564450978175165</c:v>
                </c:pt>
                <c:pt idx="21">
                  <c:v>2.1481349104871463</c:v>
                </c:pt>
                <c:pt idx="22">
                  <c:v>2.1367467266377034</c:v>
                </c:pt>
                <c:pt idx="23">
                  <c:v>2.1212663251200401</c:v>
                </c:pt>
                <c:pt idx="24">
                  <c:v>2.100163096116932</c:v>
                </c:pt>
                <c:pt idx="25">
                  <c:v>2.0711043176800614</c:v>
                </c:pt>
                <c:pt idx="26">
                  <c:v>2.0305015271424107</c:v>
                </c:pt>
                <c:pt idx="27">
                  <c:v>1.9728321423999007</c:v>
                </c:pt>
                <c:pt idx="28">
                  <c:v>1.8897938766539613</c:v>
                </c:pt>
                <c:pt idx="29">
                  <c:v>1.7698639647756733</c:v>
                </c:pt>
                <c:pt idx="30">
                  <c:v>1.6002861376241173</c:v>
                </c:pt>
                <c:pt idx="31">
                  <c:v>1.375349775594944</c:v>
                </c:pt>
                <c:pt idx="32">
                  <c:v>1.1106181455671573</c:v>
                </c:pt>
                <c:pt idx="33">
                  <c:v>0.84583473256999209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1-3E4A-90F2-C38E40924233}"/>
            </c:ext>
          </c:extLst>
        </c:ser>
        <c:ser>
          <c:idx val="1"/>
          <c:order val="1"/>
          <c:tx>
            <c:strRef>
              <c:f>Full1!$AC$67</c:f>
              <c:strCache>
                <c:ptCount val="1"/>
                <c:pt idx="0">
                  <c:v>B_exp (mT)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3175">
                <a:noFill/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Full1!$AA$108:$AA$141</c:f>
              <c:strCache>
                <c:ptCount val="34"/>
                <c:pt idx="0">
                  <c:v>0</c:v>
                </c:pt>
                <c:pt idx="1">
                  <c:v>0,005</c:v>
                </c:pt>
                <c:pt idx="2">
                  <c:v>0,010</c:v>
                </c:pt>
                <c:pt idx="3">
                  <c:v>0,015</c:v>
                </c:pt>
                <c:pt idx="4">
                  <c:v>0,020</c:v>
                </c:pt>
                <c:pt idx="5">
                  <c:v>0,025</c:v>
                </c:pt>
                <c:pt idx="6">
                  <c:v>0,030</c:v>
                </c:pt>
                <c:pt idx="7">
                  <c:v>0,035</c:v>
                </c:pt>
                <c:pt idx="8">
                  <c:v>0,040</c:v>
                </c:pt>
                <c:pt idx="9">
                  <c:v>0,045</c:v>
                </c:pt>
                <c:pt idx="10">
                  <c:v>0,050</c:v>
                </c:pt>
                <c:pt idx="11">
                  <c:v>0,055</c:v>
                </c:pt>
                <c:pt idx="12">
                  <c:v>0,060</c:v>
                </c:pt>
                <c:pt idx="13">
                  <c:v>0,065</c:v>
                </c:pt>
                <c:pt idx="14">
                  <c:v>0,070</c:v>
                </c:pt>
                <c:pt idx="15">
                  <c:v>0,075</c:v>
                </c:pt>
                <c:pt idx="16">
                  <c:v>0,080</c:v>
                </c:pt>
                <c:pt idx="17">
                  <c:v>0,085</c:v>
                </c:pt>
                <c:pt idx="18">
                  <c:v>0,090</c:v>
                </c:pt>
                <c:pt idx="19">
                  <c:v>0,095</c:v>
                </c:pt>
                <c:pt idx="20">
                  <c:v>0,100</c:v>
                </c:pt>
                <c:pt idx="21">
                  <c:v>0,105</c:v>
                </c:pt>
                <c:pt idx="22">
                  <c:v>0,110</c:v>
                </c:pt>
                <c:pt idx="23">
                  <c:v>0,115</c:v>
                </c:pt>
                <c:pt idx="24">
                  <c:v>0,120</c:v>
                </c:pt>
                <c:pt idx="25">
                  <c:v>0,125</c:v>
                </c:pt>
                <c:pt idx="26">
                  <c:v>0,130</c:v>
                </c:pt>
                <c:pt idx="27">
                  <c:v>0,135</c:v>
                </c:pt>
                <c:pt idx="28">
                  <c:v>0,140</c:v>
                </c:pt>
                <c:pt idx="29">
                  <c:v>0,145</c:v>
                </c:pt>
                <c:pt idx="30">
                  <c:v>0,150</c:v>
                </c:pt>
                <c:pt idx="31">
                  <c:v>0,155</c:v>
                </c:pt>
                <c:pt idx="32">
                  <c:v>0,160</c:v>
                </c:pt>
                <c:pt idx="33">
                  <c:v>0,165</c:v>
                </c:pt>
              </c:strCache>
            </c:strRef>
          </c:cat>
          <c:val>
            <c:numRef>
              <c:f>Full1!$AC$108:$AC$141</c:f>
              <c:numCache>
                <c:formatCode>General</c:formatCode>
                <c:ptCount val="34"/>
                <c:pt idx="0">
                  <c:v>1.02</c:v>
                </c:pt>
                <c:pt idx="1">
                  <c:v>1.32</c:v>
                </c:pt>
                <c:pt idx="2">
                  <c:v>1.55</c:v>
                </c:pt>
                <c:pt idx="3">
                  <c:v>1.74</c:v>
                </c:pt>
                <c:pt idx="4">
                  <c:v>1.92</c:v>
                </c:pt>
                <c:pt idx="5">
                  <c:v>2.0299999999999998</c:v>
                </c:pt>
                <c:pt idx="6">
                  <c:v>2.11</c:v>
                </c:pt>
                <c:pt idx="7">
                  <c:v>2.15</c:v>
                </c:pt>
                <c:pt idx="8">
                  <c:v>2.19</c:v>
                </c:pt>
                <c:pt idx="9">
                  <c:v>2.2000000000000002</c:v>
                </c:pt>
                <c:pt idx="10">
                  <c:v>2.2200000000000002</c:v>
                </c:pt>
                <c:pt idx="11">
                  <c:v>2.2400000000000002</c:v>
                </c:pt>
                <c:pt idx="12">
                  <c:v>2.2400000000000002</c:v>
                </c:pt>
                <c:pt idx="13">
                  <c:v>2.2400000000000002</c:v>
                </c:pt>
                <c:pt idx="14">
                  <c:v>2.2400000000000002</c:v>
                </c:pt>
                <c:pt idx="15">
                  <c:v>2.2400000000000002</c:v>
                </c:pt>
                <c:pt idx="16">
                  <c:v>2.2400000000000002</c:v>
                </c:pt>
                <c:pt idx="17">
                  <c:v>2.2400000000000002</c:v>
                </c:pt>
                <c:pt idx="18">
                  <c:v>2.2400000000000002</c:v>
                </c:pt>
                <c:pt idx="19">
                  <c:v>2.2400000000000002</c:v>
                </c:pt>
                <c:pt idx="20">
                  <c:v>2.2400000000000002</c:v>
                </c:pt>
                <c:pt idx="21">
                  <c:v>2.23</c:v>
                </c:pt>
                <c:pt idx="22">
                  <c:v>2.2200000000000002</c:v>
                </c:pt>
                <c:pt idx="23">
                  <c:v>2.21</c:v>
                </c:pt>
                <c:pt idx="24">
                  <c:v>2.19</c:v>
                </c:pt>
                <c:pt idx="25">
                  <c:v>2.17</c:v>
                </c:pt>
                <c:pt idx="26">
                  <c:v>2.14</c:v>
                </c:pt>
                <c:pt idx="27">
                  <c:v>2.11</c:v>
                </c:pt>
                <c:pt idx="28">
                  <c:v>2.0699999999999998</c:v>
                </c:pt>
                <c:pt idx="29">
                  <c:v>1.97</c:v>
                </c:pt>
                <c:pt idx="30">
                  <c:v>1.86</c:v>
                </c:pt>
                <c:pt idx="31">
                  <c:v>1.7</c:v>
                </c:pt>
                <c:pt idx="32">
                  <c:v>1.43</c:v>
                </c:pt>
                <c:pt idx="33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1-3E4A-90F2-C38E40924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172127"/>
        <c:axId val="904967087"/>
      </c:lineChart>
      <c:catAx>
        <c:axId val="90517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 (</a:t>
                </a:r>
                <a:r>
                  <a:rPr lang="en-ES" sz="1000" b="0" i="0" u="none" strike="noStrike" baseline="0">
                    <a:effectLst/>
                  </a:rPr>
                  <a:t>±0,001</a:t>
                </a:r>
                <a:r>
                  <a:rPr lang="en-ES" sz="1000" b="0" i="0" u="none" strike="noStrike" baseline="0"/>
                  <a:t> 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04967087"/>
        <c:crosses val="autoZero"/>
        <c:auto val="1"/>
        <c:lblAlgn val="ctr"/>
        <c:lblOffset val="100"/>
        <c:noMultiLvlLbl val="0"/>
      </c:catAx>
      <c:valAx>
        <c:axId val="9049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</a:t>
                </a:r>
                <a:r>
                  <a:rPr lang="en-GB" baseline="0"/>
                  <a:t> (</a:t>
                </a:r>
                <a:r>
                  <a:rPr lang="en-ES" sz="1000" b="0" i="0" u="none" strike="noStrike" baseline="0">
                    <a:effectLst/>
                  </a:rPr>
                  <a:t>±0,01</a:t>
                </a:r>
                <a:r>
                  <a:rPr lang="en-ES" sz="1000" b="0" i="0" u="none" strike="noStrike" baseline="0"/>
                  <a:t>  </a:t>
                </a:r>
                <a:r>
                  <a:rPr lang="en-GB" baseline="0"/>
                  <a:t>mT)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0517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Camp magnètic Vs. Intensitat</a:t>
            </a:r>
            <a:r>
              <a:rPr lang="en-GB" sz="1200" baseline="0"/>
              <a:t>. Bobina 100 espires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Full1!$AL$36</c:f>
              <c:strCache>
                <c:ptCount val="1"/>
                <c:pt idx="0">
                  <c:v>Camp magnètic (mT)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Full1!$V$38:$V$47</c:f>
              <c:numCache>
                <c:formatCode>General</c:formatCode>
                <c:ptCount val="10"/>
                <c:pt idx="0">
                  <c:v>0.11</c:v>
                </c:pt>
                <c:pt idx="1">
                  <c:v>0.21</c:v>
                </c:pt>
                <c:pt idx="2">
                  <c:v>0.3</c:v>
                </c:pt>
                <c:pt idx="3">
                  <c:v>0.41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Full1!$AL$38:$AL$47</c:f>
              <c:numCache>
                <c:formatCode>General</c:formatCode>
                <c:ptCount val="10"/>
                <c:pt idx="0">
                  <c:v>0.23</c:v>
                </c:pt>
                <c:pt idx="1">
                  <c:v>0.43</c:v>
                </c:pt>
                <c:pt idx="2">
                  <c:v>0.59</c:v>
                </c:pt>
                <c:pt idx="3">
                  <c:v>0.82</c:v>
                </c:pt>
                <c:pt idx="4">
                  <c:v>0.99</c:v>
                </c:pt>
                <c:pt idx="5">
                  <c:v>1.19</c:v>
                </c:pt>
                <c:pt idx="6">
                  <c:v>1.36</c:v>
                </c:pt>
                <c:pt idx="7">
                  <c:v>1.55</c:v>
                </c:pt>
                <c:pt idx="8">
                  <c:v>1.74</c:v>
                </c:pt>
                <c:pt idx="9">
                  <c:v>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D7-A44A-907A-77F739185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278959"/>
        <c:axId val="828246607"/>
      </c:scatterChart>
      <c:valAx>
        <c:axId val="902278959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 (</a:t>
                </a:r>
                <a:r>
                  <a:rPr lang="en-ES" sz="1000" b="0" i="0" u="none" strike="noStrike" baseline="0">
                    <a:effectLst/>
                  </a:rPr>
                  <a:t>±</a:t>
                </a:r>
                <a:r>
                  <a:rPr lang="en-GB"/>
                  <a:t>0,01A)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28246607"/>
        <c:crosses val="autoZero"/>
        <c:crossBetween val="midCat"/>
      </c:valAx>
      <c:valAx>
        <c:axId val="828246607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</a:t>
                </a:r>
                <a:r>
                  <a:rPr lang="en-GB" sz="1000" b="0" i="0" u="none" strike="noStrike" baseline="0">
                    <a:effectLst/>
                  </a:rPr>
                  <a:t>±0,01 </a:t>
                </a:r>
                <a:r>
                  <a:rPr lang="en-GB"/>
                  <a:t>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0227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Camp magnètic Vs. Intensitat</a:t>
            </a:r>
            <a:r>
              <a:rPr lang="en-GB" sz="1200" baseline="0"/>
              <a:t>. Bobina 200 espires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Full1!$AQ$36</c:f>
              <c:strCache>
                <c:ptCount val="1"/>
                <c:pt idx="0">
                  <c:v>Camp magnètic (mT)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Full1!$V$38:$V$47</c:f>
              <c:numCache>
                <c:formatCode>General</c:formatCode>
                <c:ptCount val="10"/>
                <c:pt idx="0">
                  <c:v>0.11</c:v>
                </c:pt>
                <c:pt idx="1">
                  <c:v>0.21</c:v>
                </c:pt>
                <c:pt idx="2">
                  <c:v>0.3</c:v>
                </c:pt>
                <c:pt idx="3">
                  <c:v>0.41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Full1!$AQ$38:$AQ$47</c:f>
              <c:numCache>
                <c:formatCode>General</c:formatCode>
                <c:ptCount val="10"/>
                <c:pt idx="0">
                  <c:v>0.24</c:v>
                </c:pt>
                <c:pt idx="1">
                  <c:v>0.46</c:v>
                </c:pt>
                <c:pt idx="2">
                  <c:v>0.67</c:v>
                </c:pt>
                <c:pt idx="3">
                  <c:v>0.89</c:v>
                </c:pt>
                <c:pt idx="4">
                  <c:v>1.1200000000000001</c:v>
                </c:pt>
                <c:pt idx="5">
                  <c:v>1.33</c:v>
                </c:pt>
                <c:pt idx="6">
                  <c:v>1.57</c:v>
                </c:pt>
                <c:pt idx="7">
                  <c:v>1.78</c:v>
                </c:pt>
                <c:pt idx="8">
                  <c:v>2.0099999999999998</c:v>
                </c:pt>
                <c:pt idx="9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22-994B-94E6-3D54CCEEC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278959"/>
        <c:axId val="828246607"/>
      </c:scatterChart>
      <c:valAx>
        <c:axId val="902278959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 (</a:t>
                </a:r>
                <a:r>
                  <a:rPr lang="en-ES" sz="1000" b="0" i="0" u="none" strike="noStrike" baseline="0">
                    <a:effectLst/>
                  </a:rPr>
                  <a:t>±</a:t>
                </a:r>
                <a:r>
                  <a:rPr lang="en-GB"/>
                  <a:t>0,01 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28246607"/>
        <c:crosses val="autoZero"/>
        <c:crossBetween val="midCat"/>
      </c:valAx>
      <c:valAx>
        <c:axId val="828246607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</a:t>
                </a:r>
                <a:r>
                  <a:rPr lang="en-GB" sz="1000" b="0" i="0" u="none" strike="noStrike" baseline="0">
                    <a:effectLst/>
                  </a:rPr>
                  <a:t>±0,01 </a:t>
                </a:r>
                <a:r>
                  <a:rPr lang="en-GB"/>
                  <a:t>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0227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Camp magnètic Vs. Intensitat</a:t>
            </a:r>
            <a:r>
              <a:rPr lang="en-GB" sz="1200" baseline="0"/>
              <a:t>. Bobina 300 espires</a:t>
            </a:r>
            <a:endParaRPr lang="en-GB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Full1!$AV$36</c:f>
              <c:strCache>
                <c:ptCount val="1"/>
                <c:pt idx="0">
                  <c:v>Camp magnètic (mT)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Full1!$V$38:$V$47</c:f>
              <c:numCache>
                <c:formatCode>General</c:formatCode>
                <c:ptCount val="10"/>
                <c:pt idx="0">
                  <c:v>0.11</c:v>
                </c:pt>
                <c:pt idx="1">
                  <c:v>0.21</c:v>
                </c:pt>
                <c:pt idx="2">
                  <c:v>0.3</c:v>
                </c:pt>
                <c:pt idx="3">
                  <c:v>0.41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Full1!$AV$38:$AV$47</c:f>
              <c:numCache>
                <c:formatCode>General</c:formatCode>
                <c:ptCount val="10"/>
                <c:pt idx="0">
                  <c:v>0.24</c:v>
                </c:pt>
                <c:pt idx="1">
                  <c:v>0.47</c:v>
                </c:pt>
                <c:pt idx="2">
                  <c:v>0.7</c:v>
                </c:pt>
                <c:pt idx="3">
                  <c:v>0.92</c:v>
                </c:pt>
                <c:pt idx="4">
                  <c:v>1.1499999999999999</c:v>
                </c:pt>
                <c:pt idx="5">
                  <c:v>1.38</c:v>
                </c:pt>
                <c:pt idx="6">
                  <c:v>1.6</c:v>
                </c:pt>
                <c:pt idx="7">
                  <c:v>1.82</c:v>
                </c:pt>
                <c:pt idx="8">
                  <c:v>2.04</c:v>
                </c:pt>
                <c:pt idx="9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6-A64C-9176-BFE776AB0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278959"/>
        <c:axId val="828246607"/>
      </c:scatterChart>
      <c:valAx>
        <c:axId val="902278959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 (</a:t>
                </a:r>
                <a:r>
                  <a:rPr lang="en-ES" sz="1000" b="0" i="0" u="none" strike="noStrike" baseline="0">
                    <a:effectLst/>
                  </a:rPr>
                  <a:t>±</a:t>
                </a:r>
                <a:r>
                  <a:rPr lang="en-GB"/>
                  <a:t>0,01 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828246607"/>
        <c:crosses val="autoZero"/>
        <c:crossBetween val="midCat"/>
      </c:valAx>
      <c:valAx>
        <c:axId val="828246607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</a:t>
                </a:r>
                <a:r>
                  <a:rPr lang="en-GB" sz="1000" b="0" i="0" u="none" strike="noStrike" baseline="0">
                    <a:effectLst/>
                  </a:rPr>
                  <a:t>±0,01 </a:t>
                </a:r>
                <a:r>
                  <a:rPr lang="en-GB"/>
                  <a:t>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0227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Vo Vs. Io. Cas</a:t>
            </a:r>
            <a:r>
              <a:rPr lang="en-GB" baseline="0"/>
              <a:t> N = 300, d = 33 mm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000"/>
            <c:backward val="10000"/>
            <c:dispRSqr val="0"/>
            <c:dispEq val="0"/>
          </c:trendline>
          <c:errBars>
            <c:errDir val="x"/>
            <c:errBarType val="both"/>
            <c:errValType val="fixedVal"/>
            <c:noEndCap val="0"/>
            <c:val val="7.0700000000000013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7.0700000000000016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Full1!$AM$7:$AM$16</c:f>
              <c:numCache>
                <c:formatCode>General</c:formatCode>
                <c:ptCount val="10"/>
                <c:pt idx="0">
                  <c:v>19.516147160748712</c:v>
                </c:pt>
                <c:pt idx="1">
                  <c:v>38.608030252785497</c:v>
                </c:pt>
                <c:pt idx="2">
                  <c:v>57.982756057296903</c:v>
                </c:pt>
                <c:pt idx="3">
                  <c:v>77.35748186180831</c:v>
                </c:pt>
                <c:pt idx="4">
                  <c:v>96.590786310082393</c:v>
                </c:pt>
                <c:pt idx="5">
                  <c:v>115.8240907583565</c:v>
                </c:pt>
                <c:pt idx="6">
                  <c:v>135.05739520663059</c:v>
                </c:pt>
                <c:pt idx="7">
                  <c:v>154.43212101114199</c:v>
                </c:pt>
                <c:pt idx="8">
                  <c:v>173.66542545941607</c:v>
                </c:pt>
                <c:pt idx="9">
                  <c:v>193.0401512639275</c:v>
                </c:pt>
              </c:numCache>
            </c:numRef>
          </c:xVal>
          <c:yVal>
            <c:numRef>
              <c:f>Full1!$AN$7:$AN$16</c:f>
              <c:numCache>
                <c:formatCode>General</c:formatCode>
                <c:ptCount val="10"/>
                <c:pt idx="0">
                  <c:v>27.011479041326115</c:v>
                </c:pt>
                <c:pt idx="1">
                  <c:v>53.457272657702994</c:v>
                </c:pt>
                <c:pt idx="2">
                  <c:v>80.185908986554495</c:v>
                </c:pt>
                <c:pt idx="3">
                  <c:v>106.91454531540599</c:v>
                </c:pt>
                <c:pt idx="4">
                  <c:v>133.78460300049483</c:v>
                </c:pt>
                <c:pt idx="5">
                  <c:v>160.51323932934631</c:v>
                </c:pt>
                <c:pt idx="6">
                  <c:v>187.52471837067242</c:v>
                </c:pt>
                <c:pt idx="7">
                  <c:v>214.39477605576121</c:v>
                </c:pt>
                <c:pt idx="8">
                  <c:v>241.54767645332461</c:v>
                </c:pt>
                <c:pt idx="9">
                  <c:v>268.84199820712541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40-C548-9211-1B84D6C8F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958751"/>
        <c:axId val="909348815"/>
      </c:scatterChart>
      <c:valAx>
        <c:axId val="946958751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Io (± </a:t>
                </a:r>
                <a:r>
                  <a:rPr lang="es-ES" sz="1000" b="0" i="0" u="none" strike="noStrike" baseline="0">
                    <a:effectLst/>
                  </a:rPr>
                  <a:t>0,14 mA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09348815"/>
        <c:crosses val="autoZero"/>
        <c:crossBetween val="midCat"/>
      </c:valAx>
      <c:valAx>
        <c:axId val="909348815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 (± 0,014</a:t>
                </a:r>
                <a:r>
                  <a:rPr lang="en-GB" baseline="0"/>
                  <a:t> mV)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4695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 vs N.</a:t>
            </a:r>
          </a:p>
          <a:p>
            <a:pPr>
              <a:defRPr/>
            </a:pPr>
            <a:r>
              <a:rPr lang="en-GB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Caso z = L/4</a:t>
            </a:r>
          </a:p>
        </c:rich>
      </c:tx>
      <c:layout>
        <c:manualLayout>
          <c:xMode val="edge"/>
          <c:yMode val="edge"/>
          <c:x val="0.45260335344065517"/>
          <c:y val="3.9602688367692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 experimental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0"/>
            <c:backward val="100"/>
            <c:dispRSqr val="0"/>
            <c:dispEq val="0"/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Full1!$AU$98:$AU$100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Full1!$AV$98:$AV$100</c:f>
              <c:numCache>
                <c:formatCode>General</c:formatCode>
                <c:ptCount val="3"/>
                <c:pt idx="0">
                  <c:v>1.76</c:v>
                </c:pt>
                <c:pt idx="1">
                  <c:v>2.09</c:v>
                </c:pt>
                <c:pt idx="2">
                  <c:v>2.19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C-2344-9E3B-C25DA7DF5FD1}"/>
            </c:ext>
          </c:extLst>
        </c:ser>
        <c:ser>
          <c:idx val="1"/>
          <c:order val="1"/>
          <c:tx>
            <c:v>B teórico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Full1!$AU$98:$AU$100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Full1!$AW$98:$AW$100</c:f>
              <c:numCache>
                <c:formatCode>General</c:formatCode>
                <c:ptCount val="3"/>
                <c:pt idx="0">
                  <c:v>1.415126088974292</c:v>
                </c:pt>
                <c:pt idx="1">
                  <c:v>1.9955336583933896</c:v>
                </c:pt>
                <c:pt idx="2">
                  <c:v>2.100163096116932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11-8F40-A904-4A9B75CB0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486479"/>
        <c:axId val="674929407"/>
      </c:scatterChart>
      <c:valAx>
        <c:axId val="597486479"/>
        <c:scaling>
          <c:orientation val="minMax"/>
          <c:max val="3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74929407"/>
        <c:crosses val="autoZero"/>
        <c:crossBetween val="midCat"/>
      </c:valAx>
      <c:valAx>
        <c:axId val="674929407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</a:t>
                </a:r>
                <a:r>
                  <a:rPr lang="en-GB" baseline="0"/>
                  <a:t> (mT)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97486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baseline="0">
                <a:effectLst/>
              </a:rPr>
              <a:t>B vs N</a:t>
            </a:r>
          </a:p>
          <a:p>
            <a:pPr>
              <a:defRPr/>
            </a:pPr>
            <a:r>
              <a:rPr lang="en-GB" sz="1000" b="0" i="0" baseline="0">
                <a:effectLst/>
              </a:rPr>
              <a:t>caso </a:t>
            </a:r>
            <a:r>
              <a:rPr lang="en-GB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 = L/2</a:t>
            </a:r>
            <a:endParaRPr lang="en-ES" sz="1000">
              <a:effectLst/>
            </a:endParaRPr>
          </a:p>
        </c:rich>
      </c:tx>
      <c:layout>
        <c:manualLayout>
          <c:xMode val="edge"/>
          <c:yMode val="edge"/>
          <c:x val="0.43608180792633283"/>
          <c:y val="4.4144181152299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 experimental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0"/>
            <c:backward val="100"/>
            <c:dispRSqr val="0"/>
            <c:dispEq val="0"/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Full1!$AZ$98:$AZ$100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Full1!$BA$98:$BA$100</c:f>
              <c:numCache>
                <c:formatCode>General</c:formatCode>
                <c:ptCount val="3"/>
                <c:pt idx="0">
                  <c:v>1.88</c:v>
                </c:pt>
                <c:pt idx="1">
                  <c:v>2.19</c:v>
                </c:pt>
                <c:pt idx="2">
                  <c:v>2.2400000000000002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2-0546-BB24-172D281F4C1E}"/>
            </c:ext>
          </c:extLst>
        </c:ser>
        <c:ser>
          <c:idx val="1"/>
          <c:order val="1"/>
          <c:tx>
            <c:v>B teórico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Full1!$AZ$98:$AZ$100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Full1!$BB$98:$BB$100</c:f>
              <c:numCache>
                <c:formatCode>General</c:formatCode>
                <c:ptCount val="3"/>
                <c:pt idx="0">
                  <c:v>1.5283684154974952</c:v>
                </c:pt>
                <c:pt idx="1">
                  <c:v>2.0802990283065821</c:v>
                </c:pt>
                <c:pt idx="2">
                  <c:v>2.1685646912116998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00-574F-913E-4AAF12C2D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286303"/>
        <c:axId val="659962287"/>
      </c:scatterChart>
      <c:valAx>
        <c:axId val="660286303"/>
        <c:scaling>
          <c:orientation val="minMax"/>
          <c:max val="3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59962287"/>
        <c:crosses val="autoZero"/>
        <c:crossBetween val="midCat"/>
      </c:valAx>
      <c:valAx>
        <c:axId val="659962287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60286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/>
              <a:t>B</a:t>
            </a:r>
            <a:r>
              <a:rPr lang="en-GB" sz="1000" baseline="0"/>
              <a:t> vs N.</a:t>
            </a:r>
          </a:p>
          <a:p>
            <a:pPr>
              <a:defRPr/>
            </a:pPr>
            <a:r>
              <a:rPr lang="en-GB" sz="1000" baseline="0"/>
              <a:t>Caso z =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 experimental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0"/>
            <c:backward val="100"/>
            <c:dispRSqr val="0"/>
            <c:dispEq val="1"/>
            <c:trendlineLbl>
              <c:layout>
                <c:manualLayout>
                  <c:x val="-9.499923837326843E-2"/>
                  <c:y val="-0.211239963487984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5.000000000000001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Full1!$AN$98:$AN$100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Full1!$AO$98:$AO$100</c:f>
              <c:numCache>
                <c:formatCode>General</c:formatCode>
                <c:ptCount val="3"/>
                <c:pt idx="0">
                  <c:v>1</c:v>
                </c:pt>
                <c:pt idx="1">
                  <c:v>1.04</c:v>
                </c:pt>
                <c:pt idx="2">
                  <c:v>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1-D945-AA94-281A3A69AA9E}"/>
            </c:ext>
          </c:extLst>
        </c:ser>
        <c:ser>
          <c:idx val="1"/>
          <c:order val="1"/>
          <c:tx>
            <c:v>B teórico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Full1!$AN$98:$AN$100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Full1!$AP$98:$AP$100</c:f>
              <c:numCache>
                <c:formatCode>General</c:formatCode>
                <c:ptCount val="3"/>
                <c:pt idx="0">
                  <c:v>0.89568580956764743</c:v>
                </c:pt>
                <c:pt idx="1">
                  <c:v>1.0936258874191263</c:v>
                </c:pt>
                <c:pt idx="2">
                  <c:v>1.1106181455671573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00-224A-91D5-65A21B2AB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455775"/>
        <c:axId val="679378751"/>
      </c:scatterChart>
      <c:valAx>
        <c:axId val="763455775"/>
        <c:scaling>
          <c:orientation val="minMax"/>
          <c:max val="3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79378751"/>
        <c:crosses val="autoZero"/>
        <c:crossBetween val="midCat"/>
      </c:valAx>
      <c:valAx>
        <c:axId val="679378751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</a:t>
                </a:r>
                <a:r>
                  <a:rPr lang="en-GB" baseline="0"/>
                  <a:t> (mT)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763455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130175</xdr:colOff>
      <xdr:row>17</xdr:row>
      <xdr:rowOff>38100</xdr:rowOff>
    </xdr:from>
    <xdr:to>
      <xdr:col>29</xdr:col>
      <xdr:colOff>536575</xdr:colOff>
      <xdr:row>31</xdr:row>
      <xdr:rowOff>114300</xdr:rowOff>
    </xdr:to>
    <xdr:graphicFrame macro="">
      <xdr:nvGraphicFramePr>
        <xdr:cNvPr id="3" name="Gràfic 2">
          <a:extLst>
            <a:ext uri="{FF2B5EF4-FFF2-40B4-BE49-F238E27FC236}">
              <a16:creationId xmlns:a16="http://schemas.microsoft.com/office/drawing/2014/main" id="{EA5816E6-C257-BEA9-4822-5AAA87456C1F}"/>
            </a:ext>
            <a:ext uri="{147F2762-F138-4A5C-976F-8EAC2B608ADB}">
              <a16:predDERef xmlns:a16="http://schemas.microsoft.com/office/drawing/2014/main" pred="{E0E33A63-6739-94DD-9E26-8E4380907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215900</xdr:colOff>
      <xdr:row>17</xdr:row>
      <xdr:rowOff>9525</xdr:rowOff>
    </xdr:from>
    <xdr:to>
      <xdr:col>23</xdr:col>
      <xdr:colOff>619125</xdr:colOff>
      <xdr:row>31</xdr:row>
      <xdr:rowOff>85725</xdr:rowOff>
    </xdr:to>
    <xdr:graphicFrame macro="">
      <xdr:nvGraphicFramePr>
        <xdr:cNvPr id="4" name="Gràfic 3">
          <a:extLst>
            <a:ext uri="{FF2B5EF4-FFF2-40B4-BE49-F238E27FC236}">
              <a16:creationId xmlns:a16="http://schemas.microsoft.com/office/drawing/2014/main" id="{1E4E245E-AC10-961E-C075-713246DDE213}"/>
            </a:ext>
            <a:ext uri="{147F2762-F138-4A5C-976F-8EAC2B608ADB}">
              <a16:predDERef xmlns:a16="http://schemas.microsoft.com/office/drawing/2014/main" pred="{EA5816E6-C257-BEA9-4822-5AAA87456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161925</xdr:colOff>
      <xdr:row>16</xdr:row>
      <xdr:rowOff>180975</xdr:rowOff>
    </xdr:from>
    <xdr:to>
      <xdr:col>35</xdr:col>
      <xdr:colOff>390525</xdr:colOff>
      <xdr:row>31</xdr:row>
      <xdr:rowOff>66675</xdr:rowOff>
    </xdr:to>
    <xdr:graphicFrame macro="">
      <xdr:nvGraphicFramePr>
        <xdr:cNvPr id="5" name="Gràfic 4">
          <a:extLst>
            <a:ext uri="{FF2B5EF4-FFF2-40B4-BE49-F238E27FC236}">
              <a16:creationId xmlns:a16="http://schemas.microsoft.com/office/drawing/2014/main" id="{8D0EE4A1-D437-9495-854A-F4CADDFE838E}"/>
            </a:ext>
            <a:ext uri="{147F2762-F138-4A5C-976F-8EAC2B608ADB}">
              <a16:predDERef xmlns:a16="http://schemas.microsoft.com/office/drawing/2014/main" pred="{1E4E245E-AC10-961E-C075-713246DDE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107950</xdr:colOff>
      <xdr:row>64</xdr:row>
      <xdr:rowOff>133350</xdr:rowOff>
    </xdr:from>
    <xdr:to>
      <xdr:col>8</xdr:col>
      <xdr:colOff>1555750</xdr:colOff>
      <xdr:row>79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28F22-063C-726C-5C5F-333CD743B46B}"/>
            </a:ext>
            <a:ext uri="{147F2762-F138-4A5C-976F-8EAC2B608ADB}">
              <a16:predDERef xmlns:a16="http://schemas.microsoft.com/office/drawing/2014/main" pred="{8D0EE4A1-D437-9495-854A-F4CADDFE8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184150</xdr:colOff>
      <xdr:row>46</xdr:row>
      <xdr:rowOff>120650</xdr:rowOff>
    </xdr:from>
    <xdr:to>
      <xdr:col>19</xdr:col>
      <xdr:colOff>69850</xdr:colOff>
      <xdr:row>61</xdr:row>
      <xdr:rowOff>6350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E4CE8F4-6F5B-5F3F-DEA8-E18145F0D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196850</xdr:colOff>
      <xdr:row>47</xdr:row>
      <xdr:rowOff>95250</xdr:rowOff>
    </xdr:from>
    <xdr:to>
      <xdr:col>5</xdr:col>
      <xdr:colOff>107950</xdr:colOff>
      <xdr:row>61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713837-15A9-5CC6-F142-9E5345607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190500</xdr:colOff>
      <xdr:row>64</xdr:row>
      <xdr:rowOff>133350</xdr:rowOff>
    </xdr:from>
    <xdr:to>
      <xdr:col>33</xdr:col>
      <xdr:colOff>546100</xdr:colOff>
      <xdr:row>79</xdr:row>
      <xdr:rowOff>19050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D8976CD-B53F-1B46-124F-1894B7F27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678744</xdr:colOff>
      <xdr:row>47</xdr:row>
      <xdr:rowOff>172861</xdr:rowOff>
    </xdr:from>
    <xdr:to>
      <xdr:col>24</xdr:col>
      <xdr:colOff>293511</xdr:colOff>
      <xdr:row>62</xdr:row>
      <xdr:rowOff>58561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557CA52-0B55-2D9D-4B94-2DE259F50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0</xdr:colOff>
      <xdr:row>48</xdr:row>
      <xdr:rowOff>6350</xdr:rowOff>
    </xdr:from>
    <xdr:to>
      <xdr:col>28</xdr:col>
      <xdr:colOff>1155700</xdr:colOff>
      <xdr:row>62</xdr:row>
      <xdr:rowOff>82550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9A3DC84-7C7C-D171-06DA-F0CD1CBDA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215900</xdr:colOff>
      <xdr:row>48</xdr:row>
      <xdr:rowOff>146050</xdr:rowOff>
    </xdr:from>
    <xdr:to>
      <xdr:col>33</xdr:col>
      <xdr:colOff>571500</xdr:colOff>
      <xdr:row>63</xdr:row>
      <xdr:rowOff>31750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AC5BC15-BE6A-3023-1753-006A044C0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451556</xdr:colOff>
      <xdr:row>83</xdr:row>
      <xdr:rowOff>42333</xdr:rowOff>
    </xdr:from>
    <xdr:to>
      <xdr:col>34</xdr:col>
      <xdr:colOff>129823</xdr:colOff>
      <xdr:row>97</xdr:row>
      <xdr:rowOff>125588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40EAF8B-6DD5-FE4F-9BE1-C8C032D5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197556</xdr:colOff>
      <xdr:row>108</xdr:row>
      <xdr:rowOff>28222</xdr:rowOff>
    </xdr:from>
    <xdr:to>
      <xdr:col>33</xdr:col>
      <xdr:colOff>553156</xdr:colOff>
      <xdr:row>122</xdr:row>
      <xdr:rowOff>111477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7D55203-0238-E441-AE08-A47B268E2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14111</xdr:colOff>
      <xdr:row>49</xdr:row>
      <xdr:rowOff>0</xdr:rowOff>
    </xdr:from>
    <xdr:to>
      <xdr:col>40</xdr:col>
      <xdr:colOff>531989</xdr:colOff>
      <xdr:row>63</xdr:row>
      <xdr:rowOff>83255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21EBE5F-7F0B-7B41-9860-F1B4EA550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649112</xdr:colOff>
      <xdr:row>48</xdr:row>
      <xdr:rowOff>183444</xdr:rowOff>
    </xdr:from>
    <xdr:to>
      <xdr:col>47</xdr:col>
      <xdr:colOff>465666</xdr:colOff>
      <xdr:row>63</xdr:row>
      <xdr:rowOff>69144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CF1CE7C-AD28-C147-AAD7-C3134EFF1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47</xdr:col>
      <xdr:colOff>635000</xdr:colOff>
      <xdr:row>48</xdr:row>
      <xdr:rowOff>183444</xdr:rowOff>
    </xdr:from>
    <xdr:to>
      <xdr:col>54</xdr:col>
      <xdr:colOff>451555</xdr:colOff>
      <xdr:row>63</xdr:row>
      <xdr:rowOff>69144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08D39B6-E7A1-6940-9112-79CD3ED5F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35</xdr:col>
      <xdr:colOff>367487</xdr:colOff>
      <xdr:row>26</xdr:row>
      <xdr:rowOff>137880</xdr:rowOff>
    </xdr:from>
    <xdr:to>
      <xdr:col>42</xdr:col>
      <xdr:colOff>448879</xdr:colOff>
      <xdr:row>43</xdr:row>
      <xdr:rowOff>145812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69A1635-2AFE-9C24-5FCA-32933C30E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41</xdr:col>
      <xdr:colOff>24085</xdr:colOff>
      <xdr:row>100</xdr:row>
      <xdr:rowOff>54738</xdr:rowOff>
    </xdr:from>
    <xdr:to>
      <xdr:col>46</xdr:col>
      <xdr:colOff>360796</xdr:colOff>
      <xdr:row>117</xdr:row>
      <xdr:rowOff>72159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67AA9891-25E4-07B8-E4A8-5878F76A5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47</xdr:col>
      <xdr:colOff>593397</xdr:colOff>
      <xdr:row>100</xdr:row>
      <xdr:rowOff>68097</xdr:rowOff>
    </xdr:from>
    <xdr:to>
      <xdr:col>53</xdr:col>
      <xdr:colOff>649432</xdr:colOff>
      <xdr:row>117</xdr:row>
      <xdr:rowOff>43295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8A6DC2ED-DDB4-4AF4-1913-5BEF6B53F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613103</xdr:colOff>
      <xdr:row>100</xdr:row>
      <xdr:rowOff>32844</xdr:rowOff>
    </xdr:from>
    <xdr:to>
      <xdr:col>40</xdr:col>
      <xdr:colOff>707159</xdr:colOff>
      <xdr:row>115</xdr:row>
      <xdr:rowOff>14432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967C3DE4-1C61-EDFF-ED8B-0EECFCD0E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V199"/>
  <sheetViews>
    <sheetView tabSelected="1" topLeftCell="AH1" zoomScale="88" zoomScaleNormal="88" workbookViewId="0">
      <selection activeCell="AK20" sqref="AK20"/>
    </sheetView>
  </sheetViews>
  <sheetFormatPr baseColWidth="10" defaultColWidth="8.83203125" defaultRowHeight="15" x14ac:dyDescent="0.2"/>
  <cols>
    <col min="3" max="3" width="13.5" customWidth="1"/>
    <col min="4" max="4" width="20.6640625" customWidth="1"/>
    <col min="5" max="5" width="9.33203125" bestFit="1" customWidth="1"/>
    <col min="8" max="8" width="14" customWidth="1"/>
    <col min="9" max="9" width="21.6640625" customWidth="1"/>
    <col min="13" max="13" width="13.1640625" customWidth="1"/>
    <col min="14" max="14" width="20.6640625" customWidth="1"/>
    <col min="15" max="15" width="9.33203125" bestFit="1" customWidth="1"/>
    <col min="17" max="17" width="14.33203125" customWidth="1"/>
    <col min="18" max="18" width="20.1640625" customWidth="1"/>
    <col min="19" max="19" width="18.83203125" customWidth="1"/>
    <col min="20" max="20" width="16" customWidth="1"/>
    <col min="22" max="22" width="15.1640625" customWidth="1"/>
    <col min="23" max="23" width="20" customWidth="1"/>
    <col min="27" max="27" width="16.5" customWidth="1"/>
    <col min="28" max="28" width="19.5" customWidth="1"/>
    <col min="29" max="29" width="16.83203125" customWidth="1"/>
    <col min="32" max="32" width="17.1640625" customWidth="1"/>
    <col min="33" max="33" width="20.5" customWidth="1"/>
    <col min="39" max="39" width="12" customWidth="1"/>
    <col min="40" max="40" width="12.33203125" customWidth="1"/>
    <col min="41" max="41" width="17.33203125" customWidth="1"/>
    <col min="42" max="42" width="16.33203125" customWidth="1"/>
    <col min="43" max="43" width="14.6640625" customWidth="1"/>
    <col min="47" max="47" width="11.1640625" bestFit="1" customWidth="1"/>
    <col min="48" max="48" width="11.6640625" customWidth="1"/>
    <col min="49" max="49" width="10.1640625" bestFit="1" customWidth="1"/>
    <col min="50" max="50" width="9.1640625" bestFit="1" customWidth="1"/>
    <col min="53" max="53" width="11.83203125" bestFit="1" customWidth="1"/>
    <col min="55" max="55" width="8.83203125" customWidth="1"/>
    <col min="56" max="56" width="12.1640625" bestFit="1" customWidth="1"/>
  </cols>
  <sheetData>
    <row r="3" spans="3:74" x14ac:dyDescent="0.2">
      <c r="Q3" t="s">
        <v>0</v>
      </c>
      <c r="V3" t="s">
        <v>1</v>
      </c>
      <c r="W3" t="s">
        <v>2</v>
      </c>
      <c r="AA3" t="s">
        <v>3</v>
      </c>
      <c r="AB3" t="s">
        <v>4</v>
      </c>
      <c r="AF3" t="s">
        <v>5</v>
      </c>
      <c r="AG3" t="s">
        <v>6</v>
      </c>
      <c r="AM3" t="s">
        <v>139</v>
      </c>
    </row>
    <row r="4" spans="3:74" ht="16" thickBot="1" x14ac:dyDescent="0.25">
      <c r="C4" t="s">
        <v>7</v>
      </c>
      <c r="D4" t="s">
        <v>8</v>
      </c>
      <c r="H4" t="s">
        <v>9</v>
      </c>
      <c r="Q4" t="s">
        <v>10</v>
      </c>
      <c r="R4" t="s">
        <v>11</v>
      </c>
      <c r="AJ4" t="s">
        <v>140</v>
      </c>
      <c r="AK4" t="s">
        <v>141</v>
      </c>
    </row>
    <row r="5" spans="3:74" ht="16" thickBot="1" x14ac:dyDescent="0.25">
      <c r="C5" t="s">
        <v>12</v>
      </c>
      <c r="D5" t="s">
        <v>13</v>
      </c>
      <c r="E5" t="s">
        <v>14</v>
      </c>
      <c r="V5" s="7" t="s">
        <v>15</v>
      </c>
      <c r="W5" s="7" t="s">
        <v>16</v>
      </c>
      <c r="AA5" s="7" t="s">
        <v>15</v>
      </c>
      <c r="AB5" s="7" t="s">
        <v>16</v>
      </c>
      <c r="AF5" s="7" t="s">
        <v>15</v>
      </c>
      <c r="AG5" s="7" t="s">
        <v>16</v>
      </c>
      <c r="AJ5" s="4">
        <v>27.011479041326115</v>
      </c>
      <c r="AK5" s="4">
        <v>19.516147160748712</v>
      </c>
      <c r="AM5" s="22" t="s">
        <v>142</v>
      </c>
      <c r="AN5" s="22" t="s">
        <v>138</v>
      </c>
      <c r="AO5" s="22"/>
      <c r="AP5" s="22"/>
      <c r="AQ5" s="54" t="s">
        <v>83</v>
      </c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6"/>
      <c r="BD5" s="57" t="s">
        <v>84</v>
      </c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9"/>
      <c r="BS5" s="22"/>
      <c r="BT5" s="22"/>
      <c r="BU5" s="22"/>
      <c r="BV5" s="22"/>
    </row>
    <row r="6" spans="3:74" ht="18" thickBot="1" x14ac:dyDescent="0.25">
      <c r="C6" t="s">
        <v>17</v>
      </c>
      <c r="D6" t="s">
        <v>18</v>
      </c>
      <c r="H6" t="s">
        <v>19</v>
      </c>
      <c r="V6" s="7">
        <v>0</v>
      </c>
      <c r="W6" s="7">
        <v>0</v>
      </c>
      <c r="AA6" s="7">
        <v>0</v>
      </c>
      <c r="AB6" s="7">
        <v>0</v>
      </c>
      <c r="AF6" s="7">
        <v>0</v>
      </c>
      <c r="AG6" s="7">
        <v>0</v>
      </c>
      <c r="AJ6" s="4">
        <v>53.457272657702994</v>
      </c>
      <c r="AK6" s="4">
        <v>38.608030252785497</v>
      </c>
      <c r="AM6" s="25" t="s">
        <v>85</v>
      </c>
      <c r="AN6" s="25" t="s">
        <v>86</v>
      </c>
      <c r="AO6" s="25" t="s">
        <v>87</v>
      </c>
      <c r="AP6" s="25" t="s">
        <v>88</v>
      </c>
      <c r="AQ6" s="26" t="s">
        <v>89</v>
      </c>
      <c r="AR6" s="26" t="s">
        <v>90</v>
      </c>
      <c r="AS6" s="26" t="s">
        <v>91</v>
      </c>
      <c r="AT6" s="26" t="s">
        <v>92</v>
      </c>
      <c r="AU6" s="26" t="s">
        <v>93</v>
      </c>
      <c r="AV6" s="26" t="s">
        <v>94</v>
      </c>
      <c r="AW6" s="26" t="s">
        <v>95</v>
      </c>
      <c r="AX6" s="26" t="s">
        <v>96</v>
      </c>
      <c r="AY6" s="27" t="s">
        <v>97</v>
      </c>
      <c r="AZ6" s="27" t="s">
        <v>98</v>
      </c>
      <c r="BA6" s="27" t="s">
        <v>99</v>
      </c>
      <c r="BB6" s="26" t="s">
        <v>100</v>
      </c>
      <c r="BC6" s="26" t="s">
        <v>101</v>
      </c>
      <c r="BD6" s="28" t="s">
        <v>102</v>
      </c>
      <c r="BE6" s="23" t="s">
        <v>89</v>
      </c>
      <c r="BF6" s="23" t="s">
        <v>103</v>
      </c>
      <c r="BG6" s="23" t="s">
        <v>90</v>
      </c>
      <c r="BH6" s="29" t="s">
        <v>104</v>
      </c>
      <c r="BI6" s="28" t="s">
        <v>91</v>
      </c>
      <c r="BJ6" s="24" t="s">
        <v>105</v>
      </c>
      <c r="BK6" s="24" t="s">
        <v>93</v>
      </c>
      <c r="BL6" s="24" t="s">
        <v>106</v>
      </c>
      <c r="BM6" s="24" t="s">
        <v>107</v>
      </c>
      <c r="BN6" s="28" t="s">
        <v>100</v>
      </c>
      <c r="BO6" s="28" t="s">
        <v>101</v>
      </c>
      <c r="BP6" s="23" t="s">
        <v>96</v>
      </c>
      <c r="BQ6" s="30" t="s">
        <v>108</v>
      </c>
      <c r="BR6" s="30" t="s">
        <v>109</v>
      </c>
      <c r="BS6" s="31" t="s">
        <v>110</v>
      </c>
      <c r="BT6" s="31" t="s">
        <v>111</v>
      </c>
      <c r="BU6" s="32" t="s">
        <v>112</v>
      </c>
      <c r="BV6" s="31" t="s">
        <v>113</v>
      </c>
    </row>
    <row r="7" spans="3:74" ht="16" thickBot="1" x14ac:dyDescent="0.25">
      <c r="C7" t="s">
        <v>20</v>
      </c>
      <c r="D7" t="s">
        <v>21</v>
      </c>
      <c r="V7" s="7">
        <v>0.11</v>
      </c>
      <c r="W7" s="7">
        <v>-0.23</v>
      </c>
      <c r="AA7" s="7">
        <v>0.1</v>
      </c>
      <c r="AB7" s="7">
        <v>-0.24</v>
      </c>
      <c r="AF7" s="7">
        <v>0.1</v>
      </c>
      <c r="AG7" s="7">
        <v>-0.24</v>
      </c>
      <c r="AJ7" s="4">
        <v>80.185908986554495</v>
      </c>
      <c r="AK7" s="4">
        <v>57.982756057296903</v>
      </c>
      <c r="AM7" s="4">
        <v>19.516147160748712</v>
      </c>
      <c r="AN7" s="4">
        <v>27.011479041326115</v>
      </c>
      <c r="AO7" s="33">
        <v>0.14141999999999999</v>
      </c>
      <c r="AP7" s="33">
        <v>1.4142E-2</v>
      </c>
      <c r="AQ7" s="51">
        <f>COUNTA(AN7:AN16)</f>
        <v>10</v>
      </c>
      <c r="AR7" s="51">
        <f>SUM(AM7:AM16)</f>
        <v>1062.0743853421945</v>
      </c>
      <c r="AS7" s="51">
        <f>SUM(AN7:AN16)</f>
        <v>1474.1762174177145</v>
      </c>
      <c r="AT7" s="33">
        <f t="shared" ref="AT7:AT15" si="0">AM7*AN7</f>
        <v>527.16</v>
      </c>
      <c r="AU7" s="51">
        <f>SUM(AT7:AT16)</f>
        <v>199306.56000000003</v>
      </c>
      <c r="AV7" s="33">
        <f t="shared" ref="AV7:AV15" si="1">AM7^2</f>
        <v>380.88</v>
      </c>
      <c r="AW7" s="51">
        <f>SUM(AV7:AV16)</f>
        <v>143476.6</v>
      </c>
      <c r="AX7" s="51">
        <f>(AQ7*AW7)-(AR7^2)</f>
        <v>306763.99999999977</v>
      </c>
      <c r="AY7" s="51">
        <f>SQRT(AP7^2+(BC7*AO7)^2)</f>
        <v>0.19753193887075077</v>
      </c>
      <c r="AZ7" s="51">
        <f>AY7*SQRT(AW7/AX7)</f>
        <v>0.13509076741821091</v>
      </c>
      <c r="BA7" s="51">
        <f>AY7*SQRT(AQ7/AX7)</f>
        <v>1.1278078952165567E-3</v>
      </c>
      <c r="BB7" s="51">
        <f>(AW7*AS7-AR7*AU7)/AX7</f>
        <v>-0.54961054984539104</v>
      </c>
      <c r="BC7" s="51">
        <f>((AQ7*AU7)-(AR7*AS7))/AX7</f>
        <v>1.3931908568150113</v>
      </c>
      <c r="BD7" s="34">
        <f>1/(AP7^2+($S$7*AO7)^2)</f>
        <v>5000.0959018393978</v>
      </c>
      <c r="BE7" s="51">
        <f>SUM(BD7:BD16)</f>
        <v>50000.95901839398</v>
      </c>
      <c r="BF7" s="35">
        <f t="shared" ref="BF7:BF16" si="2">BD7*AM7</f>
        <v>97582.607438154242</v>
      </c>
      <c r="BG7" s="51">
        <f>SUM(BF7:BF16)</f>
        <v>5310473.7815981042</v>
      </c>
      <c r="BH7" s="33">
        <f t="shared" ref="BH7:BH16" si="3">BD7*AN7</f>
        <v>135059.98565715548</v>
      </c>
      <c r="BI7" s="51">
        <f>SUM(BH7:BH16)</f>
        <v>7371022.4632994197</v>
      </c>
      <c r="BJ7" s="36">
        <f t="shared" ref="BJ7:BJ16" si="4">BD7*AM7*AN7</f>
        <v>2635850.555613657</v>
      </c>
      <c r="BK7" s="51">
        <f>SUM(BJ7:BJ16)</f>
        <v>996551913.86570823</v>
      </c>
      <c r="BL7" s="36">
        <f t="shared" ref="BL7:BL16" si="5">BD7*AV7</f>
        <v>1904436.5270925898</v>
      </c>
      <c r="BM7" s="51">
        <f>SUM(BL7:BL16)</f>
        <v>717396759.66985059</v>
      </c>
      <c r="BN7" s="51">
        <f>((BM7*BI7)-(BG7*BK7))/BP7</f>
        <v>-0.54961054984540036</v>
      </c>
      <c r="BO7" s="51">
        <f>((BE7*BK7)-(BG7*BI7))/BP7</f>
        <v>1.3931908568150111</v>
      </c>
      <c r="BP7" s="51">
        <f>(BE7*BM7)-(BG7^2)</f>
        <v>7669394195139.9688</v>
      </c>
      <c r="BQ7" s="51">
        <f>SQRT((BM7/BP7))</f>
        <v>9.6716188974299861E-3</v>
      </c>
      <c r="BR7" s="51">
        <f>SQRT((BE7/BP7))</f>
        <v>8.0743698185378512E-5</v>
      </c>
      <c r="BS7" s="48">
        <f>_xlfn.STDEV.S(AM7:AM16)</f>
        <v>58.382265191485047</v>
      </c>
      <c r="BT7" s="48">
        <f>_xlfn.STDEV.S(AN7:AN16)</f>
        <v>81.338120077721115</v>
      </c>
      <c r="BU7" s="48">
        <f>_xlfn.COVARIANCE.S(AM7:AM16,AN7:AN16)</f>
        <v>4748.6755555555574</v>
      </c>
      <c r="BV7" s="48">
        <f>CORREL(AM7:AM16,AN7:AN16)</f>
        <v>0.99999407396194595</v>
      </c>
    </row>
    <row r="8" spans="3:74" ht="16" thickBot="1" x14ac:dyDescent="0.25">
      <c r="V8" s="7">
        <v>0.21</v>
      </c>
      <c r="W8" s="7">
        <v>-0.43</v>
      </c>
      <c r="AA8" s="7">
        <v>0.2</v>
      </c>
      <c r="AB8" s="7">
        <v>-0.46</v>
      </c>
      <c r="AF8" s="7">
        <v>0.2</v>
      </c>
      <c r="AG8" s="7">
        <v>-0.47</v>
      </c>
      <c r="AJ8" s="4">
        <v>106.91454531540599</v>
      </c>
      <c r="AK8" s="4">
        <v>77.35748186180831</v>
      </c>
      <c r="AM8" s="4">
        <v>38.608030252785497</v>
      </c>
      <c r="AN8" s="4">
        <v>53.457272657702994</v>
      </c>
      <c r="AO8" s="33">
        <v>0.14141999999999999</v>
      </c>
      <c r="AP8" s="33">
        <v>1.4142E-2</v>
      </c>
      <c r="AQ8" s="52"/>
      <c r="AR8" s="52"/>
      <c r="AS8" s="52"/>
      <c r="AT8" s="34">
        <f t="shared" si="0"/>
        <v>2063.88</v>
      </c>
      <c r="AU8" s="52"/>
      <c r="AV8" s="34">
        <f t="shared" si="1"/>
        <v>1490.5800000000002</v>
      </c>
      <c r="AW8" s="52"/>
      <c r="AX8" s="52"/>
      <c r="AY8" s="52"/>
      <c r="AZ8" s="52"/>
      <c r="BA8" s="52"/>
      <c r="BB8" s="52"/>
      <c r="BC8" s="52"/>
      <c r="BD8" s="34">
        <f t="shared" ref="BD8:BD16" si="6">1/(AP8^2+($S$7*AO8)^2)</f>
        <v>5000.0959018393978</v>
      </c>
      <c r="BE8" s="52"/>
      <c r="BF8" s="37">
        <f t="shared" si="2"/>
        <v>193043.85384504424</v>
      </c>
      <c r="BG8" s="52"/>
      <c r="BH8" s="34">
        <f t="shared" si="3"/>
        <v>267291.48993929202</v>
      </c>
      <c r="BI8" s="52"/>
      <c r="BJ8" s="38">
        <f t="shared" si="4"/>
        <v>10319597.929888297</v>
      </c>
      <c r="BK8" s="52"/>
      <c r="BL8" s="38">
        <f t="shared" si="5"/>
        <v>7453042.94936377</v>
      </c>
      <c r="BM8" s="52"/>
      <c r="BN8" s="52"/>
      <c r="BO8" s="52"/>
      <c r="BP8" s="52"/>
      <c r="BQ8" s="52"/>
      <c r="BR8" s="52"/>
      <c r="BS8" s="49"/>
      <c r="BT8" s="49"/>
      <c r="BU8" s="49"/>
      <c r="BV8" s="49"/>
    </row>
    <row r="9" spans="3:74" ht="16" thickBot="1" x14ac:dyDescent="0.25">
      <c r="V9" s="7">
        <v>0.3</v>
      </c>
      <c r="W9" s="7">
        <v>-0.59</v>
      </c>
      <c r="AA9" s="7">
        <v>0.3</v>
      </c>
      <c r="AB9" s="7">
        <v>-0.67</v>
      </c>
      <c r="AF9" s="7">
        <v>0.3</v>
      </c>
      <c r="AG9" s="7">
        <v>-0.7</v>
      </c>
      <c r="AJ9" s="4">
        <v>133.78460300049483</v>
      </c>
      <c r="AK9" s="4">
        <v>96.590786310082393</v>
      </c>
      <c r="AM9" s="4">
        <v>57.982756057296903</v>
      </c>
      <c r="AN9" s="4">
        <v>80.185908986554495</v>
      </c>
      <c r="AO9" s="33">
        <v>0.14141999999999999</v>
      </c>
      <c r="AP9" s="33">
        <v>1.4142E-2</v>
      </c>
      <c r="AQ9" s="52"/>
      <c r="AR9" s="52"/>
      <c r="AS9" s="52"/>
      <c r="AT9" s="34">
        <f t="shared" si="0"/>
        <v>4649.4000000000005</v>
      </c>
      <c r="AU9" s="52"/>
      <c r="AV9" s="34">
        <f t="shared" si="1"/>
        <v>3362.0000000000009</v>
      </c>
      <c r="AW9" s="52"/>
      <c r="AX9" s="52"/>
      <c r="AY9" s="52"/>
      <c r="AZ9" s="52"/>
      <c r="BA9" s="52"/>
      <c r="BB9" s="52"/>
      <c r="BC9" s="52"/>
      <c r="BD9" s="34">
        <f t="shared" si="6"/>
        <v>5000.0959018393978</v>
      </c>
      <c r="BE9" s="52"/>
      <c r="BF9" s="37">
        <f t="shared" si="2"/>
        <v>289919.34093944379</v>
      </c>
      <c r="BG9" s="52"/>
      <c r="BH9" s="34">
        <f t="shared" si="3"/>
        <v>400937.23490893806</v>
      </c>
      <c r="BI9" s="52"/>
      <c r="BJ9" s="38">
        <f t="shared" si="4"/>
        <v>23247445.886012103</v>
      </c>
      <c r="BK9" s="52"/>
      <c r="BL9" s="38">
        <f t="shared" si="5"/>
        <v>16810322.421984062</v>
      </c>
      <c r="BM9" s="52"/>
      <c r="BN9" s="52"/>
      <c r="BO9" s="52"/>
      <c r="BP9" s="52"/>
      <c r="BQ9" s="52"/>
      <c r="BR9" s="52"/>
      <c r="BS9" s="49"/>
      <c r="BT9" s="49"/>
      <c r="BU9" s="49"/>
      <c r="BV9" s="49"/>
    </row>
    <row r="10" spans="3:74" ht="16" thickBot="1" x14ac:dyDescent="0.25">
      <c r="V10" s="7">
        <v>0.41</v>
      </c>
      <c r="W10" s="7">
        <v>-0.82</v>
      </c>
      <c r="AA10" s="7">
        <v>0.4</v>
      </c>
      <c r="AB10" s="7">
        <v>-0.89</v>
      </c>
      <c r="AF10" s="7">
        <v>0.4</v>
      </c>
      <c r="AG10" s="7">
        <v>-0.92</v>
      </c>
      <c r="AJ10" s="4">
        <v>160.51323932934631</v>
      </c>
      <c r="AK10" s="4">
        <v>115.8240907583565</v>
      </c>
      <c r="AM10" s="4">
        <v>77.35748186180831</v>
      </c>
      <c r="AN10" s="4">
        <v>106.91454531540599</v>
      </c>
      <c r="AO10" s="33">
        <v>0.14141999999999999</v>
      </c>
      <c r="AP10" s="33">
        <v>1.4142E-2</v>
      </c>
      <c r="AQ10" s="52"/>
      <c r="AR10" s="52"/>
      <c r="AS10" s="52"/>
      <c r="AT10" s="34">
        <f t="shared" si="0"/>
        <v>8270.6400000000012</v>
      </c>
      <c r="AU10" s="52"/>
      <c r="AV10" s="34">
        <f t="shared" si="1"/>
        <v>5984.1800000000021</v>
      </c>
      <c r="AW10" s="52"/>
      <c r="AX10" s="52"/>
      <c r="AY10" s="52"/>
      <c r="AZ10" s="52"/>
      <c r="BA10" s="52"/>
      <c r="BB10" s="52"/>
      <c r="BC10" s="52"/>
      <c r="BD10" s="34">
        <f t="shared" si="6"/>
        <v>5000.0959018393978</v>
      </c>
      <c r="BE10" s="52"/>
      <c r="BF10" s="37">
        <f t="shared" si="2"/>
        <v>386794.82803384325</v>
      </c>
      <c r="BG10" s="52"/>
      <c r="BH10" s="34">
        <f t="shared" si="3"/>
        <v>534582.97987858404</v>
      </c>
      <c r="BI10" s="52"/>
      <c r="BJ10" s="38">
        <f t="shared" si="4"/>
        <v>41353993.169588998</v>
      </c>
      <c r="BK10" s="52"/>
      <c r="BL10" s="38">
        <f t="shared" si="5"/>
        <v>29921473.893869299</v>
      </c>
      <c r="BM10" s="52"/>
      <c r="BN10" s="52"/>
      <c r="BO10" s="52"/>
      <c r="BP10" s="52"/>
      <c r="BQ10" s="52"/>
      <c r="BR10" s="52"/>
      <c r="BS10" s="49"/>
      <c r="BT10" s="49"/>
      <c r="BU10" s="49"/>
      <c r="BV10" s="49"/>
    </row>
    <row r="11" spans="3:74" ht="16" thickBot="1" x14ac:dyDescent="0.25">
      <c r="M11" t="s">
        <v>22</v>
      </c>
      <c r="V11" s="7">
        <v>0.5</v>
      </c>
      <c r="W11" s="7">
        <v>-0.99</v>
      </c>
      <c r="AA11" s="7">
        <v>0.5</v>
      </c>
      <c r="AB11" s="7">
        <v>-1.1200000000000001</v>
      </c>
      <c r="AD11" t="s">
        <v>23</v>
      </c>
      <c r="AF11" s="7">
        <v>0.5</v>
      </c>
      <c r="AG11" s="7">
        <v>-1.1499999999999999</v>
      </c>
      <c r="AJ11" s="4">
        <v>187.52471837067242</v>
      </c>
      <c r="AK11" s="4">
        <v>135.05739520663059</v>
      </c>
      <c r="AM11" s="4">
        <v>96.590786310082393</v>
      </c>
      <c r="AN11" s="4">
        <v>133.78460300049483</v>
      </c>
      <c r="AO11" s="33">
        <v>0.14141999999999999</v>
      </c>
      <c r="AP11" s="33">
        <v>1.4142E-2</v>
      </c>
      <c r="AQ11" s="52"/>
      <c r="AR11" s="52"/>
      <c r="AS11" s="52"/>
      <c r="AT11" s="34">
        <f t="shared" si="0"/>
        <v>12922.360000000004</v>
      </c>
      <c r="AU11" s="52"/>
      <c r="AV11" s="34">
        <f t="shared" si="1"/>
        <v>9329.7800000000007</v>
      </c>
      <c r="AW11" s="52"/>
      <c r="AX11" s="52"/>
      <c r="AY11" s="52"/>
      <c r="AZ11" s="52"/>
      <c r="BA11" s="52"/>
      <c r="BB11" s="52"/>
      <c r="BC11" s="52"/>
      <c r="BD11" s="34">
        <f t="shared" si="6"/>
        <v>5000.0959018393978</v>
      </c>
      <c r="BE11" s="52"/>
      <c r="BF11" s="37">
        <f t="shared" si="2"/>
        <v>482963.19478448801</v>
      </c>
      <c r="BG11" s="52"/>
      <c r="BH11" s="34">
        <f t="shared" si="3"/>
        <v>668935.84519198502</v>
      </c>
      <c r="BI11" s="52"/>
      <c r="BJ11" s="38">
        <f t="shared" si="4"/>
        <v>64613039.278093383</v>
      </c>
      <c r="BK11" s="52"/>
      <c r="BL11" s="38">
        <f t="shared" si="5"/>
        <v>46649794.743063182</v>
      </c>
      <c r="BM11" s="52"/>
      <c r="BN11" s="52"/>
      <c r="BO11" s="52"/>
      <c r="BP11" s="52"/>
      <c r="BQ11" s="52"/>
      <c r="BR11" s="52"/>
      <c r="BS11" s="49"/>
      <c r="BT11" s="49"/>
      <c r="BU11" s="49"/>
      <c r="BV11" s="49"/>
    </row>
    <row r="12" spans="3:74" ht="16" thickBot="1" x14ac:dyDescent="0.25">
      <c r="R12" t="s">
        <v>24</v>
      </c>
      <c r="V12" s="7">
        <v>0.6</v>
      </c>
      <c r="W12" s="8">
        <v>-1.19</v>
      </c>
      <c r="AA12" s="7">
        <v>0.6</v>
      </c>
      <c r="AB12" s="7">
        <v>-1.33</v>
      </c>
      <c r="AF12" s="7">
        <v>0.6</v>
      </c>
      <c r="AG12" s="7">
        <v>-1.38</v>
      </c>
      <c r="AJ12" s="4">
        <v>214.39477605576121</v>
      </c>
      <c r="AK12" s="4">
        <v>154.43212101114199</v>
      </c>
      <c r="AM12" s="4">
        <v>115.8240907583565</v>
      </c>
      <c r="AN12" s="4">
        <v>160.51323932934631</v>
      </c>
      <c r="AO12" s="33">
        <v>0.14141999999999999</v>
      </c>
      <c r="AP12" s="33">
        <v>1.4142E-2</v>
      </c>
      <c r="AQ12" s="52"/>
      <c r="AR12" s="52"/>
      <c r="AS12" s="52"/>
      <c r="AT12" s="34">
        <f t="shared" si="0"/>
        <v>18591.300000000007</v>
      </c>
      <c r="AU12" s="52"/>
      <c r="AV12" s="34">
        <f t="shared" si="1"/>
        <v>13415.220000000005</v>
      </c>
      <c r="AW12" s="52"/>
      <c r="AX12" s="52"/>
      <c r="AY12" s="52"/>
      <c r="AZ12" s="52"/>
      <c r="BA12" s="52"/>
      <c r="BB12" s="52"/>
      <c r="BC12" s="52"/>
      <c r="BD12" s="34">
        <f t="shared" si="6"/>
        <v>5000.0959018393978</v>
      </c>
      <c r="BE12" s="52"/>
      <c r="BF12" s="37">
        <f t="shared" si="2"/>
        <v>579131.56153513282</v>
      </c>
      <c r="BG12" s="52"/>
      <c r="BH12" s="34">
        <f t="shared" si="3"/>
        <v>802581.59016163088</v>
      </c>
      <c r="BI12" s="52"/>
      <c r="BJ12" s="38">
        <f t="shared" si="4"/>
        <v>92958282.939866826</v>
      </c>
      <c r="BK12" s="52"/>
      <c r="BL12" s="38">
        <f t="shared" si="5"/>
        <v>67077386.54427395</v>
      </c>
      <c r="BM12" s="52"/>
      <c r="BN12" s="52"/>
      <c r="BO12" s="52"/>
      <c r="BP12" s="52"/>
      <c r="BQ12" s="52"/>
      <c r="BR12" s="52"/>
      <c r="BS12" s="49"/>
      <c r="BT12" s="49"/>
      <c r="BU12" s="49"/>
      <c r="BV12" s="49"/>
    </row>
    <row r="13" spans="3:74" ht="16" thickBot="1" x14ac:dyDescent="0.25">
      <c r="V13" s="9">
        <v>0.7</v>
      </c>
      <c r="W13" s="10">
        <v>-1.36</v>
      </c>
      <c r="X13" s="4"/>
      <c r="AA13" s="7">
        <v>0.7</v>
      </c>
      <c r="AB13" s="7">
        <v>-1.57</v>
      </c>
      <c r="AF13" s="7">
        <v>0.7</v>
      </c>
      <c r="AG13" s="7">
        <v>-1.6</v>
      </c>
      <c r="AJ13" s="4">
        <v>241.54767645332461</v>
      </c>
      <c r="AK13" s="4">
        <v>173.66542545941607</v>
      </c>
      <c r="AM13" s="4">
        <v>135.05739520663059</v>
      </c>
      <c r="AN13" s="4">
        <v>187.52471837067242</v>
      </c>
      <c r="AO13" s="33">
        <v>0.14141999999999999</v>
      </c>
      <c r="AP13" s="33">
        <v>1.4142E-2</v>
      </c>
      <c r="AQ13" s="52"/>
      <c r="AR13" s="52"/>
      <c r="AS13" s="52"/>
      <c r="AT13" s="34">
        <f t="shared" si="0"/>
        <v>25326.600000000002</v>
      </c>
      <c r="AU13" s="52"/>
      <c r="AV13" s="34">
        <f t="shared" si="1"/>
        <v>18240.500000000004</v>
      </c>
      <c r="AW13" s="52"/>
      <c r="AX13" s="52"/>
      <c r="AY13" s="52"/>
      <c r="AZ13" s="52"/>
      <c r="BA13" s="52"/>
      <c r="BB13" s="52"/>
      <c r="BC13" s="52"/>
      <c r="BD13" s="34">
        <f t="shared" si="6"/>
        <v>5000.0959018393978</v>
      </c>
      <c r="BE13" s="52"/>
      <c r="BF13" s="37">
        <f t="shared" si="2"/>
        <v>675299.92828577757</v>
      </c>
      <c r="BG13" s="52"/>
      <c r="BH13" s="34">
        <f t="shared" si="3"/>
        <v>937641.5758187864</v>
      </c>
      <c r="BI13" s="52"/>
      <c r="BJ13" s="38">
        <f t="shared" si="4"/>
        <v>126635428.86752571</v>
      </c>
      <c r="BK13" s="52"/>
      <c r="BL13" s="38">
        <f t="shared" si="5"/>
        <v>91204249.297501549</v>
      </c>
      <c r="BM13" s="52"/>
      <c r="BN13" s="52"/>
      <c r="BO13" s="52"/>
      <c r="BP13" s="52"/>
      <c r="BQ13" s="52"/>
      <c r="BR13" s="52"/>
      <c r="BS13" s="49"/>
      <c r="BT13" s="49"/>
      <c r="BU13" s="49"/>
      <c r="BV13" s="49"/>
    </row>
    <row r="14" spans="3:74" ht="16" thickBot="1" x14ac:dyDescent="0.25">
      <c r="V14" s="9">
        <v>0.8</v>
      </c>
      <c r="W14" s="10">
        <v>-1.55</v>
      </c>
      <c r="X14" s="4"/>
      <c r="AA14" s="7">
        <v>0.8</v>
      </c>
      <c r="AB14" s="7">
        <v>-1.78</v>
      </c>
      <c r="AF14" s="7">
        <v>0.8</v>
      </c>
      <c r="AG14" s="7">
        <v>-1.82</v>
      </c>
      <c r="AJ14" s="4">
        <v>268.84199820712541</v>
      </c>
      <c r="AK14" s="4">
        <v>193.0401512639275</v>
      </c>
      <c r="AM14" s="4">
        <v>154.43212101114199</v>
      </c>
      <c r="AN14" s="4">
        <v>214.39477605576121</v>
      </c>
      <c r="AO14" s="33">
        <v>0.14141999999999999</v>
      </c>
      <c r="AP14" s="33">
        <v>1.4142E-2</v>
      </c>
      <c r="AQ14" s="52"/>
      <c r="AR14" s="52"/>
      <c r="AS14" s="52"/>
      <c r="AT14" s="34">
        <f t="shared" si="0"/>
        <v>33109.440000000002</v>
      </c>
      <c r="AU14" s="52"/>
      <c r="AV14" s="34">
        <f t="shared" si="1"/>
        <v>23849.280000000002</v>
      </c>
      <c r="AW14" s="52"/>
      <c r="AX14" s="52"/>
      <c r="AY14" s="52"/>
      <c r="AZ14" s="52"/>
      <c r="BA14" s="52"/>
      <c r="BB14" s="52"/>
      <c r="BC14" s="52"/>
      <c r="BD14" s="34">
        <f t="shared" si="6"/>
        <v>5000.0959018393978</v>
      </c>
      <c r="BE14" s="52"/>
      <c r="BF14" s="37">
        <f t="shared" si="2"/>
        <v>772175.41538017697</v>
      </c>
      <c r="BG14" s="52"/>
      <c r="BH14" s="34">
        <f t="shared" si="3"/>
        <v>1071994.4411321871</v>
      </c>
      <c r="BI14" s="52"/>
      <c r="BJ14" s="38">
        <f t="shared" si="4"/>
        <v>165550375.25619742</v>
      </c>
      <c r="BK14" s="52"/>
      <c r="BL14" s="38">
        <f t="shared" si="5"/>
        <v>119248687.18982032</v>
      </c>
      <c r="BM14" s="52"/>
      <c r="BN14" s="52"/>
      <c r="BO14" s="52"/>
      <c r="BP14" s="52"/>
      <c r="BQ14" s="52"/>
      <c r="BR14" s="52"/>
      <c r="BS14" s="49"/>
      <c r="BT14" s="49"/>
      <c r="BU14" s="49"/>
      <c r="BV14" s="49"/>
    </row>
    <row r="15" spans="3:74" ht="16" thickBot="1" x14ac:dyDescent="0.25">
      <c r="V15" s="9">
        <v>0.9</v>
      </c>
      <c r="W15" s="10">
        <v>-1.74</v>
      </c>
      <c r="X15" s="4"/>
      <c r="AA15" s="7">
        <v>0.9</v>
      </c>
      <c r="AB15" s="7">
        <v>-2.0099999999999998</v>
      </c>
      <c r="AF15" s="7">
        <v>0.9</v>
      </c>
      <c r="AG15" s="7">
        <v>-2.04</v>
      </c>
      <c r="AJ15" s="4"/>
      <c r="AK15" s="4"/>
      <c r="AM15" s="4">
        <v>173.66542545941607</v>
      </c>
      <c r="AN15" s="4">
        <v>241.54767645332461</v>
      </c>
      <c r="AO15" s="33">
        <v>0.14141999999999999</v>
      </c>
      <c r="AP15" s="33">
        <v>1.4142E-2</v>
      </c>
      <c r="AQ15" s="52"/>
      <c r="AR15" s="52"/>
      <c r="AS15" s="52"/>
      <c r="AT15" s="34">
        <f t="shared" si="0"/>
        <v>41948.479999999996</v>
      </c>
      <c r="AU15" s="52"/>
      <c r="AV15" s="34">
        <f t="shared" si="1"/>
        <v>30159.68</v>
      </c>
      <c r="AW15" s="52"/>
      <c r="AX15" s="52"/>
      <c r="AY15" s="52"/>
      <c r="AZ15" s="52"/>
      <c r="BA15" s="52"/>
      <c r="BB15" s="52"/>
      <c r="BC15" s="52"/>
      <c r="BD15" s="34">
        <f t="shared" si="6"/>
        <v>5000.0959018393978</v>
      </c>
      <c r="BE15" s="52"/>
      <c r="BF15" s="37">
        <f t="shared" si="2"/>
        <v>868343.78213082172</v>
      </c>
      <c r="BG15" s="52"/>
      <c r="BH15" s="34">
        <f t="shared" si="3"/>
        <v>1207761.5471330972</v>
      </c>
      <c r="BI15" s="52"/>
      <c r="BJ15" s="38">
        <f t="shared" si="4"/>
        <v>209746422.93639192</v>
      </c>
      <c r="BK15" s="52"/>
      <c r="BL15" s="38">
        <f t="shared" si="5"/>
        <v>150801292.36878765</v>
      </c>
      <c r="BM15" s="52"/>
      <c r="BN15" s="52"/>
      <c r="BO15" s="52"/>
      <c r="BP15" s="52"/>
      <c r="BQ15" s="52"/>
      <c r="BR15" s="52"/>
      <c r="BS15" s="49"/>
      <c r="BT15" s="49"/>
      <c r="BU15" s="49"/>
      <c r="BV15" s="49"/>
    </row>
    <row r="16" spans="3:74" ht="16" thickBot="1" x14ac:dyDescent="0.25">
      <c r="M16" t="s">
        <v>25</v>
      </c>
      <c r="N16" t="s">
        <v>26</v>
      </c>
      <c r="V16" s="9">
        <v>1</v>
      </c>
      <c r="W16" s="10">
        <v>-1.94</v>
      </c>
      <c r="X16" s="4"/>
      <c r="AA16" s="7">
        <v>1</v>
      </c>
      <c r="AB16" s="7">
        <v>-2.25</v>
      </c>
      <c r="AF16" s="7">
        <v>1</v>
      </c>
      <c r="AG16" s="7">
        <v>-2.25</v>
      </c>
      <c r="AM16" s="4">
        <v>193.0401512639275</v>
      </c>
      <c r="AN16" s="4">
        <v>268.84199820712541</v>
      </c>
      <c r="AO16" s="33">
        <v>0.14141999999999999</v>
      </c>
      <c r="AP16" s="33">
        <v>1.4142E-2</v>
      </c>
      <c r="AQ16" s="53"/>
      <c r="AR16" s="53"/>
      <c r="AS16" s="53"/>
      <c r="AT16" s="39">
        <f>AM16*AN16</f>
        <v>51897.300000000017</v>
      </c>
      <c r="AU16" s="53"/>
      <c r="AV16" s="39">
        <f>AM16^2</f>
        <v>37264.500000000007</v>
      </c>
      <c r="AW16" s="53"/>
      <c r="AX16" s="53"/>
      <c r="AY16" s="53"/>
      <c r="AZ16" s="53"/>
      <c r="BA16" s="53"/>
      <c r="BB16" s="53"/>
      <c r="BC16" s="53"/>
      <c r="BD16" s="39">
        <f t="shared" si="6"/>
        <v>5000.0959018393978</v>
      </c>
      <c r="BE16" s="53"/>
      <c r="BF16" s="40">
        <f t="shared" si="2"/>
        <v>965219.26922522136</v>
      </c>
      <c r="BG16" s="53"/>
      <c r="BH16" s="39">
        <f t="shared" si="3"/>
        <v>1344235.7734777625</v>
      </c>
      <c r="BI16" s="53"/>
      <c r="BJ16" s="41">
        <f t="shared" si="4"/>
        <v>259491477.04652986</v>
      </c>
      <c r="BK16" s="53"/>
      <c r="BL16" s="41">
        <f t="shared" si="5"/>
        <v>186326073.73409426</v>
      </c>
      <c r="BM16" s="53"/>
      <c r="BN16" s="53"/>
      <c r="BO16" s="53"/>
      <c r="BP16" s="53"/>
      <c r="BQ16" s="53"/>
      <c r="BR16" s="53"/>
      <c r="BS16" s="50"/>
      <c r="BT16" s="50"/>
      <c r="BU16" s="50"/>
      <c r="BV16" s="50"/>
    </row>
    <row r="17" spans="2:60" ht="16" thickBot="1" x14ac:dyDescent="0.25">
      <c r="I17" t="s">
        <v>27</v>
      </c>
      <c r="AM17" s="4"/>
      <c r="AN17" s="4"/>
      <c r="AO17" s="33"/>
      <c r="AP17" s="33"/>
      <c r="AT17" s="39"/>
      <c r="AV17" s="39"/>
    </row>
    <row r="18" spans="2:60" x14ac:dyDescent="0.2">
      <c r="C18" t="s">
        <v>28</v>
      </c>
      <c r="I18" t="s">
        <v>29</v>
      </c>
      <c r="M18" t="s">
        <v>30</v>
      </c>
    </row>
    <row r="20" spans="2:60" x14ac:dyDescent="0.2">
      <c r="AM20" s="42"/>
      <c r="AN20" s="42"/>
      <c r="AO20" s="42"/>
      <c r="AP20" s="42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</row>
    <row r="21" spans="2:60" x14ac:dyDescent="0.2">
      <c r="D21" t="s">
        <v>31</v>
      </c>
      <c r="I21" t="s">
        <v>32</v>
      </c>
      <c r="N21" t="s">
        <v>33</v>
      </c>
      <c r="AM21" s="43"/>
      <c r="AN21" s="43"/>
      <c r="AO21" s="43"/>
      <c r="AP21" s="43"/>
      <c r="AQ21" s="42"/>
      <c r="AR21" s="42"/>
      <c r="AS21" s="42"/>
      <c r="AT21" s="42"/>
      <c r="AU21" s="42"/>
      <c r="AV21" s="42"/>
      <c r="AW21" s="42"/>
      <c r="AX21" s="42"/>
      <c r="AY21" s="44"/>
      <c r="AZ21" s="44"/>
      <c r="BA21" s="44"/>
      <c r="BB21" s="42"/>
      <c r="BC21" s="42"/>
      <c r="BE21" t="s">
        <v>116</v>
      </c>
    </row>
    <row r="22" spans="2:60" x14ac:dyDescent="0.2">
      <c r="AM22" s="42"/>
      <c r="AN22" s="42"/>
      <c r="AO22" s="42"/>
      <c r="AP22" s="42"/>
      <c r="AQ22" s="60"/>
      <c r="AR22" s="60"/>
      <c r="AS22" s="60"/>
      <c r="AT22" s="42"/>
      <c r="AU22" s="60"/>
      <c r="AV22" s="42"/>
      <c r="AW22" s="60"/>
      <c r="AX22" s="60"/>
      <c r="AY22" s="60"/>
      <c r="AZ22" s="60"/>
      <c r="BA22" s="60"/>
      <c r="BB22" s="60"/>
      <c r="BC22" s="60"/>
    </row>
    <row r="23" spans="2:60" x14ac:dyDescent="0.2">
      <c r="B23" t="s">
        <v>34</v>
      </c>
      <c r="F23" t="s">
        <v>35</v>
      </c>
      <c r="L23" t="s">
        <v>36</v>
      </c>
      <c r="AM23" s="42"/>
      <c r="AN23" s="42"/>
      <c r="AO23" s="42"/>
      <c r="AP23" s="42"/>
      <c r="AQ23" s="60"/>
      <c r="AR23" s="60"/>
      <c r="AS23" s="60"/>
      <c r="AT23" s="42"/>
      <c r="AU23" s="60"/>
      <c r="AV23" s="42"/>
      <c r="AW23" s="60"/>
      <c r="AX23" s="60"/>
      <c r="AY23" s="60"/>
      <c r="AZ23" s="60"/>
      <c r="BA23" s="60"/>
      <c r="BB23" s="60"/>
      <c r="BC23" s="60"/>
    </row>
    <row r="24" spans="2:60" x14ac:dyDescent="0.2">
      <c r="J24" t="s">
        <v>37</v>
      </c>
      <c r="AM24" s="42"/>
      <c r="AN24" s="42"/>
      <c r="AO24" s="42"/>
      <c r="AP24" s="42"/>
      <c r="AQ24" s="60"/>
      <c r="AR24" s="60"/>
      <c r="AS24" s="60"/>
      <c r="AT24" s="42"/>
      <c r="AU24" s="60"/>
      <c r="AV24" s="42"/>
      <c r="AW24" s="60"/>
      <c r="AX24" s="60"/>
      <c r="AY24" s="60"/>
      <c r="AZ24" s="60"/>
      <c r="BA24" s="60"/>
      <c r="BB24" s="60"/>
      <c r="BC24" s="60"/>
      <c r="BD24">
        <v>100</v>
      </c>
      <c r="BE24" t="s">
        <v>100</v>
      </c>
      <c r="BF24" t="s">
        <v>101</v>
      </c>
      <c r="BG24" t="s">
        <v>114</v>
      </c>
      <c r="BH24" t="s">
        <v>115</v>
      </c>
    </row>
    <row r="25" spans="2:60" x14ac:dyDescent="0.2">
      <c r="C25" t="s">
        <v>1</v>
      </c>
      <c r="D25" t="s">
        <v>2</v>
      </c>
      <c r="E25" s="1" t="s">
        <v>38</v>
      </c>
      <c r="H25" t="s">
        <v>3</v>
      </c>
      <c r="I25" t="s">
        <v>4</v>
      </c>
      <c r="J25" s="1" t="s">
        <v>38</v>
      </c>
      <c r="M25" t="s">
        <v>5</v>
      </c>
      <c r="N25" t="s">
        <v>6</v>
      </c>
      <c r="O25" s="1" t="s">
        <v>38</v>
      </c>
      <c r="AM25" s="42"/>
      <c r="AN25" s="42"/>
      <c r="AO25" s="42"/>
      <c r="AP25" s="42"/>
      <c r="AQ25" s="60"/>
      <c r="AR25" s="60"/>
      <c r="AS25" s="60"/>
      <c r="AU25" s="60"/>
      <c r="AV25" s="42"/>
      <c r="AW25" s="60"/>
      <c r="AX25" s="60"/>
      <c r="AY25" s="60"/>
      <c r="AZ25" s="60"/>
      <c r="BA25" s="60"/>
      <c r="BB25" s="60"/>
      <c r="BC25" s="60"/>
      <c r="BE25">
        <v>2.6797000000000001E-2</v>
      </c>
      <c r="BF25">
        <v>1.9117599999999999</v>
      </c>
      <c r="BG25">
        <v>1.3236E-2</v>
      </c>
      <c r="BH25">
        <v>2.1291999999999998E-2</v>
      </c>
    </row>
    <row r="26" spans="2:60" x14ac:dyDescent="0.2">
      <c r="AM26" s="42"/>
      <c r="AN26" s="42"/>
      <c r="AO26" s="42"/>
      <c r="AP26" s="42"/>
      <c r="AQ26" s="60"/>
      <c r="AR26" s="60"/>
      <c r="AS26" s="60"/>
      <c r="AT26" s="42"/>
      <c r="AU26" s="60"/>
      <c r="AV26" s="42"/>
      <c r="AW26" s="60"/>
      <c r="AX26" s="60"/>
      <c r="AY26" s="60"/>
      <c r="AZ26" s="60"/>
      <c r="BA26" s="60"/>
      <c r="BB26" s="60"/>
      <c r="BC26" s="60"/>
    </row>
    <row r="27" spans="2:60" x14ac:dyDescent="0.2">
      <c r="C27" s="14" t="s">
        <v>39</v>
      </c>
      <c r="D27" s="15" t="s">
        <v>16</v>
      </c>
      <c r="E27" t="s">
        <v>40</v>
      </c>
      <c r="H27" s="5" t="s">
        <v>39</v>
      </c>
      <c r="I27" s="2" t="s">
        <v>16</v>
      </c>
      <c r="J27" t="s">
        <v>40</v>
      </c>
      <c r="M27" s="8" t="s">
        <v>39</v>
      </c>
      <c r="N27" s="8" t="s">
        <v>16</v>
      </c>
      <c r="O27" t="s">
        <v>40</v>
      </c>
      <c r="AM27" s="42"/>
      <c r="AN27" s="42"/>
      <c r="AO27" s="42"/>
      <c r="AP27" s="42"/>
      <c r="AQ27" s="60"/>
      <c r="AR27" s="60"/>
      <c r="AS27" s="60"/>
      <c r="AT27" s="42"/>
      <c r="AU27" s="60"/>
      <c r="AV27" s="42"/>
      <c r="AW27" s="60"/>
      <c r="AX27" s="60"/>
      <c r="AY27" s="60"/>
      <c r="AZ27" s="60"/>
      <c r="BA27" s="60"/>
      <c r="BB27" s="60"/>
      <c r="BC27" s="60"/>
      <c r="BD27">
        <v>200</v>
      </c>
      <c r="BE27" t="s">
        <v>100</v>
      </c>
      <c r="BF27" t="s">
        <v>101</v>
      </c>
      <c r="BG27" t="s">
        <v>114</v>
      </c>
      <c r="BH27" t="s">
        <v>115</v>
      </c>
    </row>
    <row r="28" spans="2:60" x14ac:dyDescent="0.2">
      <c r="C28" s="15">
        <v>0</v>
      </c>
      <c r="D28" s="16">
        <v>-1.1499999999999999</v>
      </c>
      <c r="E28">
        <v>0.99</v>
      </c>
      <c r="F28" t="s">
        <v>41</v>
      </c>
      <c r="H28" s="13">
        <v>-1</v>
      </c>
      <c r="I28" s="12">
        <v>-0.64</v>
      </c>
      <c r="J28">
        <v>0.99</v>
      </c>
      <c r="M28" s="10">
        <v>0</v>
      </c>
      <c r="N28" s="10">
        <v>-1.02</v>
      </c>
      <c r="O28">
        <v>1.01</v>
      </c>
      <c r="AM28" s="42"/>
      <c r="AN28" s="42"/>
      <c r="AO28" s="42"/>
      <c r="AP28" s="42"/>
      <c r="AQ28" s="60"/>
      <c r="AR28" s="60"/>
      <c r="AS28" s="60"/>
      <c r="AT28" s="42"/>
      <c r="AU28" s="60"/>
      <c r="AV28" s="42"/>
      <c r="AW28" s="60"/>
      <c r="AX28" s="60"/>
      <c r="AY28" s="60"/>
      <c r="AZ28" s="60"/>
      <c r="BA28" s="60"/>
      <c r="BB28" s="60"/>
      <c r="BC28" s="60"/>
      <c r="BE28">
        <v>7.3333000000000001E-3</v>
      </c>
      <c r="BF28">
        <v>2.226667</v>
      </c>
      <c r="BG28">
        <v>1.5211000000000001E-2</v>
      </c>
      <c r="BH28">
        <v>2.4514999999999999E-2</v>
      </c>
    </row>
    <row r="29" spans="2:60" x14ac:dyDescent="0.2">
      <c r="C29" s="17">
        <v>0.5</v>
      </c>
      <c r="D29" s="15">
        <v>-1.37</v>
      </c>
      <c r="E29">
        <v>0.98</v>
      </c>
      <c r="H29" s="13">
        <v>-0.5</v>
      </c>
      <c r="I29" s="12">
        <v>-0.8</v>
      </c>
      <c r="J29">
        <v>0.97</v>
      </c>
      <c r="M29" s="11">
        <v>0.5</v>
      </c>
      <c r="N29" s="11">
        <v>-1.32</v>
      </c>
      <c r="O29">
        <v>0.97</v>
      </c>
      <c r="AM29" s="42"/>
      <c r="AN29" s="42"/>
      <c r="AO29" s="42"/>
      <c r="AP29" s="42"/>
      <c r="AQ29" s="60"/>
      <c r="AR29" s="60"/>
      <c r="AS29" s="60"/>
      <c r="AT29" s="42"/>
      <c r="AU29" s="60"/>
      <c r="AV29" s="42"/>
      <c r="AW29" s="60"/>
      <c r="AX29" s="60"/>
      <c r="AY29" s="60"/>
      <c r="AZ29" s="60"/>
      <c r="BA29" s="60"/>
      <c r="BB29" s="60"/>
      <c r="BC29" s="60"/>
    </row>
    <row r="30" spans="2:60" x14ac:dyDescent="0.2">
      <c r="C30" s="15">
        <v>1</v>
      </c>
      <c r="D30" s="15">
        <v>-1.62</v>
      </c>
      <c r="G30">
        <v>0</v>
      </c>
      <c r="H30" s="10">
        <v>0</v>
      </c>
      <c r="I30" s="7">
        <v>-1.04</v>
      </c>
      <c r="J30">
        <v>0.95</v>
      </c>
      <c r="M30" s="7">
        <v>1</v>
      </c>
      <c r="N30" s="7">
        <v>-1.55</v>
      </c>
      <c r="AM30" s="42"/>
      <c r="AN30" s="42"/>
      <c r="AO30" s="42"/>
      <c r="AP30" s="42"/>
      <c r="AQ30" s="60"/>
      <c r="AR30" s="60"/>
      <c r="AS30" s="60"/>
      <c r="AT30" s="42"/>
      <c r="AU30" s="60"/>
      <c r="AV30" s="42"/>
      <c r="AW30" s="60"/>
      <c r="AX30" s="60"/>
      <c r="AY30" s="60"/>
      <c r="AZ30" s="60"/>
      <c r="BA30" s="60"/>
      <c r="BB30" s="60"/>
      <c r="BC30" s="60"/>
      <c r="BD30">
        <v>300</v>
      </c>
      <c r="BE30" t="s">
        <v>100</v>
      </c>
      <c r="BF30" t="s">
        <v>101</v>
      </c>
      <c r="BG30" t="s">
        <v>114</v>
      </c>
      <c r="BH30" t="s">
        <v>115</v>
      </c>
    </row>
    <row r="31" spans="2:60" x14ac:dyDescent="0.2">
      <c r="C31" s="15">
        <v>1.5</v>
      </c>
      <c r="D31" s="15">
        <v>-1.76</v>
      </c>
      <c r="G31" t="s">
        <v>42</v>
      </c>
      <c r="H31" s="11">
        <v>0.5</v>
      </c>
      <c r="I31" s="7">
        <v>-1.29</v>
      </c>
      <c r="M31" s="7">
        <v>1.5</v>
      </c>
      <c r="N31" s="7">
        <v>-1.74</v>
      </c>
      <c r="AM31" s="42"/>
      <c r="AN31" s="42"/>
      <c r="AO31" s="42"/>
      <c r="AP31" s="42"/>
      <c r="AQ31" s="60"/>
      <c r="AR31" s="60"/>
      <c r="AS31" s="60"/>
      <c r="AT31" s="42"/>
      <c r="AU31" s="60"/>
      <c r="AV31" s="42"/>
      <c r="AW31" s="60"/>
      <c r="AX31" s="60"/>
      <c r="AY31" s="60"/>
      <c r="AZ31" s="60"/>
      <c r="BA31" s="60"/>
      <c r="BB31" s="60"/>
      <c r="BC31" s="60"/>
      <c r="BE31">
        <v>2.53333E-2</v>
      </c>
      <c r="BF31">
        <v>2.2393939999999999</v>
      </c>
      <c r="BG31">
        <v>1.5298000000000001E-2</v>
      </c>
      <c r="BH31">
        <v>2.3654999999999999E-2</v>
      </c>
    </row>
    <row r="32" spans="2:60" x14ac:dyDescent="0.2">
      <c r="C32" s="15">
        <v>2</v>
      </c>
      <c r="D32" s="15">
        <v>-1.84</v>
      </c>
      <c r="H32" s="7">
        <v>1</v>
      </c>
      <c r="I32" s="7">
        <v>-1.52</v>
      </c>
      <c r="M32" s="7">
        <v>2</v>
      </c>
      <c r="N32" s="7">
        <v>-1.92</v>
      </c>
    </row>
    <row r="33" spans="3:69" x14ac:dyDescent="0.2">
      <c r="C33" s="15">
        <v>2.5</v>
      </c>
      <c r="D33" s="15">
        <v>-1.88</v>
      </c>
      <c r="H33" s="7">
        <v>1.5</v>
      </c>
      <c r="I33" s="7">
        <v>-1.7</v>
      </c>
      <c r="M33" s="7">
        <v>2.5</v>
      </c>
      <c r="N33" s="7">
        <v>-2.0299999999999998</v>
      </c>
    </row>
    <row r="34" spans="3:69" x14ac:dyDescent="0.2">
      <c r="C34" s="15">
        <v>3</v>
      </c>
      <c r="D34" s="15">
        <v>-1.87</v>
      </c>
      <c r="H34" s="7">
        <v>2</v>
      </c>
      <c r="I34" s="7">
        <v>-1.89</v>
      </c>
      <c r="M34" s="7">
        <v>3</v>
      </c>
      <c r="N34" s="7">
        <v>-2.11</v>
      </c>
    </row>
    <row r="35" spans="3:69" x14ac:dyDescent="0.2">
      <c r="C35" s="15">
        <v>3.5</v>
      </c>
      <c r="D35" s="15">
        <v>-1.82</v>
      </c>
      <c r="H35" s="7">
        <v>2.5</v>
      </c>
      <c r="I35" s="7">
        <v>-2</v>
      </c>
      <c r="M35" s="7">
        <v>3.5</v>
      </c>
      <c r="N35" s="7">
        <v>-2.15</v>
      </c>
      <c r="BA35" s="42"/>
      <c r="BB35" s="42"/>
      <c r="BC35" s="42"/>
      <c r="BD35" s="42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</row>
    <row r="36" spans="3:69" x14ac:dyDescent="0.2">
      <c r="C36" s="15">
        <v>4</v>
      </c>
      <c r="D36" s="15">
        <v>-1.7</v>
      </c>
      <c r="H36" s="7">
        <v>3</v>
      </c>
      <c r="I36" s="7">
        <v>-2.09</v>
      </c>
      <c r="M36" s="7">
        <v>4</v>
      </c>
      <c r="N36" s="7">
        <v>-2.19</v>
      </c>
      <c r="V36" s="7" t="s">
        <v>15</v>
      </c>
      <c r="W36" s="7" t="s">
        <v>57</v>
      </c>
      <c r="AA36" s="7" t="s">
        <v>15</v>
      </c>
      <c r="AB36" s="7" t="s">
        <v>57</v>
      </c>
      <c r="AF36" s="7" t="s">
        <v>15</v>
      </c>
      <c r="AG36" s="7" t="s">
        <v>57</v>
      </c>
      <c r="AK36" s="7" t="s">
        <v>15</v>
      </c>
      <c r="AL36" s="7" t="s">
        <v>16</v>
      </c>
      <c r="AP36" s="7" t="s">
        <v>15</v>
      </c>
      <c r="AQ36" s="7" t="s">
        <v>16</v>
      </c>
      <c r="AU36" s="7" t="s">
        <v>15</v>
      </c>
      <c r="AV36" s="7" t="s">
        <v>16</v>
      </c>
      <c r="BA36" s="43"/>
      <c r="BB36" s="43"/>
      <c r="BC36" s="43"/>
      <c r="BD36" s="43"/>
      <c r="BE36" s="42"/>
      <c r="BF36" s="42"/>
      <c r="BG36" s="42"/>
      <c r="BH36" s="42"/>
      <c r="BI36" s="42"/>
      <c r="BJ36" s="42"/>
      <c r="BK36" s="42"/>
      <c r="BL36" s="42"/>
      <c r="BM36" s="44"/>
      <c r="BN36" s="44"/>
      <c r="BO36" s="44"/>
      <c r="BP36" s="42"/>
      <c r="BQ36" s="42"/>
    </row>
    <row r="37" spans="3:69" x14ac:dyDescent="0.2">
      <c r="C37" s="15">
        <v>4.5</v>
      </c>
      <c r="D37" s="15">
        <v>-1.54</v>
      </c>
      <c r="H37" s="7">
        <v>3.5</v>
      </c>
      <c r="I37" s="7">
        <v>-2.14</v>
      </c>
      <c r="M37" s="7">
        <v>4.5</v>
      </c>
      <c r="N37" s="7">
        <v>-2.2000000000000002</v>
      </c>
      <c r="V37" s="7">
        <v>0</v>
      </c>
      <c r="W37" s="7">
        <f>W6/-1000</f>
        <v>0</v>
      </c>
      <c r="AA37" s="7">
        <v>0</v>
      </c>
      <c r="AB37" s="7">
        <f>AB6/-1000</f>
        <v>0</v>
      </c>
      <c r="AF37" s="7">
        <v>0</v>
      </c>
      <c r="AG37" s="7">
        <f>AG6/-1000</f>
        <v>0</v>
      </c>
      <c r="AK37" s="7">
        <v>0</v>
      </c>
      <c r="AL37" s="7">
        <f>W37*1000</f>
        <v>0</v>
      </c>
      <c r="AP37" s="7">
        <v>0</v>
      </c>
      <c r="AQ37" s="7">
        <f>AB37*1000</f>
        <v>0</v>
      </c>
      <c r="AU37" s="7">
        <v>0</v>
      </c>
      <c r="AV37" s="7">
        <f>AG37*1000</f>
        <v>0</v>
      </c>
      <c r="BA37" s="42"/>
      <c r="BB37" s="42"/>
      <c r="BC37" s="42"/>
      <c r="BD37" s="42"/>
      <c r="BE37" s="60"/>
      <c r="BF37" s="60"/>
      <c r="BG37" s="60"/>
      <c r="BH37" s="42"/>
      <c r="BI37" s="60"/>
      <c r="BJ37" s="42"/>
      <c r="BK37" s="60"/>
      <c r="BL37" s="60"/>
      <c r="BM37" s="60"/>
      <c r="BN37" s="60"/>
      <c r="BO37" s="60"/>
      <c r="BP37" s="60"/>
      <c r="BQ37" s="60"/>
    </row>
    <row r="38" spans="3:69" x14ac:dyDescent="0.2">
      <c r="C38" s="15">
        <v>5</v>
      </c>
      <c r="D38" s="15">
        <v>-1.29</v>
      </c>
      <c r="H38" s="7">
        <v>4</v>
      </c>
      <c r="I38" s="7">
        <v>-2.1800000000000002</v>
      </c>
      <c r="M38" s="7">
        <v>5</v>
      </c>
      <c r="N38" s="7">
        <v>-2.2200000000000002</v>
      </c>
      <c r="V38" s="7">
        <v>0.11</v>
      </c>
      <c r="W38" s="7">
        <f>W7/-1000</f>
        <v>2.3000000000000001E-4</v>
      </c>
      <c r="AA38" s="7">
        <v>0.1</v>
      </c>
      <c r="AB38" s="7">
        <f>AB7/-1000</f>
        <v>2.3999999999999998E-4</v>
      </c>
      <c r="AF38" s="7">
        <v>0.1</v>
      </c>
      <c r="AG38" s="7">
        <f>AG7/-1000</f>
        <v>2.3999999999999998E-4</v>
      </c>
      <c r="AK38" s="7">
        <v>0.11</v>
      </c>
      <c r="AL38" s="7">
        <f t="shared" ref="AL38:AL47" si="7">W38*1000</f>
        <v>0.23</v>
      </c>
      <c r="AP38" s="7">
        <v>0.1</v>
      </c>
      <c r="AQ38" s="7">
        <f t="shared" ref="AQ38:AQ47" si="8">AB38*1000</f>
        <v>0.24</v>
      </c>
      <c r="AU38" s="7">
        <v>0.1</v>
      </c>
      <c r="AV38" s="7">
        <f t="shared" ref="AV38:AV47" si="9">AG38*1000</f>
        <v>0.24</v>
      </c>
      <c r="BA38" s="42"/>
      <c r="BB38" s="42"/>
      <c r="BC38" s="42"/>
      <c r="BD38" s="42"/>
      <c r="BE38" s="60"/>
      <c r="BF38" s="60"/>
      <c r="BG38" s="60"/>
      <c r="BH38" s="42"/>
      <c r="BI38" s="60"/>
      <c r="BJ38" s="42"/>
      <c r="BK38" s="60"/>
      <c r="BL38" s="60"/>
      <c r="BM38" s="60"/>
      <c r="BN38" s="60"/>
      <c r="BO38" s="60"/>
      <c r="BP38" s="60"/>
      <c r="BQ38" s="60"/>
    </row>
    <row r="39" spans="3:69" x14ac:dyDescent="0.2">
      <c r="C39" s="3">
        <v>5.5</v>
      </c>
      <c r="D39" s="3">
        <v>-1</v>
      </c>
      <c r="H39" s="7">
        <v>4.5</v>
      </c>
      <c r="I39" s="7">
        <v>-2.19</v>
      </c>
      <c r="M39" s="7">
        <v>5.5</v>
      </c>
      <c r="N39" s="7">
        <v>-2.2400000000000002</v>
      </c>
      <c r="V39" s="7">
        <v>0.21</v>
      </c>
      <c r="W39" s="7">
        <f t="shared" ref="W39:W47" si="10">W8/-1000</f>
        <v>4.2999999999999999E-4</v>
      </c>
      <c r="AA39" s="7">
        <v>0.2</v>
      </c>
      <c r="AB39" s="7">
        <f t="shared" ref="AB39:AB47" si="11">AB8/-1000</f>
        <v>4.6000000000000001E-4</v>
      </c>
      <c r="AF39" s="7">
        <v>0.2</v>
      </c>
      <c r="AG39" s="7">
        <f t="shared" ref="AG39:AG47" si="12">AG8/-1000</f>
        <v>4.6999999999999999E-4</v>
      </c>
      <c r="AK39" s="7">
        <v>0.21</v>
      </c>
      <c r="AL39" s="7">
        <f t="shared" si="7"/>
        <v>0.43</v>
      </c>
      <c r="AP39" s="7">
        <v>0.2</v>
      </c>
      <c r="AQ39" s="7">
        <f t="shared" si="8"/>
        <v>0.46</v>
      </c>
      <c r="AU39" s="7">
        <v>0.2</v>
      </c>
      <c r="AV39" s="7">
        <f t="shared" si="9"/>
        <v>0.47</v>
      </c>
      <c r="BA39" s="42"/>
      <c r="BB39" s="42"/>
      <c r="BC39" s="42"/>
      <c r="BD39" s="42"/>
      <c r="BE39" s="60"/>
      <c r="BF39" s="60"/>
      <c r="BG39" s="60"/>
      <c r="BH39" s="42"/>
      <c r="BI39" s="60"/>
      <c r="BJ39" s="42"/>
      <c r="BK39" s="60"/>
      <c r="BL39" s="60"/>
      <c r="BM39" s="60"/>
      <c r="BN39" s="60"/>
      <c r="BO39" s="60"/>
      <c r="BP39" s="60"/>
      <c r="BQ39" s="60"/>
    </row>
    <row r="40" spans="3:69" x14ac:dyDescent="0.2">
      <c r="C40" s="3">
        <v>6</v>
      </c>
      <c r="D40" s="3">
        <v>-0.7</v>
      </c>
      <c r="H40" s="7">
        <v>5</v>
      </c>
      <c r="I40" s="7">
        <v>-2.19</v>
      </c>
      <c r="M40" s="7">
        <v>6</v>
      </c>
      <c r="N40" s="7">
        <v>-2.2400000000000002</v>
      </c>
      <c r="V40" s="7">
        <v>0.3</v>
      </c>
      <c r="W40" s="7">
        <f t="shared" si="10"/>
        <v>5.8999999999999992E-4</v>
      </c>
      <c r="AA40" s="7">
        <v>0.3</v>
      </c>
      <c r="AB40" s="7">
        <f t="shared" si="11"/>
        <v>6.7000000000000002E-4</v>
      </c>
      <c r="AF40" s="7">
        <v>0.3</v>
      </c>
      <c r="AG40" s="7">
        <f t="shared" si="12"/>
        <v>6.9999999999999999E-4</v>
      </c>
      <c r="AK40" s="7">
        <v>0.3</v>
      </c>
      <c r="AL40" s="7">
        <f t="shared" si="7"/>
        <v>0.59</v>
      </c>
      <c r="AP40" s="7">
        <v>0.3</v>
      </c>
      <c r="AQ40" s="7">
        <f t="shared" si="8"/>
        <v>0.67</v>
      </c>
      <c r="AU40" s="7">
        <v>0.3</v>
      </c>
      <c r="AV40" s="7">
        <f t="shared" si="9"/>
        <v>0.7</v>
      </c>
      <c r="BA40" s="42"/>
      <c r="BB40" s="42"/>
      <c r="BC40" s="42"/>
      <c r="BD40" s="42"/>
      <c r="BE40" s="60"/>
      <c r="BF40" s="60"/>
      <c r="BG40" s="60"/>
      <c r="BH40" s="42"/>
      <c r="BI40" s="60"/>
      <c r="BJ40" s="42"/>
      <c r="BK40" s="60"/>
      <c r="BL40" s="60"/>
      <c r="BM40" s="60"/>
      <c r="BN40" s="60"/>
      <c r="BO40" s="60"/>
      <c r="BP40" s="60"/>
      <c r="BQ40" s="60"/>
    </row>
    <row r="41" spans="3:69" x14ac:dyDescent="0.2">
      <c r="C41" s="2" t="s">
        <v>43</v>
      </c>
      <c r="D41" s="2"/>
      <c r="H41" s="7">
        <v>5.5</v>
      </c>
      <c r="I41" s="7">
        <v>-2.19</v>
      </c>
      <c r="M41" s="7">
        <v>6.5</v>
      </c>
      <c r="N41" s="7">
        <v>-2.2400000000000002</v>
      </c>
      <c r="V41" s="7">
        <v>0.41</v>
      </c>
      <c r="W41" s="7">
        <f t="shared" si="10"/>
        <v>8.1999999999999998E-4</v>
      </c>
      <c r="AA41" s="7">
        <v>0.4</v>
      </c>
      <c r="AB41" s="7">
        <f t="shared" si="11"/>
        <v>8.9000000000000006E-4</v>
      </c>
      <c r="AF41" s="7">
        <v>0.4</v>
      </c>
      <c r="AG41" s="7">
        <f t="shared" si="12"/>
        <v>9.2000000000000003E-4</v>
      </c>
      <c r="AK41" s="7">
        <v>0.41</v>
      </c>
      <c r="AL41" s="7">
        <f t="shared" si="7"/>
        <v>0.82</v>
      </c>
      <c r="AP41" s="7">
        <v>0.4</v>
      </c>
      <c r="AQ41" s="7">
        <f t="shared" si="8"/>
        <v>0.89</v>
      </c>
      <c r="AU41" s="7">
        <v>0.4</v>
      </c>
      <c r="AV41" s="7">
        <f t="shared" si="9"/>
        <v>0.92</v>
      </c>
      <c r="BA41" s="42"/>
      <c r="BB41" s="42"/>
      <c r="BC41" s="42"/>
      <c r="BD41" s="42"/>
      <c r="BE41" s="60"/>
      <c r="BF41" s="60"/>
      <c r="BG41" s="60"/>
      <c r="BH41" s="42"/>
      <c r="BI41" s="60"/>
      <c r="BJ41" s="42"/>
      <c r="BK41" s="60"/>
      <c r="BL41" s="60"/>
      <c r="BM41" s="60"/>
      <c r="BN41" s="60"/>
      <c r="BO41" s="60"/>
      <c r="BP41" s="60"/>
      <c r="BQ41" s="60"/>
    </row>
    <row r="42" spans="3:69" x14ac:dyDescent="0.2">
      <c r="C42" s="2"/>
      <c r="D42" s="2"/>
      <c r="H42" s="7">
        <v>6</v>
      </c>
      <c r="I42" s="8">
        <v>-2.1800000000000002</v>
      </c>
      <c r="M42" s="7">
        <v>7</v>
      </c>
      <c r="N42" s="8">
        <v>-2.2400000000000002</v>
      </c>
      <c r="V42" s="7">
        <v>0.5</v>
      </c>
      <c r="W42" s="7">
        <f t="shared" si="10"/>
        <v>9.8999999999999999E-4</v>
      </c>
      <c r="AA42" s="7">
        <v>0.5</v>
      </c>
      <c r="AB42" s="7">
        <f t="shared" si="11"/>
        <v>1.1200000000000001E-3</v>
      </c>
      <c r="AF42" s="7">
        <v>0.5</v>
      </c>
      <c r="AG42" s="7">
        <f t="shared" si="12"/>
        <v>1.15E-3</v>
      </c>
      <c r="AK42" s="7">
        <v>0.5</v>
      </c>
      <c r="AL42" s="7">
        <f t="shared" si="7"/>
        <v>0.99</v>
      </c>
      <c r="AP42" s="7">
        <v>0.5</v>
      </c>
      <c r="AQ42" s="7">
        <f t="shared" si="8"/>
        <v>1.1200000000000001</v>
      </c>
      <c r="AU42" s="7">
        <v>0.5</v>
      </c>
      <c r="AV42" s="7">
        <f t="shared" si="9"/>
        <v>1.1499999999999999</v>
      </c>
      <c r="BA42" s="42"/>
      <c r="BB42" s="42"/>
      <c r="BC42" s="42"/>
      <c r="BD42" s="42"/>
      <c r="BE42" s="60"/>
      <c r="BF42" s="60"/>
      <c r="BG42" s="60"/>
      <c r="BH42" s="42"/>
      <c r="BI42" s="60"/>
      <c r="BJ42" s="42"/>
      <c r="BK42" s="60"/>
      <c r="BL42" s="60"/>
      <c r="BM42" s="60"/>
      <c r="BN42" s="60"/>
      <c r="BO42" s="60"/>
      <c r="BP42" s="60"/>
      <c r="BQ42" s="60"/>
    </row>
    <row r="43" spans="3:69" x14ac:dyDescent="0.2">
      <c r="C43" s="2"/>
      <c r="H43" s="7">
        <v>6.5</v>
      </c>
      <c r="I43" s="10">
        <v>-2.16</v>
      </c>
      <c r="M43" s="8">
        <v>7.5</v>
      </c>
      <c r="N43" s="10">
        <v>-2.2400000000000002</v>
      </c>
      <c r="V43" s="7">
        <v>0.6</v>
      </c>
      <c r="W43" s="7">
        <f t="shared" si="10"/>
        <v>1.1899999999999999E-3</v>
      </c>
      <c r="AA43" s="7">
        <v>0.6</v>
      </c>
      <c r="AB43" s="7">
        <f t="shared" si="11"/>
        <v>1.33E-3</v>
      </c>
      <c r="AC43" t="s">
        <v>82</v>
      </c>
      <c r="AF43" s="7">
        <v>0.6</v>
      </c>
      <c r="AG43" s="7">
        <f t="shared" si="12"/>
        <v>1.3799999999999999E-3</v>
      </c>
      <c r="AK43" s="7">
        <v>0.6</v>
      </c>
      <c r="AL43" s="7">
        <f t="shared" si="7"/>
        <v>1.19</v>
      </c>
      <c r="AP43" s="7">
        <v>0.6</v>
      </c>
      <c r="AQ43" s="7">
        <f t="shared" si="8"/>
        <v>1.33</v>
      </c>
      <c r="AR43" t="s">
        <v>82</v>
      </c>
      <c r="AU43" s="7">
        <v>0.6</v>
      </c>
      <c r="AV43" s="7">
        <f t="shared" si="9"/>
        <v>1.38</v>
      </c>
      <c r="BA43" s="42"/>
      <c r="BB43" s="42"/>
      <c r="BC43" s="42"/>
      <c r="BD43" s="42"/>
      <c r="BE43" s="60"/>
      <c r="BF43" s="60"/>
      <c r="BG43" s="60"/>
      <c r="BH43" s="42"/>
      <c r="BI43" s="60"/>
      <c r="BJ43" s="42"/>
      <c r="BK43" s="60"/>
      <c r="BL43" s="60"/>
      <c r="BM43" s="60"/>
      <c r="BN43" s="60"/>
      <c r="BO43" s="60"/>
      <c r="BP43" s="60"/>
      <c r="BQ43" s="60"/>
    </row>
    <row r="44" spans="3:69" x14ac:dyDescent="0.2">
      <c r="H44" s="8">
        <v>7</v>
      </c>
      <c r="I44" s="10">
        <v>-2.15</v>
      </c>
      <c r="M44" s="10">
        <v>8</v>
      </c>
      <c r="N44" s="10">
        <v>-2.2400000000000002</v>
      </c>
      <c r="V44" s="9">
        <v>0.7</v>
      </c>
      <c r="W44" s="7">
        <f t="shared" si="10"/>
        <v>1.3600000000000001E-3</v>
      </c>
      <c r="AA44" s="7">
        <v>0.7</v>
      </c>
      <c r="AB44" s="7">
        <f t="shared" si="11"/>
        <v>1.57E-3</v>
      </c>
      <c r="AF44" s="7">
        <v>0.7</v>
      </c>
      <c r="AG44" s="7">
        <f t="shared" si="12"/>
        <v>1.6000000000000001E-3</v>
      </c>
      <c r="AK44" s="9">
        <v>0.7</v>
      </c>
      <c r="AL44" s="7">
        <f t="shared" si="7"/>
        <v>1.36</v>
      </c>
      <c r="AP44" s="7">
        <v>0.7</v>
      </c>
      <c r="AQ44" s="7">
        <f t="shared" si="8"/>
        <v>1.57</v>
      </c>
      <c r="AU44" s="7">
        <v>0.7</v>
      </c>
      <c r="AV44" s="7">
        <f t="shared" si="9"/>
        <v>1.6</v>
      </c>
      <c r="BA44" s="42"/>
      <c r="BB44" s="42"/>
      <c r="BC44" s="42"/>
      <c r="BD44" s="42"/>
      <c r="BE44" s="60"/>
      <c r="BF44" s="60"/>
      <c r="BG44" s="60"/>
      <c r="BH44" s="42"/>
      <c r="BI44" s="60"/>
      <c r="BJ44" s="42"/>
      <c r="BK44" s="60"/>
      <c r="BL44" s="60"/>
      <c r="BM44" s="60"/>
      <c r="BN44" s="60"/>
      <c r="BO44" s="60"/>
      <c r="BP44" s="60"/>
      <c r="BQ44" s="60"/>
    </row>
    <row r="45" spans="3:69" x14ac:dyDescent="0.2">
      <c r="C45" t="s">
        <v>44</v>
      </c>
      <c r="H45" s="10">
        <v>7.5</v>
      </c>
      <c r="I45" s="10">
        <v>-2.12</v>
      </c>
      <c r="M45" s="10">
        <v>8.5</v>
      </c>
      <c r="N45" s="10">
        <v>-2.2400000000000002</v>
      </c>
      <c r="V45" s="9">
        <v>0.8</v>
      </c>
      <c r="W45" s="7">
        <f t="shared" si="10"/>
        <v>1.5499999999999999E-3</v>
      </c>
      <c r="AA45" s="7">
        <v>0.8</v>
      </c>
      <c r="AB45" s="7">
        <f t="shared" si="11"/>
        <v>1.7800000000000001E-3</v>
      </c>
      <c r="AF45" s="7">
        <v>0.8</v>
      </c>
      <c r="AG45" s="7">
        <f t="shared" si="12"/>
        <v>1.82E-3</v>
      </c>
      <c r="AK45" s="9">
        <v>0.8</v>
      </c>
      <c r="AL45" s="7">
        <f t="shared" si="7"/>
        <v>1.55</v>
      </c>
      <c r="AP45" s="7">
        <v>0.8</v>
      </c>
      <c r="AQ45" s="7">
        <f t="shared" si="8"/>
        <v>1.78</v>
      </c>
      <c r="AU45" s="7">
        <v>0.8</v>
      </c>
      <c r="AV45" s="7">
        <f t="shared" si="9"/>
        <v>1.82</v>
      </c>
      <c r="BA45" s="42"/>
      <c r="BB45" s="42"/>
      <c r="BC45" s="42"/>
      <c r="BD45" s="42"/>
      <c r="BE45" s="60"/>
      <c r="BF45" s="60"/>
      <c r="BG45" s="60"/>
      <c r="BH45" s="42"/>
      <c r="BI45" s="60"/>
      <c r="BJ45" s="42"/>
      <c r="BK45" s="60"/>
      <c r="BL45" s="60"/>
      <c r="BM45" s="60"/>
      <c r="BN45" s="60"/>
      <c r="BO45" s="60"/>
      <c r="BP45" s="60"/>
      <c r="BQ45" s="60"/>
    </row>
    <row r="46" spans="3:69" x14ac:dyDescent="0.2">
      <c r="C46" t="s">
        <v>45</v>
      </c>
      <c r="H46" s="10">
        <v>8</v>
      </c>
      <c r="I46" s="10">
        <v>-2.08</v>
      </c>
      <c r="M46" s="10">
        <v>9</v>
      </c>
      <c r="N46" s="10">
        <v>-2.2400000000000002</v>
      </c>
      <c r="V46" s="9">
        <v>0.9</v>
      </c>
      <c r="W46" s="7">
        <f t="shared" si="10"/>
        <v>1.74E-3</v>
      </c>
      <c r="AA46" s="7">
        <v>0.9</v>
      </c>
      <c r="AB46" s="7">
        <f t="shared" si="11"/>
        <v>2.0099999999999996E-3</v>
      </c>
      <c r="AF46" s="7">
        <v>0.9</v>
      </c>
      <c r="AG46" s="7">
        <f t="shared" si="12"/>
        <v>2.0400000000000001E-3</v>
      </c>
      <c r="AK46" s="9">
        <v>0.9</v>
      </c>
      <c r="AL46" s="7">
        <f t="shared" si="7"/>
        <v>1.74</v>
      </c>
      <c r="AP46" s="7">
        <v>0.9</v>
      </c>
      <c r="AQ46" s="7">
        <f t="shared" si="8"/>
        <v>2.0099999999999998</v>
      </c>
      <c r="AU46" s="7">
        <v>0.9</v>
      </c>
      <c r="AV46" s="7">
        <f t="shared" si="9"/>
        <v>2.04</v>
      </c>
      <c r="BA46" s="42"/>
      <c r="BB46" s="42"/>
      <c r="BC46" s="42"/>
      <c r="BD46" s="42"/>
      <c r="BE46" s="60"/>
      <c r="BF46" s="60"/>
      <c r="BG46" s="60"/>
      <c r="BH46" s="42"/>
      <c r="BI46" s="60"/>
      <c r="BJ46" s="42"/>
      <c r="BK46" s="60"/>
      <c r="BL46" s="60"/>
      <c r="BM46" s="60"/>
      <c r="BN46" s="60"/>
      <c r="BO46" s="60"/>
      <c r="BP46" s="60"/>
      <c r="BQ46" s="60"/>
    </row>
    <row r="47" spans="3:69" x14ac:dyDescent="0.2">
      <c r="H47" s="10">
        <v>8.5</v>
      </c>
      <c r="I47" s="10">
        <v>-2</v>
      </c>
      <c r="M47" s="10">
        <v>9.5</v>
      </c>
      <c r="N47" s="10">
        <v>-2.2400000000000002</v>
      </c>
      <c r="V47" s="9">
        <v>1</v>
      </c>
      <c r="W47" s="7">
        <f t="shared" si="10"/>
        <v>1.9399999999999999E-3</v>
      </c>
      <c r="AA47" s="7">
        <v>1</v>
      </c>
      <c r="AB47" s="7">
        <f t="shared" si="11"/>
        <v>2.2499999999999998E-3</v>
      </c>
      <c r="AF47" s="7">
        <v>1</v>
      </c>
      <c r="AG47" s="7">
        <f t="shared" si="12"/>
        <v>2.2499999999999998E-3</v>
      </c>
      <c r="AK47" s="9">
        <v>1</v>
      </c>
      <c r="AL47" s="7">
        <f t="shared" si="7"/>
        <v>1.94</v>
      </c>
      <c r="AP47" s="7">
        <v>1</v>
      </c>
      <c r="AQ47" s="7">
        <f t="shared" si="8"/>
        <v>2.25</v>
      </c>
      <c r="AU47" s="7">
        <v>1</v>
      </c>
      <c r="AV47" s="7">
        <f t="shared" si="9"/>
        <v>2.25</v>
      </c>
    </row>
    <row r="48" spans="3:69" x14ac:dyDescent="0.2">
      <c r="H48" s="10">
        <v>9</v>
      </c>
      <c r="I48" s="10">
        <v>-1.91</v>
      </c>
      <c r="M48" s="10">
        <v>10</v>
      </c>
      <c r="N48" s="10">
        <v>-2.2400000000000002</v>
      </c>
    </row>
    <row r="49" spans="8:14" x14ac:dyDescent="0.2">
      <c r="H49" s="10">
        <v>9.5</v>
      </c>
      <c r="I49" s="10">
        <v>-1.76</v>
      </c>
      <c r="M49" s="10">
        <v>10.5</v>
      </c>
      <c r="N49" s="10">
        <v>-2.23</v>
      </c>
    </row>
    <row r="50" spans="8:14" x14ac:dyDescent="0.2">
      <c r="H50" s="10">
        <v>10</v>
      </c>
      <c r="I50" s="10">
        <v>-1.59</v>
      </c>
      <c r="M50" s="10">
        <v>11</v>
      </c>
      <c r="N50" s="10">
        <v>-2.2200000000000002</v>
      </c>
    </row>
    <row r="51" spans="8:14" x14ac:dyDescent="0.2">
      <c r="H51" s="10">
        <v>10.5</v>
      </c>
      <c r="I51" s="10">
        <v>-1.35</v>
      </c>
      <c r="M51" s="10">
        <v>11.5</v>
      </c>
      <c r="N51" s="10">
        <v>-2.21</v>
      </c>
    </row>
    <row r="52" spans="8:14" x14ac:dyDescent="0.2">
      <c r="H52" s="10">
        <v>11</v>
      </c>
      <c r="I52" s="10">
        <v>-1.08</v>
      </c>
      <c r="M52" s="10">
        <v>12</v>
      </c>
      <c r="N52" s="10">
        <v>-2.19</v>
      </c>
    </row>
    <row r="53" spans="8:14" x14ac:dyDescent="0.2">
      <c r="H53" s="13">
        <v>11.5</v>
      </c>
      <c r="I53" s="13">
        <v>-0.86</v>
      </c>
      <c r="M53" s="10">
        <v>12.5</v>
      </c>
      <c r="N53" s="10">
        <v>-2.17</v>
      </c>
    </row>
    <row r="54" spans="8:14" x14ac:dyDescent="0.2">
      <c r="H54" s="13">
        <v>12</v>
      </c>
      <c r="I54" s="13">
        <v>-0.6</v>
      </c>
      <c r="M54" s="10">
        <v>13</v>
      </c>
      <c r="N54" s="10">
        <v>-2.14</v>
      </c>
    </row>
    <row r="55" spans="8:14" x14ac:dyDescent="0.2">
      <c r="H55" s="13">
        <v>12.5</v>
      </c>
      <c r="I55" s="13">
        <v>-0.46</v>
      </c>
      <c r="M55" s="10">
        <v>13.5</v>
      </c>
      <c r="N55" s="10">
        <v>-2.11</v>
      </c>
    </row>
    <row r="56" spans="8:14" x14ac:dyDescent="0.2">
      <c r="H56" s="4"/>
      <c r="M56" s="10">
        <v>14</v>
      </c>
      <c r="N56" s="10">
        <v>-2.0699999999999998</v>
      </c>
    </row>
    <row r="57" spans="8:14" x14ac:dyDescent="0.2">
      <c r="H57" s="4"/>
      <c r="M57" s="10">
        <v>14.5</v>
      </c>
      <c r="N57" s="10">
        <v>-1.97</v>
      </c>
    </row>
    <row r="58" spans="8:14" x14ac:dyDescent="0.2">
      <c r="M58" s="10">
        <v>15</v>
      </c>
      <c r="N58" s="10">
        <v>-1.86</v>
      </c>
    </row>
    <row r="59" spans="8:14" x14ac:dyDescent="0.2">
      <c r="H59" t="s">
        <v>44</v>
      </c>
      <c r="M59" s="10">
        <v>15.5</v>
      </c>
      <c r="N59" s="10">
        <v>-1.7</v>
      </c>
    </row>
    <row r="60" spans="8:14" x14ac:dyDescent="0.2">
      <c r="H60" t="s">
        <v>45</v>
      </c>
      <c r="M60" s="10">
        <v>16</v>
      </c>
      <c r="N60" s="10">
        <v>-1.43</v>
      </c>
    </row>
    <row r="61" spans="8:14" x14ac:dyDescent="0.2">
      <c r="M61" s="10">
        <v>16.5</v>
      </c>
      <c r="N61" s="10">
        <v>-1.0900000000000001</v>
      </c>
    </row>
    <row r="62" spans="8:14" x14ac:dyDescent="0.2">
      <c r="M62" s="13">
        <v>17</v>
      </c>
      <c r="N62" s="13">
        <v>-0.8</v>
      </c>
    </row>
    <row r="63" spans="8:14" x14ac:dyDescent="0.2">
      <c r="H63" t="s">
        <v>46</v>
      </c>
      <c r="M63" s="6"/>
      <c r="N63" s="6"/>
    </row>
    <row r="64" spans="8:14" x14ac:dyDescent="0.2">
      <c r="M64" s="6"/>
      <c r="N64" s="6"/>
    </row>
    <row r="65" spans="13:46" x14ac:dyDescent="0.2">
      <c r="M65" s="6"/>
      <c r="N65" s="6"/>
    </row>
    <row r="66" spans="13:46" x14ac:dyDescent="0.2">
      <c r="M66" s="6"/>
      <c r="N66" s="6"/>
      <c r="R66" s="6" t="s">
        <v>127</v>
      </c>
      <c r="S66" s="6" t="s">
        <v>128</v>
      </c>
      <c r="AA66" t="s">
        <v>59</v>
      </c>
    </row>
    <row r="67" spans="13:46" x14ac:dyDescent="0.2">
      <c r="M67" s="6"/>
      <c r="N67" s="6"/>
      <c r="R67" s="6">
        <f>4*PI()*10^-7</f>
        <v>1.2566370614359173E-6</v>
      </c>
      <c r="S67" s="6">
        <v>1</v>
      </c>
      <c r="V67" s="4" t="s">
        <v>53</v>
      </c>
      <c r="W67" s="4" t="s">
        <v>51</v>
      </c>
      <c r="X67" s="4" t="s">
        <v>58</v>
      </c>
      <c r="AA67" s="6" t="s">
        <v>51</v>
      </c>
      <c r="AB67" s="6" t="s">
        <v>54</v>
      </c>
      <c r="AC67" s="6" t="s">
        <v>55</v>
      </c>
    </row>
    <row r="68" spans="13:46" x14ac:dyDescent="0.2">
      <c r="M68" s="6"/>
      <c r="N68" s="6"/>
      <c r="V68" s="4">
        <f>($R$71*$T$71*$S$67)*((($Q$71-W68)/SQRT($S$71^2+($Q$71-W68)^2))+(W68)/SQRT($S$71^2+W68^2))/2</f>
        <v>8.9568580956764742E-4</v>
      </c>
      <c r="W68" s="4">
        <f>C28/100</f>
        <v>0</v>
      </c>
      <c r="X68" s="4">
        <f>AC68/1000</f>
        <v>1.15E-3</v>
      </c>
      <c r="AA68" s="21">
        <v>0</v>
      </c>
      <c r="AB68" s="6">
        <f>V68*1000</f>
        <v>0.89568580956764743</v>
      </c>
      <c r="AC68" s="6">
        <f>D28*-1</f>
        <v>1.1499999999999999</v>
      </c>
      <c r="AF68" s="18"/>
    </row>
    <row r="69" spans="13:46" x14ac:dyDescent="0.2">
      <c r="M69" s="6"/>
      <c r="N69" s="6"/>
      <c r="U69" s="4"/>
      <c r="V69" s="4">
        <f t="shared" ref="V69:V78" si="13">($R$71*$T$71*$S$67)*((($Q$71-W69)/SQRT($S$71^2+($Q$71-W69)^2))+(W69)/SQRT($S$71^2+W69^2))/2</f>
        <v>1.1109314646715847E-3</v>
      </c>
      <c r="W69" s="4">
        <f>C29/100</f>
        <v>5.0000000000000001E-3</v>
      </c>
      <c r="X69" s="4">
        <f t="shared" ref="X69:X79" si="14">AC69/1000</f>
        <v>1.3700000000000001E-3</v>
      </c>
      <c r="AA69" s="21">
        <v>5.0000000000000001E-3</v>
      </c>
      <c r="AB69" s="6">
        <f t="shared" ref="AB69:AB79" si="15">V69*1000</f>
        <v>1.1109314646715847</v>
      </c>
      <c r="AC69" s="6">
        <f t="shared" ref="AC69:AC78" si="16">D29*-1</f>
        <v>1.37</v>
      </c>
      <c r="AE69" s="20"/>
      <c r="AF69" s="18"/>
    </row>
    <row r="70" spans="13:46" x14ac:dyDescent="0.2">
      <c r="M70" s="6"/>
      <c r="N70" s="6"/>
      <c r="Q70" s="6" t="s">
        <v>56</v>
      </c>
      <c r="R70" s="6" t="s">
        <v>48</v>
      </c>
      <c r="S70" s="6" t="s">
        <v>50</v>
      </c>
      <c r="T70" s="6" t="s">
        <v>52</v>
      </c>
      <c r="U70" s="4"/>
      <c r="V70" s="4">
        <f t="shared" si="13"/>
        <v>1.2889501844807008E-3</v>
      </c>
      <c r="W70" s="4">
        <f t="shared" ref="W70:W78" si="17">C30/100</f>
        <v>0.01</v>
      </c>
      <c r="X70" s="4">
        <f t="shared" si="14"/>
        <v>1.6200000000000001E-3</v>
      </c>
      <c r="AA70" s="21" t="s">
        <v>66</v>
      </c>
      <c r="AB70" s="6">
        <f t="shared" si="15"/>
        <v>1.2889501844807008</v>
      </c>
      <c r="AC70" s="6">
        <f t="shared" si="16"/>
        <v>1.62</v>
      </c>
      <c r="AF70" s="18"/>
    </row>
    <row r="71" spans="13:46" x14ac:dyDescent="0.2">
      <c r="M71" s="6"/>
      <c r="N71" s="6"/>
      <c r="P71" t="s">
        <v>1</v>
      </c>
      <c r="Q71" s="6">
        <v>5.5E-2</v>
      </c>
      <c r="R71" s="6">
        <f>100/0.055</f>
        <v>1818.1818181818182</v>
      </c>
      <c r="S71" s="6">
        <v>2.0500000000000001E-2</v>
      </c>
      <c r="T71" s="6">
        <v>1.051468E-6</v>
      </c>
      <c r="U71" s="4"/>
      <c r="V71" s="4">
        <f t="shared" si="13"/>
        <v>1.415126088974292E-3</v>
      </c>
      <c r="W71" s="4">
        <f t="shared" si="17"/>
        <v>1.4999999999999999E-2</v>
      </c>
      <c r="X71" s="4">
        <f t="shared" si="14"/>
        <v>1.7600000000000001E-3</v>
      </c>
      <c r="AA71" s="21">
        <v>1.4999999999999999E-2</v>
      </c>
      <c r="AB71" s="6">
        <f t="shared" si="15"/>
        <v>1.415126088974292</v>
      </c>
      <c r="AC71" s="6">
        <f t="shared" si="16"/>
        <v>1.76</v>
      </c>
      <c r="AF71" s="18"/>
    </row>
    <row r="72" spans="13:46" x14ac:dyDescent="0.2">
      <c r="M72" s="6"/>
      <c r="P72" t="s">
        <v>3</v>
      </c>
      <c r="Q72" s="6">
        <v>0.1075</v>
      </c>
      <c r="R72" s="6">
        <f>200/0.108</f>
        <v>1851.851851851852</v>
      </c>
      <c r="S72" s="6">
        <v>2.0500000000000001E-2</v>
      </c>
      <c r="T72" s="6">
        <v>1.2024001799999999E-6</v>
      </c>
      <c r="U72" s="4"/>
      <c r="V72" s="4">
        <f t="shared" si="13"/>
        <v>1.4923267509388749E-3</v>
      </c>
      <c r="W72" s="4">
        <f t="shared" si="17"/>
        <v>0.02</v>
      </c>
      <c r="X72" s="4">
        <f t="shared" si="14"/>
        <v>1.8400000000000001E-3</v>
      </c>
      <c r="AA72" s="21" t="s">
        <v>67</v>
      </c>
      <c r="AB72" s="6">
        <f t="shared" si="15"/>
        <v>1.4923267509388749</v>
      </c>
      <c r="AC72" s="6">
        <f t="shared" si="16"/>
        <v>1.84</v>
      </c>
      <c r="AF72" s="18"/>
    </row>
    <row r="73" spans="13:46" x14ac:dyDescent="0.2">
      <c r="P73" t="s">
        <v>5</v>
      </c>
      <c r="Q73" s="6">
        <v>0.16</v>
      </c>
      <c r="R73" s="6">
        <f>300/0.16</f>
        <v>1875</v>
      </c>
      <c r="S73" s="6">
        <v>2.0500000000000001E-2</v>
      </c>
      <c r="T73" s="6">
        <v>1.1943434666666667E-6</v>
      </c>
      <c r="U73" s="4"/>
      <c r="V73" s="4">
        <f t="shared" si="13"/>
        <v>1.5283684154974954E-3</v>
      </c>
      <c r="W73" s="4">
        <f t="shared" si="17"/>
        <v>2.5000000000000001E-2</v>
      </c>
      <c r="X73" s="4">
        <f t="shared" si="14"/>
        <v>1.8799999999999999E-3</v>
      </c>
      <c r="AA73" s="21">
        <v>2.5000000000000001E-2</v>
      </c>
      <c r="AB73" s="6">
        <f t="shared" si="15"/>
        <v>1.5283684154974952</v>
      </c>
      <c r="AC73" s="6">
        <f t="shared" si="16"/>
        <v>1.88</v>
      </c>
      <c r="AF73" s="18"/>
    </row>
    <row r="74" spans="13:46" x14ac:dyDescent="0.2">
      <c r="U74" s="4"/>
      <c r="V74" s="4">
        <f t="shared" si="13"/>
        <v>1.5283684154974954E-3</v>
      </c>
      <c r="W74" s="4">
        <f t="shared" si="17"/>
        <v>0.03</v>
      </c>
      <c r="X74" s="4">
        <f t="shared" si="14"/>
        <v>1.8700000000000001E-3</v>
      </c>
      <c r="AA74" s="21" t="s">
        <v>68</v>
      </c>
      <c r="AB74" s="6">
        <f t="shared" si="15"/>
        <v>1.5283684154974952</v>
      </c>
      <c r="AC74" s="6">
        <f t="shared" si="16"/>
        <v>1.87</v>
      </c>
      <c r="AF74" s="18"/>
    </row>
    <row r="75" spans="13:46" x14ac:dyDescent="0.2">
      <c r="U75" s="4"/>
      <c r="V75" s="4">
        <f t="shared" si="13"/>
        <v>1.4923267509388749E-3</v>
      </c>
      <c r="W75" s="4">
        <f t="shared" si="17"/>
        <v>3.5000000000000003E-2</v>
      </c>
      <c r="X75" s="4">
        <f t="shared" si="14"/>
        <v>1.82E-3</v>
      </c>
      <c r="AA75" s="21">
        <v>3.5000000000000003E-2</v>
      </c>
      <c r="AB75" s="6">
        <f t="shared" si="15"/>
        <v>1.4923267509388749</v>
      </c>
      <c r="AC75" s="6">
        <f t="shared" si="16"/>
        <v>1.82</v>
      </c>
      <c r="AF75" s="18"/>
      <c r="AM75" t="s">
        <v>120</v>
      </c>
    </row>
    <row r="76" spans="13:46" x14ac:dyDescent="0.2">
      <c r="U76" s="4"/>
      <c r="V76" s="4">
        <f t="shared" si="13"/>
        <v>1.415126088974292E-3</v>
      </c>
      <c r="W76" s="4">
        <f t="shared" si="17"/>
        <v>0.04</v>
      </c>
      <c r="X76" s="4">
        <f>AC76/1000</f>
        <v>1.6999999999999999E-3</v>
      </c>
      <c r="AA76" s="21" t="s">
        <v>69</v>
      </c>
      <c r="AB76" s="6">
        <f t="shared" si="15"/>
        <v>1.415126088974292</v>
      </c>
      <c r="AC76" s="6">
        <f t="shared" si="16"/>
        <v>1.7</v>
      </c>
      <c r="AF76" s="18"/>
      <c r="AN76" s="6" t="s">
        <v>122</v>
      </c>
      <c r="AO76" s="6">
        <v>100</v>
      </c>
      <c r="AP76" s="6">
        <v>200</v>
      </c>
      <c r="AQ76" s="6">
        <v>300</v>
      </c>
      <c r="AS76" s="4"/>
      <c r="AT76" s="4"/>
    </row>
    <row r="77" spans="13:46" x14ac:dyDescent="0.2">
      <c r="M77" t="s">
        <v>47</v>
      </c>
      <c r="R77" t="s">
        <v>62</v>
      </c>
      <c r="S77" t="s">
        <v>63</v>
      </c>
      <c r="T77" t="s">
        <v>64</v>
      </c>
      <c r="U77" s="4"/>
      <c r="V77" s="4">
        <f t="shared" si="13"/>
        <v>1.288950184480701E-3</v>
      </c>
      <c r="W77" s="4">
        <f t="shared" si="17"/>
        <v>4.4999999999999998E-2</v>
      </c>
      <c r="X77" s="4">
        <f t="shared" si="14"/>
        <v>1.5400000000000001E-3</v>
      </c>
      <c r="AA77" s="21">
        <v>4.4999999999999998E-2</v>
      </c>
      <c r="AB77" s="6">
        <f t="shared" si="15"/>
        <v>1.288950184480701</v>
      </c>
      <c r="AC77" s="6">
        <f t="shared" si="16"/>
        <v>1.54</v>
      </c>
      <c r="AF77" s="18"/>
      <c r="AN77" s="6" t="s">
        <v>119</v>
      </c>
      <c r="AO77" s="6">
        <v>1.1499999999999999</v>
      </c>
      <c r="AP77" s="6">
        <v>1.04</v>
      </c>
      <c r="AQ77" s="6">
        <v>1.02</v>
      </c>
      <c r="AR77" s="4"/>
      <c r="AS77" s="4"/>
      <c r="AT77" s="4"/>
    </row>
    <row r="78" spans="13:46" x14ac:dyDescent="0.2">
      <c r="M78" t="s">
        <v>45</v>
      </c>
      <c r="R78" t="s">
        <v>65</v>
      </c>
      <c r="S78">
        <v>5.0000000000000001E-3</v>
      </c>
      <c r="T78">
        <v>5.0000000000000001E-3</v>
      </c>
      <c r="U78" s="4"/>
      <c r="V78" s="4">
        <f t="shared" si="13"/>
        <v>1.1109314646715847E-3</v>
      </c>
      <c r="W78" s="4">
        <f t="shared" si="17"/>
        <v>0.05</v>
      </c>
      <c r="X78" s="4">
        <f t="shared" si="14"/>
        <v>1.2900000000000001E-3</v>
      </c>
      <c r="AA78" s="21" t="s">
        <v>70</v>
      </c>
      <c r="AB78" s="6">
        <f t="shared" si="15"/>
        <v>1.1109314646715847</v>
      </c>
      <c r="AC78" s="6">
        <f t="shared" si="16"/>
        <v>1.29</v>
      </c>
      <c r="AF78" s="18"/>
      <c r="AN78" s="6" t="s">
        <v>118</v>
      </c>
      <c r="AO78" s="6">
        <v>1.76</v>
      </c>
      <c r="AP78" s="6">
        <v>2.09</v>
      </c>
      <c r="AQ78" s="6">
        <v>2.19</v>
      </c>
      <c r="AR78" s="4"/>
      <c r="AS78" s="4"/>
      <c r="AT78" s="4"/>
    </row>
    <row r="79" spans="13:46" x14ac:dyDescent="0.2">
      <c r="V79" s="4">
        <f>($R$71*$T$71*$S$67)*((($Q$71-W79)/SQRT($S$71^2+($Q$71-W79)^2))+(W79)/SQRT($S$71^2+W79^2))/2</f>
        <v>8.9568580956764742E-4</v>
      </c>
      <c r="W79">
        <v>5.5E-2</v>
      </c>
      <c r="X79" s="4">
        <f t="shared" si="14"/>
        <v>1E-3</v>
      </c>
      <c r="AA79">
        <v>5.5E-2</v>
      </c>
      <c r="AB79" s="6">
        <f t="shared" si="15"/>
        <v>0.89568580956764743</v>
      </c>
      <c r="AC79">
        <v>1</v>
      </c>
      <c r="AF79" s="19"/>
      <c r="AN79" s="6" t="s">
        <v>117</v>
      </c>
      <c r="AO79" s="6">
        <v>1.88</v>
      </c>
      <c r="AP79" s="6">
        <v>2.19</v>
      </c>
      <c r="AQ79" s="6">
        <v>2.2400000000000002</v>
      </c>
      <c r="AR79" s="4"/>
      <c r="AS79" s="4"/>
      <c r="AT79" s="4"/>
    </row>
    <row r="80" spans="13:46" x14ac:dyDescent="0.2">
      <c r="AA80" t="s">
        <v>60</v>
      </c>
      <c r="AN80" s="4"/>
      <c r="AO80" s="4"/>
      <c r="AP80" s="4"/>
      <c r="AQ80" s="4"/>
      <c r="AR80" s="4"/>
      <c r="AS80" s="4"/>
      <c r="AT80" s="4"/>
    </row>
    <row r="81" spans="11:54" x14ac:dyDescent="0.2">
      <c r="V81" s="4" t="s">
        <v>53</v>
      </c>
      <c r="W81" s="4" t="s">
        <v>51</v>
      </c>
      <c r="X81" s="4" t="s">
        <v>58</v>
      </c>
      <c r="AA81" s="6" t="s">
        <v>51</v>
      </c>
      <c r="AB81" s="6" t="s">
        <v>54</v>
      </c>
      <c r="AC81" s="6" t="s">
        <v>55</v>
      </c>
      <c r="AN81" s="4"/>
      <c r="AO81" s="4"/>
      <c r="AP81" s="4"/>
      <c r="AQ81" s="4"/>
      <c r="AR81" s="4"/>
      <c r="AS81" s="4"/>
      <c r="AT81" s="4"/>
    </row>
    <row r="82" spans="11:54" x14ac:dyDescent="0.2">
      <c r="R82" s="4"/>
      <c r="U82" s="4"/>
      <c r="V82" s="4">
        <f>($R$72*$T$72*$S$67)*((($Q$72-W82)/SQRT($S$72^2+($Q$72-W82)^2))+(W82)/SQRT($S$72^2+W82^2))/2</f>
        <v>1.0936258874191262E-3</v>
      </c>
      <c r="W82" s="4">
        <f>H30/100</f>
        <v>0</v>
      </c>
      <c r="X82" s="4">
        <f>I30/-1000</f>
        <v>1.0400000000000001E-3</v>
      </c>
      <c r="AA82" s="21">
        <v>0</v>
      </c>
      <c r="AB82" s="6">
        <f>V82*1000</f>
        <v>1.0936258874191263</v>
      </c>
      <c r="AC82" s="6">
        <f>X82*1000</f>
        <v>1.04</v>
      </c>
      <c r="AM82" t="s">
        <v>123</v>
      </c>
      <c r="AN82" s="6" t="s">
        <v>121</v>
      </c>
      <c r="AO82" s="6">
        <v>100</v>
      </c>
      <c r="AP82" s="6">
        <v>200</v>
      </c>
      <c r="AQ82" s="6">
        <v>300</v>
      </c>
      <c r="AR82" s="4"/>
      <c r="AS82" s="4"/>
      <c r="AT82" s="4"/>
    </row>
    <row r="83" spans="11:54" x14ac:dyDescent="0.2">
      <c r="U83" s="4"/>
      <c r="V83" s="4">
        <f t="shared" ref="V83:V104" si="18">($R$72*$T$72*$S$67)*((($Q$72-W83)/SQRT($S$72^2+($Q$72-W83)^2))+(W83)/SQRT($S$72^2+W83^2))/2</f>
        <v>1.3555245691380215E-3</v>
      </c>
      <c r="W83" s="4">
        <f t="shared" ref="W83:W104" si="19">H31/100</f>
        <v>5.0000000000000001E-3</v>
      </c>
      <c r="X83" s="4">
        <f t="shared" ref="X83:X104" si="20">I31/-1000</f>
        <v>1.2900000000000001E-3</v>
      </c>
      <c r="AA83" s="21">
        <v>5.0000000000000001E-3</v>
      </c>
      <c r="AB83" s="6">
        <f t="shared" ref="AB83:AB104" si="21">V83*1000</f>
        <v>1.3555245691380216</v>
      </c>
      <c r="AC83" s="6">
        <f t="shared" ref="AC83:AC104" si="22">X83*1000</f>
        <v>1.29</v>
      </c>
      <c r="AN83" s="6" t="s">
        <v>119</v>
      </c>
      <c r="AO83" s="6">
        <v>0</v>
      </c>
      <c r="AP83" s="6">
        <v>0</v>
      </c>
      <c r="AQ83" s="6">
        <v>0</v>
      </c>
      <c r="AR83" s="4"/>
      <c r="AS83" s="4"/>
      <c r="AT83" s="4"/>
    </row>
    <row r="84" spans="11:54" x14ac:dyDescent="0.2">
      <c r="T84" s="6"/>
      <c r="U84" s="4"/>
      <c r="V84" s="4">
        <f t="shared" si="18"/>
        <v>1.5776232184195466E-3</v>
      </c>
      <c r="W84" s="4">
        <f t="shared" si="19"/>
        <v>0.01</v>
      </c>
      <c r="X84" s="4">
        <f t="shared" si="20"/>
        <v>1.5200000000000001E-3</v>
      </c>
      <c r="AA84" s="21" t="s">
        <v>66</v>
      </c>
      <c r="AB84" s="6">
        <f t="shared" si="21"/>
        <v>1.5776232184195464</v>
      </c>
      <c r="AC84" s="6">
        <f t="shared" si="22"/>
        <v>1.52</v>
      </c>
      <c r="AN84" s="6" t="s">
        <v>118</v>
      </c>
      <c r="AO84" s="6">
        <v>1.4999999999999999E-2</v>
      </c>
      <c r="AP84" s="6">
        <v>0.03</v>
      </c>
      <c r="AQ84" s="6">
        <v>0.04</v>
      </c>
      <c r="AR84" s="4"/>
      <c r="AS84" s="4"/>
      <c r="AT84" s="4"/>
    </row>
    <row r="85" spans="11:54" x14ac:dyDescent="0.2">
      <c r="T85" s="6"/>
      <c r="U85" s="4"/>
      <c r="V85" s="4">
        <f t="shared" si="18"/>
        <v>1.7443943832344884E-3</v>
      </c>
      <c r="W85" s="4">
        <f t="shared" si="19"/>
        <v>1.4999999999999999E-2</v>
      </c>
      <c r="X85" s="4">
        <f t="shared" si="20"/>
        <v>1.6999999999999999E-3</v>
      </c>
      <c r="AA85" s="21">
        <v>1.4999999999999999E-2</v>
      </c>
      <c r="AB85" s="6">
        <f t="shared" si="21"/>
        <v>1.7443943832344884</v>
      </c>
      <c r="AC85" s="6">
        <f t="shared" si="22"/>
        <v>1.7</v>
      </c>
      <c r="AN85" s="6" t="s">
        <v>117</v>
      </c>
      <c r="AO85" s="6">
        <v>2.5000000000000001E-2</v>
      </c>
      <c r="AP85" s="6">
        <v>5.5E-2</v>
      </c>
      <c r="AQ85" s="6">
        <v>8.5000000000000006E-2</v>
      </c>
      <c r="AR85" s="4"/>
      <c r="AS85" s="4"/>
      <c r="AT85" s="4"/>
    </row>
    <row r="86" spans="11:54" x14ac:dyDescent="0.2">
      <c r="U86" s="4"/>
      <c r="V86" s="4">
        <f t="shared" si="18"/>
        <v>1.8614484917686234E-3</v>
      </c>
      <c r="W86" s="4">
        <f t="shared" si="19"/>
        <v>0.02</v>
      </c>
      <c r="X86" s="4">
        <f t="shared" si="20"/>
        <v>1.89E-3</v>
      </c>
      <c r="AA86" s="21" t="s">
        <v>67</v>
      </c>
      <c r="AB86" s="6">
        <f t="shared" si="21"/>
        <v>1.8614484917686234</v>
      </c>
      <c r="AC86" s="6">
        <f t="shared" si="22"/>
        <v>1.89</v>
      </c>
      <c r="AN86" s="4"/>
      <c r="AO86" s="4"/>
      <c r="AP86" s="4"/>
      <c r="AQ86" s="4"/>
      <c r="AR86" s="4"/>
      <c r="AS86" s="4"/>
      <c r="AT86" s="4"/>
    </row>
    <row r="87" spans="11:54" x14ac:dyDescent="0.2">
      <c r="U87" s="4"/>
      <c r="V87" s="4">
        <f t="shared" si="18"/>
        <v>1.9413811783466992E-3</v>
      </c>
      <c r="W87" s="4">
        <f t="shared" si="19"/>
        <v>2.5000000000000001E-2</v>
      </c>
      <c r="X87" s="4">
        <f t="shared" si="20"/>
        <v>2E-3</v>
      </c>
      <c r="AA87" s="21">
        <v>2.5000000000000001E-2</v>
      </c>
      <c r="AB87" s="6">
        <f t="shared" si="21"/>
        <v>1.9413811783466992</v>
      </c>
      <c r="AC87" s="6">
        <f t="shared" si="22"/>
        <v>2</v>
      </c>
      <c r="AN87" s="4"/>
      <c r="AO87" s="4"/>
      <c r="AP87" s="4"/>
      <c r="AQ87" s="4"/>
      <c r="AR87" s="4"/>
      <c r="AS87" s="4"/>
      <c r="AT87" s="4"/>
    </row>
    <row r="88" spans="11:54" x14ac:dyDescent="0.2">
      <c r="R88" s="45" t="s">
        <v>1</v>
      </c>
      <c r="S88" s="45" t="s">
        <v>3</v>
      </c>
      <c r="T88" s="6" t="s">
        <v>5</v>
      </c>
      <c r="U88" s="4"/>
      <c r="V88" s="4">
        <f t="shared" si="18"/>
        <v>1.9955336583933896E-3</v>
      </c>
      <c r="W88" s="4">
        <f t="shared" si="19"/>
        <v>0.03</v>
      </c>
      <c r="X88" s="4">
        <f t="shared" si="20"/>
        <v>2.0899999999999998E-3</v>
      </c>
      <c r="AA88" s="21" t="s">
        <v>68</v>
      </c>
      <c r="AB88" s="6">
        <f t="shared" si="21"/>
        <v>1.9955336583933896</v>
      </c>
      <c r="AC88" s="6">
        <f t="shared" si="22"/>
        <v>2.09</v>
      </c>
    </row>
    <row r="89" spans="11:54" x14ac:dyDescent="0.2">
      <c r="K89" s="4"/>
      <c r="M89" s="4" t="s">
        <v>135</v>
      </c>
      <c r="N89" s="4"/>
      <c r="O89" s="4"/>
      <c r="Q89" s="6" t="s">
        <v>132</v>
      </c>
      <c r="R89" s="6">
        <v>100</v>
      </c>
      <c r="S89" s="6">
        <v>200</v>
      </c>
      <c r="T89" s="6">
        <v>300</v>
      </c>
      <c r="U89" s="4"/>
      <c r="V89" s="4">
        <f t="shared" si="18"/>
        <v>2.0320062029326813E-3</v>
      </c>
      <c r="W89" s="4">
        <f t="shared" si="19"/>
        <v>3.5000000000000003E-2</v>
      </c>
      <c r="X89" s="4">
        <f t="shared" si="20"/>
        <v>2.14E-3</v>
      </c>
      <c r="AA89" s="21">
        <v>3.5000000000000003E-2</v>
      </c>
      <c r="AB89" s="6">
        <f t="shared" si="21"/>
        <v>2.0320062029326813</v>
      </c>
      <c r="AC89" s="6">
        <f t="shared" si="22"/>
        <v>2.14</v>
      </c>
    </row>
    <row r="90" spans="11:54" x14ac:dyDescent="0.2">
      <c r="K90" s="4"/>
      <c r="L90" s="4"/>
      <c r="M90" s="4"/>
      <c r="N90" s="4"/>
      <c r="O90" s="4"/>
      <c r="Q90" s="6" t="s">
        <v>129</v>
      </c>
      <c r="R90" s="6">
        <f>100/R93</f>
        <v>1818.1818181818182</v>
      </c>
      <c r="S90" s="6">
        <f>200/S93</f>
        <v>1851.851851851852</v>
      </c>
      <c r="T90" s="6">
        <f>300/T93</f>
        <v>1875</v>
      </c>
      <c r="U90" s="4"/>
      <c r="V90" s="4">
        <f t="shared" si="18"/>
        <v>2.0560805271531723E-3</v>
      </c>
      <c r="W90" s="4">
        <f t="shared" si="19"/>
        <v>0.04</v>
      </c>
      <c r="X90" s="4">
        <f t="shared" si="20"/>
        <v>2.1800000000000001E-3</v>
      </c>
      <c r="AA90" s="21" t="s">
        <v>69</v>
      </c>
      <c r="AB90" s="6">
        <f t="shared" si="21"/>
        <v>2.0560805271531724</v>
      </c>
      <c r="AC90" s="6">
        <f t="shared" si="22"/>
        <v>2.1800000000000002</v>
      </c>
      <c r="AN90">
        <v>100</v>
      </c>
      <c r="AO90" s="6" t="s">
        <v>122</v>
      </c>
      <c r="AP90" s="6" t="s">
        <v>121</v>
      </c>
      <c r="AQ90" s="19" t="s">
        <v>143</v>
      </c>
      <c r="AS90">
        <v>200</v>
      </c>
      <c r="AT90" s="6" t="s">
        <v>122</v>
      </c>
      <c r="AU90" s="6" t="s">
        <v>121</v>
      </c>
      <c r="AV90" s="19" t="s">
        <v>143</v>
      </c>
      <c r="AY90">
        <v>300</v>
      </c>
      <c r="AZ90" s="6" t="s">
        <v>122</v>
      </c>
      <c r="BA90" s="6" t="s">
        <v>121</v>
      </c>
      <c r="BB90" s="19" t="s">
        <v>143</v>
      </c>
    </row>
    <row r="91" spans="11:54" x14ac:dyDescent="0.2">
      <c r="K91" s="4"/>
      <c r="L91" s="4"/>
      <c r="M91" s="4"/>
      <c r="N91" s="4"/>
      <c r="O91" s="4"/>
      <c r="Q91" s="6" t="s">
        <v>133</v>
      </c>
      <c r="R91" s="6">
        <f>R89*0.001/(R93)^2</f>
        <v>33.057851239669425</v>
      </c>
      <c r="S91" s="6">
        <f>S89*0.001/(S93)^2</f>
        <v>17.146776406035666</v>
      </c>
      <c r="T91" s="6">
        <f>T89*0.001/(T93)^2</f>
        <v>11.718749999999998</v>
      </c>
      <c r="V91" s="4">
        <f t="shared" si="18"/>
        <v>2.0710369187528477E-3</v>
      </c>
      <c r="W91" s="4">
        <f t="shared" si="19"/>
        <v>4.4999999999999998E-2</v>
      </c>
      <c r="X91" s="4">
        <f t="shared" si="20"/>
        <v>2.1900000000000001E-3</v>
      </c>
      <c r="AA91" s="21">
        <v>4.4999999999999998E-2</v>
      </c>
      <c r="AB91" s="6">
        <f t="shared" si="21"/>
        <v>2.0710369187528479</v>
      </c>
      <c r="AC91" s="6">
        <f t="shared" si="22"/>
        <v>2.19</v>
      </c>
      <c r="AN91" s="6" t="s">
        <v>119</v>
      </c>
      <c r="AO91" s="6">
        <v>1</v>
      </c>
      <c r="AP91" s="6">
        <v>0</v>
      </c>
      <c r="AQ91" s="19">
        <v>0.89568580956764743</v>
      </c>
      <c r="AS91" s="6" t="s">
        <v>119</v>
      </c>
      <c r="AT91" s="6">
        <v>1.04</v>
      </c>
      <c r="AU91" s="6">
        <v>0</v>
      </c>
      <c r="AV91" s="19">
        <v>1.0936258874191263</v>
      </c>
      <c r="AY91" s="6" t="s">
        <v>119</v>
      </c>
      <c r="AZ91" s="6">
        <v>1.02</v>
      </c>
      <c r="BA91" s="6">
        <v>0</v>
      </c>
      <c r="BB91" s="19">
        <v>1.1106181455671573</v>
      </c>
    </row>
    <row r="92" spans="11:54" x14ac:dyDescent="0.2">
      <c r="K92" s="4">
        <v>100</v>
      </c>
      <c r="L92" s="4" t="s">
        <v>136</v>
      </c>
      <c r="M92" s="4" t="s">
        <v>100</v>
      </c>
      <c r="N92" s="4" t="s">
        <v>137</v>
      </c>
      <c r="O92" s="4" t="s">
        <v>114</v>
      </c>
      <c r="Q92" s="6" t="s">
        <v>114</v>
      </c>
      <c r="R92" s="6">
        <f>O93</f>
        <v>2.1291999999999998E-2</v>
      </c>
      <c r="S92" s="6">
        <f>O96</f>
        <v>2.4514999999999999E-2</v>
      </c>
      <c r="T92" s="6">
        <f>O99</f>
        <v>2.3654999999999999E-2</v>
      </c>
      <c r="V92" s="4">
        <f t="shared" si="18"/>
        <v>2.0787929124329043E-3</v>
      </c>
      <c r="W92" s="4">
        <f t="shared" si="19"/>
        <v>0.05</v>
      </c>
      <c r="X92" s="4">
        <f t="shared" si="20"/>
        <v>2.1900000000000001E-3</v>
      </c>
      <c r="AA92" s="21" t="s">
        <v>70</v>
      </c>
      <c r="AB92" s="6">
        <f t="shared" si="21"/>
        <v>2.0787929124329043</v>
      </c>
      <c r="AC92" s="6">
        <f t="shared" si="22"/>
        <v>2.19</v>
      </c>
      <c r="AN92" s="6" t="s">
        <v>118</v>
      </c>
      <c r="AO92" s="6">
        <v>1.76</v>
      </c>
      <c r="AP92" s="6">
        <v>1.4999999999999999E-2</v>
      </c>
      <c r="AQ92" s="19">
        <v>1.415126088974292</v>
      </c>
      <c r="AS92" s="6" t="s">
        <v>118</v>
      </c>
      <c r="AT92" s="6">
        <v>2.09</v>
      </c>
      <c r="AU92" s="6">
        <v>0.03</v>
      </c>
      <c r="AV92" s="19">
        <v>1.9955336583933896</v>
      </c>
      <c r="AY92" s="6" t="s">
        <v>118</v>
      </c>
      <c r="AZ92" s="6">
        <v>2.19</v>
      </c>
      <c r="BA92" s="6">
        <v>0.04</v>
      </c>
      <c r="BB92" s="19">
        <v>2.100163096116932</v>
      </c>
    </row>
    <row r="93" spans="11:54" x14ac:dyDescent="0.2">
      <c r="K93" s="4"/>
      <c r="L93" s="4">
        <v>2.6797000000000001E-2</v>
      </c>
      <c r="M93" s="4">
        <v>1.9117599999999999</v>
      </c>
      <c r="N93" s="4">
        <v>1.3236E-2</v>
      </c>
      <c r="O93" s="4">
        <v>2.1291999999999998E-2</v>
      </c>
      <c r="Q93" s="6" t="s">
        <v>49</v>
      </c>
      <c r="R93" s="6">
        <v>5.5E-2</v>
      </c>
      <c r="S93" s="6">
        <v>0.108</v>
      </c>
      <c r="T93" s="6">
        <v>0.16</v>
      </c>
      <c r="V93" s="4">
        <f t="shared" si="18"/>
        <v>2.0802990283065822E-3</v>
      </c>
      <c r="W93" s="4">
        <f t="shared" si="19"/>
        <v>5.5E-2</v>
      </c>
      <c r="X93" s="4">
        <f t="shared" si="20"/>
        <v>2.1900000000000001E-3</v>
      </c>
      <c r="AA93" s="21">
        <f t="shared" ref="AA93:AA103" si="23">W93</f>
        <v>5.5E-2</v>
      </c>
      <c r="AB93" s="6">
        <f t="shared" si="21"/>
        <v>2.0802990283065821</v>
      </c>
      <c r="AC93" s="6">
        <f t="shared" si="22"/>
        <v>2.19</v>
      </c>
      <c r="AN93" s="6" t="s">
        <v>117</v>
      </c>
      <c r="AO93" s="6">
        <v>1.88</v>
      </c>
      <c r="AP93" s="6">
        <v>2.5000000000000001E-2</v>
      </c>
      <c r="AQ93" s="19">
        <v>1.5283684154974952</v>
      </c>
      <c r="AS93" s="6" t="s">
        <v>117</v>
      </c>
      <c r="AT93" s="6">
        <v>2.19</v>
      </c>
      <c r="AU93" s="6">
        <v>5.5E-2</v>
      </c>
      <c r="AV93" s="19">
        <v>2.0802990283065821</v>
      </c>
      <c r="AY93" s="6" t="s">
        <v>117</v>
      </c>
      <c r="AZ93" s="6">
        <v>2.2400000000000002</v>
      </c>
      <c r="BA93" s="6">
        <v>8.5000000000000006E-2</v>
      </c>
      <c r="BB93" s="19">
        <v>2.1685646912116998</v>
      </c>
    </row>
    <row r="94" spans="11:54" x14ac:dyDescent="0.2">
      <c r="K94" s="4"/>
      <c r="L94" s="4"/>
      <c r="M94" s="4"/>
      <c r="N94" s="4"/>
      <c r="O94" s="4"/>
      <c r="Q94" s="6" t="s">
        <v>100</v>
      </c>
      <c r="R94" s="6">
        <v>1.9117599999999999</v>
      </c>
      <c r="S94" s="6">
        <v>2.226667</v>
      </c>
      <c r="T94" s="6">
        <v>2.2393939999999999</v>
      </c>
      <c r="V94" s="4">
        <f t="shared" si="18"/>
        <v>2.0757360518533852E-3</v>
      </c>
      <c r="W94" s="4">
        <f t="shared" si="19"/>
        <v>0.06</v>
      </c>
      <c r="X94" s="4">
        <f t="shared" si="20"/>
        <v>2.1800000000000001E-3</v>
      </c>
      <c r="AA94" s="21" t="s">
        <v>71</v>
      </c>
      <c r="AB94" s="6">
        <f t="shared" si="21"/>
        <v>2.0757360518533852</v>
      </c>
      <c r="AC94" s="6">
        <f t="shared" si="22"/>
        <v>2.1800000000000002</v>
      </c>
      <c r="AN94" s="4"/>
      <c r="AO94" s="4"/>
    </row>
    <row r="95" spans="11:54" x14ac:dyDescent="0.2">
      <c r="K95" s="4">
        <v>200</v>
      </c>
      <c r="L95" s="4" t="s">
        <v>136</v>
      </c>
      <c r="M95" s="4" t="s">
        <v>100</v>
      </c>
      <c r="N95" s="4" t="s">
        <v>137</v>
      </c>
      <c r="O95" s="4" t="s">
        <v>114</v>
      </c>
      <c r="V95" s="4">
        <f t="shared" si="18"/>
        <v>2.064552413574504E-3</v>
      </c>
      <c r="W95" s="4">
        <f t="shared" si="19"/>
        <v>6.5000000000000002E-2</v>
      </c>
      <c r="X95" s="4">
        <f t="shared" si="20"/>
        <v>2.16E-3</v>
      </c>
      <c r="AA95" s="21">
        <f t="shared" si="23"/>
        <v>6.5000000000000002E-2</v>
      </c>
      <c r="AB95" s="6">
        <f t="shared" si="21"/>
        <v>2.0645524135745039</v>
      </c>
      <c r="AC95" s="6">
        <f t="shared" si="22"/>
        <v>2.16</v>
      </c>
    </row>
    <row r="96" spans="11:54" x14ac:dyDescent="0.2">
      <c r="K96" s="4"/>
      <c r="L96" s="4">
        <v>7.3333000000000001E-3</v>
      </c>
      <c r="M96" s="4">
        <v>2.226667</v>
      </c>
      <c r="N96" s="4">
        <v>1.5211000000000001E-2</v>
      </c>
      <c r="O96" s="4">
        <v>2.4514999999999999E-2</v>
      </c>
      <c r="Q96" s="6" t="s">
        <v>52</v>
      </c>
      <c r="R96" s="6">
        <f>M93/(1000*R90)</f>
        <v>1.0514679999999998E-6</v>
      </c>
      <c r="S96" s="6">
        <f>M96/(1000*S90)</f>
        <v>1.2024001799999999E-6</v>
      </c>
      <c r="T96" s="6">
        <f>M99/(1000*T90)</f>
        <v>1.1943434666666667E-6</v>
      </c>
      <c r="V96" s="4">
        <f t="shared" si="18"/>
        <v>2.0453499559472E-3</v>
      </c>
      <c r="W96" s="4">
        <f t="shared" si="19"/>
        <v>7.0000000000000007E-2</v>
      </c>
      <c r="X96" s="4">
        <f t="shared" si="20"/>
        <v>2.15E-3</v>
      </c>
      <c r="AA96" s="21" t="s">
        <v>72</v>
      </c>
      <c r="AB96" s="6">
        <f t="shared" si="21"/>
        <v>2.0453499559471999</v>
      </c>
      <c r="AC96" s="6">
        <f t="shared" si="22"/>
        <v>2.15</v>
      </c>
    </row>
    <row r="97" spans="11:54" x14ac:dyDescent="0.2">
      <c r="K97" s="4"/>
      <c r="L97" s="4"/>
      <c r="M97" s="4"/>
      <c r="N97" s="4"/>
      <c r="O97" s="4"/>
      <c r="Q97" s="6" t="s">
        <v>131</v>
      </c>
      <c r="R97" s="6">
        <f>1/1000 * ((1/R90)*R92 + (R94/R90^2)*R91)</f>
        <v>3.0828200000000001E-8</v>
      </c>
      <c r="S97" s="6">
        <f>1/1000 * ((1/S90)*S92 + (S94/S90^2)*S91)</f>
        <v>2.4371434999999997E-8</v>
      </c>
      <c r="T97" s="6">
        <f t="shared" ref="T97" si="24">1/1000 * ((1/T90)*T92 + (T94/T90^2)*T91)</f>
        <v>2.0080646666666664E-8</v>
      </c>
      <c r="V97" s="4">
        <f t="shared" si="18"/>
        <v>2.0155936970611566E-3</v>
      </c>
      <c r="W97" s="4">
        <f t="shared" si="19"/>
        <v>7.4999999999999997E-2</v>
      </c>
      <c r="X97" s="4">
        <f t="shared" si="20"/>
        <v>2.1199999999999999E-3</v>
      </c>
      <c r="AA97" s="21">
        <f t="shared" si="23"/>
        <v>7.4999999999999997E-2</v>
      </c>
      <c r="AB97" s="6">
        <f t="shared" si="21"/>
        <v>2.0155936970611568</v>
      </c>
      <c r="AC97" s="6">
        <f t="shared" si="22"/>
        <v>2.12</v>
      </c>
      <c r="AN97" s="46" t="s">
        <v>119</v>
      </c>
      <c r="AO97" s="46" t="s">
        <v>122</v>
      </c>
      <c r="AP97" s="47" t="s">
        <v>54</v>
      </c>
      <c r="AU97" s="46" t="s">
        <v>118</v>
      </c>
      <c r="AV97" s="46" t="s">
        <v>122</v>
      </c>
      <c r="AW97" s="47" t="s">
        <v>54</v>
      </c>
      <c r="AZ97" s="46" t="s">
        <v>117</v>
      </c>
      <c r="BA97" s="46" t="s">
        <v>122</v>
      </c>
      <c r="BB97" s="47" t="s">
        <v>54</v>
      </c>
    </row>
    <row r="98" spans="11:54" x14ac:dyDescent="0.2">
      <c r="K98" s="4">
        <v>300</v>
      </c>
      <c r="L98" s="4" t="s">
        <v>136</v>
      </c>
      <c r="M98" s="4" t="s">
        <v>100</v>
      </c>
      <c r="N98" s="4" t="s">
        <v>137</v>
      </c>
      <c r="O98" s="4" t="s">
        <v>114</v>
      </c>
      <c r="V98" s="4">
        <f t="shared" si="18"/>
        <v>1.9710980313921321E-3</v>
      </c>
      <c r="W98" s="4">
        <f t="shared" si="19"/>
        <v>0.08</v>
      </c>
      <c r="X98" s="4">
        <f t="shared" si="20"/>
        <v>2.0800000000000003E-3</v>
      </c>
      <c r="AA98" s="21" t="s">
        <v>73</v>
      </c>
      <c r="AB98" s="6">
        <f t="shared" si="21"/>
        <v>1.971098031392132</v>
      </c>
      <c r="AC98" s="6">
        <f t="shared" si="22"/>
        <v>2.08</v>
      </c>
      <c r="AN98" s="46">
        <v>100</v>
      </c>
      <c r="AO98" s="46">
        <v>1</v>
      </c>
      <c r="AP98" s="47">
        <v>0.89568580956764743</v>
      </c>
      <c r="AU98" s="46">
        <v>100</v>
      </c>
      <c r="AV98" s="46">
        <v>1.76</v>
      </c>
      <c r="AW98" s="47">
        <v>1.415126088974292</v>
      </c>
      <c r="AZ98" s="46">
        <v>100</v>
      </c>
      <c r="BA98" s="46">
        <v>1.88</v>
      </c>
      <c r="BB98" s="47">
        <v>1.5283684154974952</v>
      </c>
    </row>
    <row r="99" spans="11:54" x14ac:dyDescent="0.2">
      <c r="K99" s="4"/>
      <c r="L99" s="4">
        <v>2.53333E-2</v>
      </c>
      <c r="M99" s="4">
        <v>2.2393939999999999</v>
      </c>
      <c r="N99" s="4">
        <v>1.5298000000000001E-2</v>
      </c>
      <c r="O99" s="4">
        <v>2.3654999999999999E-2</v>
      </c>
      <c r="R99">
        <v>3.0828200000000001E-8</v>
      </c>
      <c r="S99">
        <v>2.4371435E-8</v>
      </c>
      <c r="T99">
        <v>2.0080646666666664E-8</v>
      </c>
      <c r="V99" s="4">
        <f t="shared" si="18"/>
        <v>1.9052737864868475E-3</v>
      </c>
      <c r="W99" s="4">
        <f t="shared" si="19"/>
        <v>8.5000000000000006E-2</v>
      </c>
      <c r="X99" s="4">
        <f t="shared" si="20"/>
        <v>2E-3</v>
      </c>
      <c r="AA99" s="21">
        <f t="shared" si="23"/>
        <v>8.5000000000000006E-2</v>
      </c>
      <c r="AB99" s="6">
        <f t="shared" si="21"/>
        <v>1.9052737864868474</v>
      </c>
      <c r="AC99" s="6">
        <f t="shared" si="22"/>
        <v>2</v>
      </c>
      <c r="AN99" s="46">
        <v>200</v>
      </c>
      <c r="AO99" s="46">
        <v>1.04</v>
      </c>
      <c r="AP99" s="47">
        <v>1.0936258874191263</v>
      </c>
      <c r="AU99" s="46">
        <v>200</v>
      </c>
      <c r="AV99" s="46">
        <v>2.09</v>
      </c>
      <c r="AW99" s="47">
        <v>1.9955336583933896</v>
      </c>
      <c r="AZ99" s="46">
        <v>200</v>
      </c>
      <c r="BA99" s="46">
        <v>2.19</v>
      </c>
      <c r="BB99" s="47">
        <v>2.0802990283065821</v>
      </c>
    </row>
    <row r="100" spans="11:54" x14ac:dyDescent="0.2">
      <c r="V100" s="4">
        <f t="shared" si="18"/>
        <v>1.8083750262861114E-3</v>
      </c>
      <c r="W100" s="4">
        <f t="shared" si="19"/>
        <v>0.09</v>
      </c>
      <c r="X100" s="4">
        <f t="shared" si="20"/>
        <v>1.91E-3</v>
      </c>
      <c r="AA100" s="21" t="s">
        <v>74</v>
      </c>
      <c r="AB100" s="6">
        <f t="shared" si="21"/>
        <v>1.8083750262861114</v>
      </c>
      <c r="AC100" s="6">
        <f t="shared" si="22"/>
        <v>1.91</v>
      </c>
      <c r="AN100" s="46">
        <v>300</v>
      </c>
      <c r="AO100" s="46">
        <v>1.02</v>
      </c>
      <c r="AP100" s="47">
        <v>1.1106181455671573</v>
      </c>
      <c r="AU100" s="46">
        <v>300</v>
      </c>
      <c r="AV100" s="46">
        <v>2.19</v>
      </c>
      <c r="AW100" s="47">
        <v>2.100163096116932</v>
      </c>
      <c r="AZ100" s="46">
        <v>300</v>
      </c>
      <c r="BA100" s="46">
        <v>2.2400000000000002</v>
      </c>
      <c r="BB100" s="47">
        <v>2.1685646912116998</v>
      </c>
    </row>
    <row r="101" spans="11:54" x14ac:dyDescent="0.2">
      <c r="V101" s="4">
        <f t="shared" si="18"/>
        <v>1.6678934589081098E-3</v>
      </c>
      <c r="W101" s="4">
        <f t="shared" si="19"/>
        <v>9.5000000000000001E-2</v>
      </c>
      <c r="X101" s="4">
        <f t="shared" si="20"/>
        <v>1.7600000000000001E-3</v>
      </c>
      <c r="AA101" s="21">
        <f t="shared" si="23"/>
        <v>9.5000000000000001E-2</v>
      </c>
      <c r="AB101" s="6">
        <f t="shared" si="21"/>
        <v>1.6678934589081098</v>
      </c>
      <c r="AC101" s="6">
        <f t="shared" si="22"/>
        <v>1.76</v>
      </c>
    </row>
    <row r="102" spans="11:54" x14ac:dyDescent="0.2">
      <c r="Q102" t="s">
        <v>134</v>
      </c>
      <c r="V102" s="4">
        <f t="shared" si="18"/>
        <v>1.4731728481385588E-3</v>
      </c>
      <c r="W102" s="4">
        <f t="shared" si="19"/>
        <v>0.1</v>
      </c>
      <c r="X102" s="4">
        <f t="shared" si="20"/>
        <v>1.5900000000000001E-3</v>
      </c>
      <c r="AA102" s="21" t="s">
        <v>75</v>
      </c>
      <c r="AB102" s="6">
        <f t="shared" si="21"/>
        <v>1.4731728481385589</v>
      </c>
      <c r="AC102" s="6">
        <f t="shared" si="22"/>
        <v>1.59</v>
      </c>
    </row>
    <row r="103" spans="11:54" x14ac:dyDescent="0.2">
      <c r="V103" s="4">
        <f t="shared" si="18"/>
        <v>1.227476385675511E-3</v>
      </c>
      <c r="W103" s="4">
        <f t="shared" si="19"/>
        <v>0.105</v>
      </c>
      <c r="X103" s="4">
        <f t="shared" si="20"/>
        <v>1.3500000000000001E-3</v>
      </c>
      <c r="AA103" s="21">
        <f t="shared" si="23"/>
        <v>0.105</v>
      </c>
      <c r="AB103" s="6">
        <f t="shared" si="21"/>
        <v>1.2274763856755109</v>
      </c>
      <c r="AC103" s="6">
        <f t="shared" si="22"/>
        <v>1.35</v>
      </c>
    </row>
    <row r="104" spans="11:54" x14ac:dyDescent="0.2">
      <c r="V104" s="4">
        <f t="shared" si="18"/>
        <v>9.5971526174348418E-4</v>
      </c>
      <c r="W104" s="4">
        <f t="shared" si="19"/>
        <v>0.11</v>
      </c>
      <c r="X104" s="4">
        <f t="shared" si="20"/>
        <v>1.08E-3</v>
      </c>
      <c r="AA104" s="21" t="s">
        <v>76</v>
      </c>
      <c r="AB104" s="6">
        <f t="shared" si="21"/>
        <v>0.9597152617434842</v>
      </c>
      <c r="AC104" s="6">
        <f t="shared" si="22"/>
        <v>1.08</v>
      </c>
    </row>
    <row r="105" spans="11:54" x14ac:dyDescent="0.2">
      <c r="X105" s="4"/>
    </row>
    <row r="106" spans="11:54" x14ac:dyDescent="0.2">
      <c r="X106" s="4"/>
      <c r="AA106" t="s">
        <v>61</v>
      </c>
    </row>
    <row r="107" spans="11:54" x14ac:dyDescent="0.2">
      <c r="V107" s="4" t="s">
        <v>53</v>
      </c>
      <c r="W107" s="4" t="s">
        <v>51</v>
      </c>
      <c r="X107" s="4" t="s">
        <v>58</v>
      </c>
      <c r="Y107" s="4"/>
      <c r="Z107" s="4"/>
      <c r="AA107" s="6" t="s">
        <v>51</v>
      </c>
      <c r="AB107" s="6" t="s">
        <v>54</v>
      </c>
      <c r="AC107" s="6" t="s">
        <v>55</v>
      </c>
    </row>
    <row r="108" spans="11:54" x14ac:dyDescent="0.2">
      <c r="V108" s="4">
        <f>($R$73*$T$73*$S$67)*((($Q$73-W108)/SQRT($S$73^2+($Q$73-W108)^2))+(W108)/SQRT($S$73^2+W108^2))/2</f>
        <v>1.1106181455671574E-3</v>
      </c>
      <c r="W108" s="4">
        <f>M28/100</f>
        <v>0</v>
      </c>
      <c r="X108" s="4">
        <f>N28/-1000</f>
        <v>1.0200000000000001E-3</v>
      </c>
      <c r="Y108" s="4"/>
      <c r="Z108" s="4"/>
      <c r="AA108" s="21">
        <v>0</v>
      </c>
      <c r="AB108" s="6">
        <f>V108*1000</f>
        <v>1.1106181455671573</v>
      </c>
      <c r="AC108" s="6">
        <f>X108*1000</f>
        <v>1.02</v>
      </c>
    </row>
    <row r="109" spans="11:54" x14ac:dyDescent="0.2">
      <c r="V109" s="4">
        <f t="shared" ref="V109:V140" si="25">($R$73*$T$73*$S$67)*((($Q$73-W109)/SQRT($S$73^2+($Q$73-W109)^2))+(W109)/SQRT($S$73^2+W109^2))/2</f>
        <v>1.3753497755949441E-3</v>
      </c>
      <c r="W109" s="4">
        <f t="shared" ref="W109:W141" si="26">M29/100</f>
        <v>5.0000000000000001E-3</v>
      </c>
      <c r="X109" s="4">
        <f t="shared" ref="X109:X141" si="27">N29/-1000</f>
        <v>1.32E-3</v>
      </c>
      <c r="Y109" s="4"/>
      <c r="Z109" s="4"/>
      <c r="AA109" s="21">
        <v>5.0000000000000001E-3</v>
      </c>
      <c r="AB109" s="6">
        <f t="shared" ref="AB109:AB129" si="28">V109*1000</f>
        <v>1.375349775594944</v>
      </c>
      <c r="AC109" s="6">
        <f t="shared" ref="AC109:AC140" si="29">X109*1000</f>
        <v>1.32</v>
      </c>
    </row>
    <row r="110" spans="11:54" x14ac:dyDescent="0.2">
      <c r="V110" s="4">
        <f t="shared" si="25"/>
        <v>1.600286137624117E-3</v>
      </c>
      <c r="W110" s="4">
        <f t="shared" si="26"/>
        <v>0.01</v>
      </c>
      <c r="X110" s="4">
        <f t="shared" si="27"/>
        <v>1.5499999999999999E-3</v>
      </c>
      <c r="Y110" s="4"/>
      <c r="Z110" s="4"/>
      <c r="AA110" s="21" t="s">
        <v>66</v>
      </c>
      <c r="AB110" s="6">
        <f t="shared" si="28"/>
        <v>1.6002861376241171</v>
      </c>
      <c r="AC110" s="6">
        <f t="shared" si="29"/>
        <v>1.55</v>
      </c>
    </row>
    <row r="111" spans="11:54" x14ac:dyDescent="0.2">
      <c r="V111" s="4">
        <f t="shared" si="25"/>
        <v>1.7698639647756732E-3</v>
      </c>
      <c r="W111" s="4">
        <f t="shared" si="26"/>
        <v>1.4999999999999999E-2</v>
      </c>
      <c r="X111" s="4">
        <f t="shared" si="27"/>
        <v>1.74E-3</v>
      </c>
      <c r="Y111" s="4"/>
      <c r="Z111" s="4"/>
      <c r="AA111" s="21">
        <v>1.4999999999999999E-2</v>
      </c>
      <c r="AB111" s="6">
        <f t="shared" si="28"/>
        <v>1.7698639647756731</v>
      </c>
      <c r="AC111" s="6">
        <f t="shared" si="29"/>
        <v>1.74</v>
      </c>
      <c r="AM111" s="6" t="s">
        <v>121</v>
      </c>
      <c r="AN111" s="6" t="s">
        <v>122</v>
      </c>
    </row>
    <row r="112" spans="11:54" x14ac:dyDescent="0.2">
      <c r="V112" s="4">
        <f t="shared" si="25"/>
        <v>1.8897938766539615E-3</v>
      </c>
      <c r="W112" s="4">
        <f t="shared" si="26"/>
        <v>0.02</v>
      </c>
      <c r="X112" s="4">
        <f t="shared" si="27"/>
        <v>1.9199999999999998E-3</v>
      </c>
      <c r="Y112" s="4"/>
      <c r="Z112" s="4"/>
      <c r="AA112" s="21" t="s">
        <v>67</v>
      </c>
      <c r="AB112" s="6">
        <f t="shared" si="28"/>
        <v>1.8897938766539615</v>
      </c>
      <c r="AC112" s="6">
        <f t="shared" si="29"/>
        <v>1.92</v>
      </c>
      <c r="AL112" s="6" t="s">
        <v>119</v>
      </c>
      <c r="AM112" s="6">
        <v>0</v>
      </c>
      <c r="AN112" s="6">
        <v>1.1499999999999999</v>
      </c>
    </row>
    <row r="113" spans="22:55" x14ac:dyDescent="0.2">
      <c r="V113" s="4">
        <f t="shared" si="25"/>
        <v>1.9728321423999008E-3</v>
      </c>
      <c r="W113" s="4">
        <f t="shared" si="26"/>
        <v>2.5000000000000001E-2</v>
      </c>
      <c r="X113" s="4">
        <f t="shared" si="27"/>
        <v>2.0299999999999997E-3</v>
      </c>
      <c r="Y113" s="4"/>
      <c r="Z113" s="4"/>
      <c r="AA113" s="21">
        <v>2.5000000000000001E-2</v>
      </c>
      <c r="AB113" s="6">
        <f t="shared" si="28"/>
        <v>1.9728321423999007</v>
      </c>
      <c r="AC113" s="6">
        <f t="shared" si="29"/>
        <v>2.0299999999999998</v>
      </c>
      <c r="AK113" t="s">
        <v>124</v>
      </c>
      <c r="AL113" s="6" t="s">
        <v>118</v>
      </c>
      <c r="AM113" s="6">
        <v>1.4999999999999999E-2</v>
      </c>
      <c r="AN113" s="6">
        <v>1.76</v>
      </c>
    </row>
    <row r="114" spans="22:55" x14ac:dyDescent="0.2">
      <c r="V114" s="4">
        <f t="shared" si="25"/>
        <v>2.0305015271424105E-3</v>
      </c>
      <c r="W114" s="4">
        <f t="shared" si="26"/>
        <v>0.03</v>
      </c>
      <c r="X114" s="4">
        <f t="shared" si="27"/>
        <v>2.1099999999999999E-3</v>
      </c>
      <c r="Y114" s="4"/>
      <c r="Z114" s="4"/>
      <c r="AA114" s="21" t="s">
        <v>68</v>
      </c>
      <c r="AB114" s="6">
        <f t="shared" si="28"/>
        <v>2.0305015271424107</v>
      </c>
      <c r="AC114" s="6">
        <f t="shared" si="29"/>
        <v>2.11</v>
      </c>
      <c r="AL114" s="6" t="s">
        <v>117</v>
      </c>
      <c r="AM114" s="6">
        <v>2.5000000000000001E-2</v>
      </c>
      <c r="AN114" s="6">
        <v>1.88</v>
      </c>
    </row>
    <row r="115" spans="22:55" x14ac:dyDescent="0.2">
      <c r="V115" s="4">
        <f t="shared" si="25"/>
        <v>2.0711043176800613E-3</v>
      </c>
      <c r="W115" s="4">
        <f t="shared" si="26"/>
        <v>3.5000000000000003E-2</v>
      </c>
      <c r="X115" s="4">
        <f t="shared" si="27"/>
        <v>2.15E-3</v>
      </c>
      <c r="Y115" s="4"/>
      <c r="Z115" s="4"/>
      <c r="AA115" s="21">
        <v>3.5000000000000003E-2</v>
      </c>
      <c r="AB115" s="6">
        <f t="shared" si="28"/>
        <v>2.0711043176800614</v>
      </c>
      <c r="AC115" s="6">
        <f t="shared" si="29"/>
        <v>2.15</v>
      </c>
      <c r="BB115" s="6"/>
      <c r="BC115" s="6"/>
    </row>
    <row r="116" spans="22:55" x14ac:dyDescent="0.2">
      <c r="V116" s="4">
        <f t="shared" si="25"/>
        <v>2.1001630961169321E-3</v>
      </c>
      <c r="W116" s="4">
        <f t="shared" si="26"/>
        <v>0.04</v>
      </c>
      <c r="X116" s="4">
        <f t="shared" si="27"/>
        <v>2.1900000000000001E-3</v>
      </c>
      <c r="Y116" s="4"/>
      <c r="Z116" s="4"/>
      <c r="AA116" s="21" t="s">
        <v>69</v>
      </c>
      <c r="AB116" s="6">
        <f t="shared" si="28"/>
        <v>2.100163096116932</v>
      </c>
      <c r="AC116" s="6">
        <f t="shared" si="29"/>
        <v>2.19</v>
      </c>
      <c r="AL116" s="6" t="s">
        <v>119</v>
      </c>
      <c r="AM116" s="6">
        <v>0</v>
      </c>
      <c r="AN116" s="6">
        <v>1.04</v>
      </c>
      <c r="AZ116" s="6"/>
      <c r="BA116" s="6"/>
      <c r="BB116" s="6"/>
      <c r="BC116" s="6"/>
    </row>
    <row r="117" spans="22:55" x14ac:dyDescent="0.2">
      <c r="V117" s="4">
        <f t="shared" si="25"/>
        <v>2.12126632512004E-3</v>
      </c>
      <c r="W117" s="4">
        <f t="shared" si="26"/>
        <v>4.4999999999999998E-2</v>
      </c>
      <c r="X117" s="4">
        <f t="shared" si="27"/>
        <v>2.2000000000000001E-3</v>
      </c>
      <c r="Y117" s="4"/>
      <c r="Z117" s="4"/>
      <c r="AA117" s="21">
        <v>4.4999999999999998E-2</v>
      </c>
      <c r="AB117" s="6">
        <f t="shared" si="28"/>
        <v>2.1212663251200401</v>
      </c>
      <c r="AC117" s="6">
        <f t="shared" si="29"/>
        <v>2.2000000000000002</v>
      </c>
      <c r="AK117" t="s">
        <v>125</v>
      </c>
      <c r="AL117" s="6" t="s">
        <v>118</v>
      </c>
      <c r="AM117" s="6">
        <v>0.03</v>
      </c>
      <c r="AN117" s="6">
        <v>2.09</v>
      </c>
      <c r="AZ117" s="6"/>
      <c r="BA117" s="6"/>
      <c r="BB117" s="6"/>
      <c r="BC117" s="6"/>
    </row>
    <row r="118" spans="22:55" x14ac:dyDescent="0.2">
      <c r="V118" s="4">
        <f t="shared" si="25"/>
        <v>2.1367467266377033E-3</v>
      </c>
      <c r="W118" s="4">
        <f t="shared" si="26"/>
        <v>0.05</v>
      </c>
      <c r="X118" s="4">
        <f t="shared" si="27"/>
        <v>2.2200000000000002E-3</v>
      </c>
      <c r="Y118" s="4"/>
      <c r="Z118" s="4"/>
      <c r="AA118" s="21" t="s">
        <v>70</v>
      </c>
      <c r="AB118" s="6">
        <f t="shared" si="28"/>
        <v>2.1367467266377034</v>
      </c>
      <c r="AC118" s="6">
        <f t="shared" si="29"/>
        <v>2.2200000000000002</v>
      </c>
      <c r="AL118" s="6" t="s">
        <v>117</v>
      </c>
      <c r="AM118" s="6">
        <v>5.5E-2</v>
      </c>
      <c r="AN118" s="6">
        <v>2.19</v>
      </c>
      <c r="AZ118" s="6"/>
      <c r="BA118" s="6"/>
      <c r="BB118" s="6"/>
    </row>
    <row r="119" spans="22:55" x14ac:dyDescent="0.2">
      <c r="V119" s="4">
        <f t="shared" si="25"/>
        <v>2.1481349104871465E-3</v>
      </c>
      <c r="W119" s="4">
        <f t="shared" si="26"/>
        <v>5.5E-2</v>
      </c>
      <c r="X119" s="4">
        <f t="shared" si="27"/>
        <v>2.2400000000000002E-3</v>
      </c>
      <c r="Y119" s="4"/>
      <c r="Z119" s="4"/>
      <c r="AA119" s="21">
        <f t="shared" ref="AA119:AA129" si="30">W119</f>
        <v>5.5E-2</v>
      </c>
      <c r="AB119" s="6">
        <f t="shared" si="28"/>
        <v>2.1481349104871463</v>
      </c>
      <c r="AC119" s="6">
        <f t="shared" si="29"/>
        <v>2.2400000000000002</v>
      </c>
    </row>
    <row r="120" spans="22:55" x14ac:dyDescent="0.2">
      <c r="V120" s="4">
        <f t="shared" si="25"/>
        <v>2.1564450978175166E-3</v>
      </c>
      <c r="W120" s="4">
        <f t="shared" si="26"/>
        <v>0.06</v>
      </c>
      <c r="X120" s="4">
        <f t="shared" si="27"/>
        <v>2.2400000000000002E-3</v>
      </c>
      <c r="Y120" s="4"/>
      <c r="Z120" s="4"/>
      <c r="AA120" s="21" t="s">
        <v>71</v>
      </c>
      <c r="AB120" s="6">
        <f t="shared" si="28"/>
        <v>2.1564450978175165</v>
      </c>
      <c r="AC120" s="6">
        <f t="shared" si="29"/>
        <v>2.2400000000000002</v>
      </c>
      <c r="AL120" s="6" t="s">
        <v>119</v>
      </c>
      <c r="AM120" s="6">
        <v>0</v>
      </c>
      <c r="AN120" s="6">
        <v>1.02</v>
      </c>
      <c r="AZ120" s="6"/>
      <c r="BA120" s="6"/>
      <c r="BB120" s="6"/>
    </row>
    <row r="121" spans="22:55" x14ac:dyDescent="0.2">
      <c r="V121" s="4">
        <f t="shared" si="25"/>
        <v>2.1623518172697331E-3</v>
      </c>
      <c r="W121" s="4">
        <f t="shared" si="26"/>
        <v>6.5000000000000002E-2</v>
      </c>
      <c r="X121" s="4">
        <f t="shared" si="27"/>
        <v>2.2400000000000002E-3</v>
      </c>
      <c r="Y121" s="4"/>
      <c r="Z121" s="4"/>
      <c r="AA121" s="21">
        <f t="shared" si="30"/>
        <v>6.5000000000000002E-2</v>
      </c>
      <c r="AB121" s="6">
        <f t="shared" si="28"/>
        <v>2.1623518172697329</v>
      </c>
      <c r="AC121" s="6">
        <f t="shared" si="29"/>
        <v>2.2400000000000002</v>
      </c>
      <c r="AK121" t="s">
        <v>126</v>
      </c>
      <c r="AL121" s="6" t="s">
        <v>118</v>
      </c>
      <c r="AM121" s="6">
        <v>0.04</v>
      </c>
      <c r="AN121" s="6">
        <v>2.19</v>
      </c>
      <c r="AZ121" s="6"/>
      <c r="BA121" s="6"/>
      <c r="BB121" s="6"/>
    </row>
    <row r="122" spans="22:55" x14ac:dyDescent="0.2">
      <c r="V122" s="4">
        <f t="shared" si="25"/>
        <v>2.1662986612186273E-3</v>
      </c>
      <c r="W122" s="4">
        <f t="shared" si="26"/>
        <v>7.0000000000000007E-2</v>
      </c>
      <c r="X122" s="4">
        <f t="shared" si="27"/>
        <v>2.2400000000000002E-3</v>
      </c>
      <c r="Y122" s="4"/>
      <c r="Z122" s="4"/>
      <c r="AA122" s="21" t="s">
        <v>72</v>
      </c>
      <c r="AB122" s="6">
        <f t="shared" si="28"/>
        <v>2.1662986612186272</v>
      </c>
      <c r="AC122" s="6">
        <f t="shared" si="29"/>
        <v>2.2400000000000002</v>
      </c>
      <c r="AL122" s="6" t="s">
        <v>117</v>
      </c>
      <c r="AM122" s="6">
        <v>8.5000000000000006E-2</v>
      </c>
      <c r="AN122" s="6">
        <v>2.2400000000000002</v>
      </c>
      <c r="AZ122" s="6"/>
      <c r="BA122" s="6"/>
      <c r="BB122" s="6"/>
    </row>
    <row r="123" spans="22:55" x14ac:dyDescent="0.2">
      <c r="V123" s="4">
        <f t="shared" si="25"/>
        <v>2.1685646912116999E-3</v>
      </c>
      <c r="W123" s="4">
        <f t="shared" si="26"/>
        <v>7.4999999999999997E-2</v>
      </c>
      <c r="X123" s="4">
        <f t="shared" si="27"/>
        <v>2.2400000000000002E-3</v>
      </c>
      <c r="Y123" s="4"/>
      <c r="Z123" s="4"/>
      <c r="AA123" s="21">
        <f t="shared" si="30"/>
        <v>7.4999999999999997E-2</v>
      </c>
      <c r="AB123" s="6">
        <f t="shared" si="28"/>
        <v>2.1685646912116998</v>
      </c>
      <c r="AC123" s="6">
        <f t="shared" si="29"/>
        <v>2.2400000000000002</v>
      </c>
    </row>
    <row r="124" spans="22:55" x14ac:dyDescent="0.2">
      <c r="V124" s="4">
        <f t="shared" si="25"/>
        <v>2.1693036657506651E-3</v>
      </c>
      <c r="W124" s="4">
        <f t="shared" si="26"/>
        <v>0.08</v>
      </c>
      <c r="X124" s="4">
        <f t="shared" si="27"/>
        <v>2.2400000000000002E-3</v>
      </c>
      <c r="Y124" s="4"/>
      <c r="Z124" s="4"/>
      <c r="AA124" s="21" t="s">
        <v>73</v>
      </c>
      <c r="AB124" s="6">
        <f t="shared" si="28"/>
        <v>2.169303665750665</v>
      </c>
      <c r="AC124" s="6">
        <f t="shared" si="29"/>
        <v>2.2400000000000002</v>
      </c>
      <c r="AZ124" s="6"/>
      <c r="BA124" s="6"/>
      <c r="BB124" s="6"/>
    </row>
    <row r="125" spans="22:55" x14ac:dyDescent="0.2">
      <c r="V125" s="4">
        <f t="shared" si="25"/>
        <v>2.1685646912116999E-3</v>
      </c>
      <c r="W125" s="4">
        <f t="shared" si="26"/>
        <v>8.5000000000000006E-2</v>
      </c>
      <c r="X125" s="4">
        <f t="shared" si="27"/>
        <v>2.2400000000000002E-3</v>
      </c>
      <c r="Y125" s="4"/>
      <c r="Z125" s="4"/>
      <c r="AA125" s="21">
        <f t="shared" si="30"/>
        <v>8.5000000000000006E-2</v>
      </c>
      <c r="AB125" s="6">
        <f t="shared" si="28"/>
        <v>2.1685646912116998</v>
      </c>
      <c r="AC125" s="6">
        <f t="shared" si="29"/>
        <v>2.2400000000000002</v>
      </c>
      <c r="AZ125" s="6"/>
      <c r="BA125" s="6"/>
      <c r="BB125" s="6"/>
    </row>
    <row r="126" spans="22:55" x14ac:dyDescent="0.2">
      <c r="V126" s="4">
        <f t="shared" si="25"/>
        <v>2.1662986612186273E-3</v>
      </c>
      <c r="W126" s="4">
        <f t="shared" si="26"/>
        <v>0.09</v>
      </c>
      <c r="X126" s="4">
        <f t="shared" si="27"/>
        <v>2.2400000000000002E-3</v>
      </c>
      <c r="Y126" s="4"/>
      <c r="Z126" s="4"/>
      <c r="AA126" s="21" t="s">
        <v>74</v>
      </c>
      <c r="AB126" s="6">
        <f t="shared" si="28"/>
        <v>2.1662986612186272</v>
      </c>
      <c r="AC126" s="6">
        <f t="shared" si="29"/>
        <v>2.2400000000000002</v>
      </c>
      <c r="AZ126" s="6"/>
      <c r="BA126" s="6"/>
      <c r="BB126" s="6"/>
    </row>
    <row r="127" spans="22:55" x14ac:dyDescent="0.2">
      <c r="V127" s="4">
        <f t="shared" si="25"/>
        <v>2.1623518172697331E-3</v>
      </c>
      <c r="W127" s="4">
        <f t="shared" si="26"/>
        <v>9.5000000000000001E-2</v>
      </c>
      <c r="X127" s="4">
        <f t="shared" si="27"/>
        <v>2.2400000000000002E-3</v>
      </c>
      <c r="Y127" s="4"/>
      <c r="Z127" s="4"/>
      <c r="AA127" s="21">
        <f t="shared" si="30"/>
        <v>9.5000000000000001E-2</v>
      </c>
      <c r="AB127" s="6">
        <f t="shared" si="28"/>
        <v>2.1623518172697329</v>
      </c>
      <c r="AC127" s="6">
        <f t="shared" si="29"/>
        <v>2.2400000000000002</v>
      </c>
    </row>
    <row r="128" spans="22:55" x14ac:dyDescent="0.2">
      <c r="V128" s="4">
        <f t="shared" si="25"/>
        <v>2.1564450978175166E-3</v>
      </c>
      <c r="W128" s="4">
        <f t="shared" si="26"/>
        <v>0.1</v>
      </c>
      <c r="X128" s="4">
        <f t="shared" si="27"/>
        <v>2.2400000000000002E-3</v>
      </c>
      <c r="Y128" s="4"/>
      <c r="Z128" s="4"/>
      <c r="AA128" s="21" t="s">
        <v>75</v>
      </c>
      <c r="AB128" s="6">
        <f t="shared" si="28"/>
        <v>2.1564450978175165</v>
      </c>
      <c r="AC128" s="6">
        <f t="shared" si="29"/>
        <v>2.2400000000000002</v>
      </c>
    </row>
    <row r="129" spans="22:72" x14ac:dyDescent="0.2">
      <c r="V129" s="4">
        <f t="shared" si="25"/>
        <v>2.1481349104871465E-3</v>
      </c>
      <c r="W129" s="4">
        <f t="shared" si="26"/>
        <v>0.105</v>
      </c>
      <c r="X129" s="4">
        <f t="shared" si="27"/>
        <v>2.2299999999999998E-3</v>
      </c>
      <c r="Y129" s="4"/>
      <c r="Z129" s="4"/>
      <c r="AA129" s="21">
        <f t="shared" si="30"/>
        <v>0.105</v>
      </c>
      <c r="AB129" s="6">
        <f t="shared" si="28"/>
        <v>2.1481349104871463</v>
      </c>
      <c r="AC129" s="6">
        <f t="shared" si="29"/>
        <v>2.23</v>
      </c>
      <c r="AM129" t="s">
        <v>130</v>
      </c>
    </row>
    <row r="130" spans="22:72" x14ac:dyDescent="0.2">
      <c r="V130" s="4">
        <f t="shared" si="25"/>
        <v>2.1367467266377033E-3</v>
      </c>
      <c r="W130" s="4">
        <f t="shared" si="26"/>
        <v>0.11</v>
      </c>
      <c r="X130" s="4">
        <f t="shared" si="27"/>
        <v>2.2200000000000002E-3</v>
      </c>
      <c r="Y130" s="4"/>
      <c r="Z130" s="4"/>
      <c r="AA130" s="21" t="s">
        <v>76</v>
      </c>
      <c r="AB130" s="6">
        <f>V130*1000</f>
        <v>2.1367467266377034</v>
      </c>
      <c r="AC130" s="6">
        <f t="shared" si="29"/>
        <v>2.2200000000000002</v>
      </c>
    </row>
    <row r="131" spans="22:72" x14ac:dyDescent="0.2">
      <c r="V131" s="4">
        <f t="shared" si="25"/>
        <v>2.12126632512004E-3</v>
      </c>
      <c r="W131" s="4">
        <f t="shared" si="26"/>
        <v>0.115</v>
      </c>
      <c r="X131" s="4">
        <f t="shared" si="27"/>
        <v>2.2100000000000002E-3</v>
      </c>
      <c r="Y131" s="4"/>
      <c r="Z131" s="4"/>
      <c r="AA131" s="21">
        <f t="shared" ref="AA131:AA141" si="31">W131</f>
        <v>0.115</v>
      </c>
      <c r="AB131" s="6">
        <f t="shared" ref="AB131:AB141" si="32">V131*1000</f>
        <v>2.1212663251200401</v>
      </c>
      <c r="AC131" s="6">
        <f t="shared" si="29"/>
        <v>2.21</v>
      </c>
    </row>
    <row r="132" spans="22:72" ht="16" thickBot="1" x14ac:dyDescent="0.25">
      <c r="V132" s="4">
        <f t="shared" si="25"/>
        <v>2.1001630961169321E-3</v>
      </c>
      <c r="W132" s="4">
        <f t="shared" si="26"/>
        <v>0.12</v>
      </c>
      <c r="X132" s="4">
        <f t="shared" si="27"/>
        <v>2.1900000000000001E-3</v>
      </c>
      <c r="Y132" s="4"/>
      <c r="Z132" s="4"/>
      <c r="AA132" s="21" t="s">
        <v>77</v>
      </c>
      <c r="AB132" s="6">
        <f t="shared" si="32"/>
        <v>2.100163096116932</v>
      </c>
      <c r="AC132" s="6">
        <f t="shared" si="29"/>
        <v>2.19</v>
      </c>
    </row>
    <row r="133" spans="22:72" ht="16" thickBot="1" x14ac:dyDescent="0.25">
      <c r="V133" s="4">
        <f t="shared" si="25"/>
        <v>2.0711043176800613E-3</v>
      </c>
      <c r="W133" s="4">
        <f t="shared" si="26"/>
        <v>0.125</v>
      </c>
      <c r="X133" s="4">
        <f t="shared" si="27"/>
        <v>2.1700000000000001E-3</v>
      </c>
      <c r="Y133" s="4"/>
      <c r="Z133" s="4"/>
      <c r="AA133" s="21">
        <f t="shared" si="31"/>
        <v>0.125</v>
      </c>
      <c r="AB133" s="6">
        <f t="shared" si="32"/>
        <v>2.0711043176800614</v>
      </c>
      <c r="AC133" s="6">
        <f t="shared" si="29"/>
        <v>2.17</v>
      </c>
      <c r="AK133" s="22" t="s">
        <v>142</v>
      </c>
      <c r="AL133" s="22" t="s">
        <v>138</v>
      </c>
      <c r="AM133" s="22"/>
      <c r="AN133" s="22"/>
      <c r="AO133" s="54" t="s">
        <v>83</v>
      </c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6"/>
      <c r="BB133" s="57" t="s">
        <v>84</v>
      </c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9"/>
      <c r="BQ133" s="22"/>
      <c r="BR133" s="22"/>
      <c r="BS133" s="22"/>
      <c r="BT133" s="22"/>
    </row>
    <row r="134" spans="22:72" ht="18" thickBot="1" x14ac:dyDescent="0.25">
      <c r="V134" s="4">
        <f t="shared" si="25"/>
        <v>2.0305015271424105E-3</v>
      </c>
      <c r="W134" s="4">
        <f t="shared" si="26"/>
        <v>0.13</v>
      </c>
      <c r="X134" s="4">
        <f t="shared" si="27"/>
        <v>2.14E-3</v>
      </c>
      <c r="Y134" s="4"/>
      <c r="Z134" s="4"/>
      <c r="AA134" s="21" t="s">
        <v>78</v>
      </c>
      <c r="AB134" s="6">
        <f t="shared" si="32"/>
        <v>2.0305015271424107</v>
      </c>
      <c r="AC134" s="6">
        <f t="shared" si="29"/>
        <v>2.14</v>
      </c>
      <c r="AK134" s="25" t="s">
        <v>85</v>
      </c>
      <c r="AL134" s="25" t="s">
        <v>86</v>
      </c>
      <c r="AM134" s="25" t="s">
        <v>87</v>
      </c>
      <c r="AN134" s="25" t="s">
        <v>88</v>
      </c>
      <c r="AO134" s="26" t="s">
        <v>89</v>
      </c>
      <c r="AP134" s="26" t="s">
        <v>90</v>
      </c>
      <c r="AQ134" s="26" t="s">
        <v>91</v>
      </c>
      <c r="AR134" s="26" t="s">
        <v>92</v>
      </c>
      <c r="AS134" s="26" t="s">
        <v>93</v>
      </c>
      <c r="AT134" s="26" t="s">
        <v>94</v>
      </c>
      <c r="AU134" s="26" t="s">
        <v>95</v>
      </c>
      <c r="AV134" s="26" t="s">
        <v>96</v>
      </c>
      <c r="AW134" s="27" t="s">
        <v>97</v>
      </c>
      <c r="AX134" s="27" t="s">
        <v>98</v>
      </c>
      <c r="AY134" s="27" t="s">
        <v>99</v>
      </c>
      <c r="AZ134" s="26" t="s">
        <v>100</v>
      </c>
      <c r="BA134" s="26" t="s">
        <v>101</v>
      </c>
      <c r="BB134" s="28" t="s">
        <v>102</v>
      </c>
      <c r="BC134" s="23" t="s">
        <v>89</v>
      </c>
      <c r="BD134" s="23" t="s">
        <v>103</v>
      </c>
      <c r="BE134" s="23" t="s">
        <v>90</v>
      </c>
      <c r="BF134" s="29" t="s">
        <v>104</v>
      </c>
      <c r="BG134" s="28" t="s">
        <v>91</v>
      </c>
      <c r="BH134" s="24" t="s">
        <v>105</v>
      </c>
      <c r="BI134" s="24" t="s">
        <v>93</v>
      </c>
      <c r="BJ134" s="24" t="s">
        <v>106</v>
      </c>
      <c r="BK134" s="24" t="s">
        <v>107</v>
      </c>
      <c r="BL134" s="28" t="s">
        <v>100</v>
      </c>
      <c r="BM134" s="28" t="s">
        <v>101</v>
      </c>
      <c r="BN134" s="23" t="s">
        <v>96</v>
      </c>
      <c r="BO134" s="30" t="s">
        <v>108</v>
      </c>
      <c r="BP134" s="30" t="s">
        <v>109</v>
      </c>
      <c r="BQ134" s="31" t="s">
        <v>110</v>
      </c>
      <c r="BR134" s="31" t="s">
        <v>111</v>
      </c>
      <c r="BS134" s="32" t="s">
        <v>112</v>
      </c>
      <c r="BT134" s="31" t="s">
        <v>113</v>
      </c>
    </row>
    <row r="135" spans="22:72" ht="16" thickBot="1" x14ac:dyDescent="0.25">
      <c r="V135" s="4">
        <f t="shared" si="25"/>
        <v>1.9728321423999008E-3</v>
      </c>
      <c r="W135" s="4">
        <f t="shared" si="26"/>
        <v>0.13500000000000001</v>
      </c>
      <c r="X135" s="4">
        <f t="shared" si="27"/>
        <v>2.1099999999999999E-3</v>
      </c>
      <c r="Y135" s="4"/>
      <c r="Z135" s="4"/>
      <c r="AA135" s="21">
        <f t="shared" si="31"/>
        <v>0.13500000000000001</v>
      </c>
      <c r="AB135" s="6">
        <f t="shared" si="32"/>
        <v>1.9728321423999007</v>
      </c>
      <c r="AC135" s="6">
        <f t="shared" si="29"/>
        <v>2.11</v>
      </c>
      <c r="AK135" s="4">
        <v>100</v>
      </c>
      <c r="AL135" s="4">
        <v>1E-3</v>
      </c>
      <c r="AM135" s="33">
        <v>0</v>
      </c>
      <c r="AN135" s="33">
        <v>1.0000000000000001E-5</v>
      </c>
      <c r="AO135" s="51">
        <f>COUNTA(AL135:AL144)</f>
        <v>3</v>
      </c>
      <c r="AP135" s="51">
        <f>SUM(AK135:AK144)</f>
        <v>600</v>
      </c>
      <c r="AQ135" s="51">
        <f>SUM(AL135:AL144)</f>
        <v>3.0600000000000002E-3</v>
      </c>
      <c r="AR135" s="33">
        <f t="shared" ref="AR135:AR137" si="33">AK135*AL135</f>
        <v>0.1</v>
      </c>
      <c r="AS135" s="51">
        <f>SUM(AR135:AR144)</f>
        <v>0.6140000000000001</v>
      </c>
      <c r="AT135" s="33">
        <f t="shared" ref="AT135:AT137" si="34">AK135^2</f>
        <v>10000</v>
      </c>
      <c r="AU135" s="51">
        <f>SUM(AT135:AT144)</f>
        <v>140000</v>
      </c>
      <c r="AV135" s="51">
        <f>(AO135*AU135)-(AP135^2)</f>
        <v>60000</v>
      </c>
      <c r="AW135" s="51">
        <f>SQRT(AN135^2+(BA135*AM135)^2)</f>
        <v>1.0000000000000001E-5</v>
      </c>
      <c r="AX135" s="51">
        <f>AW135*SQRT(AU135/AV135)</f>
        <v>1.527525231651947E-5</v>
      </c>
      <c r="AY135" s="51">
        <f>AW135*SQRT(AO135/AV135)</f>
        <v>7.0710678118654758E-8</v>
      </c>
      <c r="AZ135" s="51">
        <f>(AU135*AQ135-AP135*AS135)/AV135</f>
        <v>1E-3</v>
      </c>
      <c r="BA135" s="51">
        <f>((AO135*AS135)-(AP135*AQ135))/AV135</f>
        <v>1.0000000000000379E-7</v>
      </c>
      <c r="BB135" s="34">
        <f>1/(AN135^2+($S$7*AM135)^2)</f>
        <v>9999999999.9999981</v>
      </c>
      <c r="BC135" s="51" t="e">
        <f>SUM(BB135:BB144)</f>
        <v>#DIV/0!</v>
      </c>
      <c r="BD135" s="35">
        <f t="shared" ref="BD135:BD144" si="35">BB135*AK135</f>
        <v>999999999999.99976</v>
      </c>
      <c r="BE135" s="51" t="e">
        <f>SUM(BD135:BD144)</f>
        <v>#DIV/0!</v>
      </c>
      <c r="BF135" s="33">
        <f t="shared" ref="BF135:BF144" si="36">BB135*AL135</f>
        <v>9999999.9999999981</v>
      </c>
      <c r="BG135" s="51" t="e">
        <f>SUM(BF135:BF144)</f>
        <v>#DIV/0!</v>
      </c>
      <c r="BH135" s="36">
        <f t="shared" ref="BH135:BH144" si="37">BB135*AK135*AL135</f>
        <v>999999999.99999976</v>
      </c>
      <c r="BI135" s="51" t="e">
        <f>SUM(BH135:BH144)</f>
        <v>#DIV/0!</v>
      </c>
      <c r="BJ135" s="36">
        <f t="shared" ref="BJ135:BJ144" si="38">BB135*AT135</f>
        <v>99999999999999.984</v>
      </c>
      <c r="BK135" s="51" t="e">
        <f>SUM(BJ135:BJ144)</f>
        <v>#DIV/0!</v>
      </c>
      <c r="BL135" s="51" t="e">
        <f>((BK135*BG135)-(BE135*BI135))/BN135</f>
        <v>#DIV/0!</v>
      </c>
      <c r="BM135" s="51" t="e">
        <f>((BC135*BI135)-(BE135*BG135))/BN135</f>
        <v>#DIV/0!</v>
      </c>
      <c r="BN135" s="51" t="e">
        <f>(BC135*BK135)-(BE135^2)</f>
        <v>#DIV/0!</v>
      </c>
      <c r="BO135" s="51" t="e">
        <f>SQRT((BK135/BN135))</f>
        <v>#DIV/0!</v>
      </c>
      <c r="BP135" s="51" t="e">
        <f>SQRT((BC135/BN135))</f>
        <v>#DIV/0!</v>
      </c>
      <c r="BQ135" s="48">
        <f>_xlfn.STDEV.S(AK135:AK144)</f>
        <v>100</v>
      </c>
      <c r="BR135" s="48">
        <f>_xlfn.STDEV.S(AL135:AL144)</f>
        <v>1.9999999999999944E-5</v>
      </c>
      <c r="BS135" s="48">
        <f>_xlfn.COVARIANCE.S(AK135:AK144,AL135:AL144)</f>
        <v>1.0000000000000026E-3</v>
      </c>
      <c r="BT135" s="48">
        <f>CORREL(AK135:AK144,AL135:AL144)</f>
        <v>0.50000000000000255</v>
      </c>
    </row>
    <row r="136" spans="22:72" ht="16" thickBot="1" x14ac:dyDescent="0.25">
      <c r="V136" s="4">
        <f t="shared" si="25"/>
        <v>1.8897938766539613E-3</v>
      </c>
      <c r="W136" s="4">
        <f t="shared" si="26"/>
        <v>0.14000000000000001</v>
      </c>
      <c r="X136" s="4">
        <f t="shared" si="27"/>
        <v>2.0699999999999998E-3</v>
      </c>
      <c r="Y136" s="4"/>
      <c r="Z136" s="4"/>
      <c r="AA136" s="21" t="s">
        <v>79</v>
      </c>
      <c r="AB136" s="6">
        <f t="shared" si="32"/>
        <v>1.8897938766539613</v>
      </c>
      <c r="AC136" s="6">
        <f t="shared" si="29"/>
        <v>2.0699999999999998</v>
      </c>
      <c r="AK136" s="4">
        <v>200</v>
      </c>
      <c r="AL136" s="4">
        <v>1.0399999999999999E-3</v>
      </c>
      <c r="AM136" s="33">
        <v>0</v>
      </c>
      <c r="AN136" s="33">
        <v>1.0000000000000001E-5</v>
      </c>
      <c r="AO136" s="52"/>
      <c r="AP136" s="52"/>
      <c r="AQ136" s="52"/>
      <c r="AR136" s="34">
        <f t="shared" si="33"/>
        <v>0.20799999999999999</v>
      </c>
      <c r="AS136" s="52"/>
      <c r="AT136" s="34">
        <f t="shared" si="34"/>
        <v>40000</v>
      </c>
      <c r="AU136" s="52"/>
      <c r="AV136" s="52"/>
      <c r="AW136" s="52"/>
      <c r="AX136" s="52"/>
      <c r="AY136" s="52"/>
      <c r="AZ136" s="52"/>
      <c r="BA136" s="52"/>
      <c r="BB136" s="34">
        <f t="shared" ref="BB136:BB144" si="39">1/(AN136^2+($S$7*AM136)^2)</f>
        <v>9999999999.9999981</v>
      </c>
      <c r="BC136" s="52"/>
      <c r="BD136" s="37">
        <f t="shared" si="35"/>
        <v>1999999999999.9995</v>
      </c>
      <c r="BE136" s="52"/>
      <c r="BF136" s="34">
        <f t="shared" si="36"/>
        <v>10399999.999999996</v>
      </c>
      <c r="BG136" s="52"/>
      <c r="BH136" s="38">
        <f t="shared" si="37"/>
        <v>2079999999.9999993</v>
      </c>
      <c r="BI136" s="52"/>
      <c r="BJ136" s="38">
        <f t="shared" si="38"/>
        <v>399999999999999.94</v>
      </c>
      <c r="BK136" s="52"/>
      <c r="BL136" s="52"/>
      <c r="BM136" s="52"/>
      <c r="BN136" s="52"/>
      <c r="BO136" s="52"/>
      <c r="BP136" s="52"/>
      <c r="BQ136" s="49"/>
      <c r="BR136" s="49"/>
      <c r="BS136" s="49"/>
      <c r="BT136" s="49"/>
    </row>
    <row r="137" spans="22:72" ht="16" thickBot="1" x14ac:dyDescent="0.25">
      <c r="V137" s="4">
        <f t="shared" si="25"/>
        <v>1.7698639647756734E-3</v>
      </c>
      <c r="W137" s="4">
        <f t="shared" si="26"/>
        <v>0.14499999999999999</v>
      </c>
      <c r="X137" s="4">
        <f>N57/-1000</f>
        <v>1.97E-3</v>
      </c>
      <c r="Y137" s="4"/>
      <c r="Z137" s="4"/>
      <c r="AA137" s="21">
        <f t="shared" si="31"/>
        <v>0.14499999999999999</v>
      </c>
      <c r="AB137" s="6">
        <f t="shared" si="32"/>
        <v>1.7698639647756733</v>
      </c>
      <c r="AC137" s="6">
        <f t="shared" si="29"/>
        <v>1.97</v>
      </c>
      <c r="AK137" s="4">
        <v>300</v>
      </c>
      <c r="AL137" s="4">
        <v>1.0200000000000001E-3</v>
      </c>
      <c r="AM137" s="33">
        <v>0</v>
      </c>
      <c r="AN137" s="33">
        <v>1.0000000000000001E-5</v>
      </c>
      <c r="AO137" s="52"/>
      <c r="AP137" s="52"/>
      <c r="AQ137" s="52"/>
      <c r="AR137" s="34">
        <f t="shared" si="33"/>
        <v>0.30600000000000005</v>
      </c>
      <c r="AS137" s="52"/>
      <c r="AT137" s="34">
        <f t="shared" si="34"/>
        <v>90000</v>
      </c>
      <c r="AU137" s="52"/>
      <c r="AV137" s="52"/>
      <c r="AW137" s="52"/>
      <c r="AX137" s="52"/>
      <c r="AY137" s="52"/>
      <c r="AZ137" s="52"/>
      <c r="BA137" s="52"/>
      <c r="BB137" s="34">
        <f t="shared" si="39"/>
        <v>9999999999.9999981</v>
      </c>
      <c r="BC137" s="52"/>
      <c r="BD137" s="37">
        <f t="shared" si="35"/>
        <v>2999999999999.9995</v>
      </c>
      <c r="BE137" s="52"/>
      <c r="BF137" s="34">
        <f t="shared" si="36"/>
        <v>10199999.999999998</v>
      </c>
      <c r="BG137" s="52"/>
      <c r="BH137" s="38">
        <f t="shared" si="37"/>
        <v>3059999999.9999995</v>
      </c>
      <c r="BI137" s="52"/>
      <c r="BJ137" s="38">
        <f t="shared" si="38"/>
        <v>899999999999999.88</v>
      </c>
      <c r="BK137" s="52"/>
      <c r="BL137" s="52"/>
      <c r="BM137" s="52"/>
      <c r="BN137" s="52"/>
      <c r="BO137" s="52"/>
      <c r="BP137" s="52"/>
      <c r="BQ137" s="49"/>
      <c r="BR137" s="49"/>
      <c r="BS137" s="49"/>
      <c r="BT137" s="49"/>
    </row>
    <row r="138" spans="22:72" ht="16" thickBot="1" x14ac:dyDescent="0.25">
      <c r="V138" s="4">
        <f t="shared" si="25"/>
        <v>1.6002861376241172E-3</v>
      </c>
      <c r="W138" s="4">
        <f t="shared" si="26"/>
        <v>0.15</v>
      </c>
      <c r="X138" s="4">
        <f t="shared" si="27"/>
        <v>1.8600000000000001E-3</v>
      </c>
      <c r="Y138" s="4"/>
      <c r="Z138" s="4"/>
      <c r="AA138" s="21" t="s">
        <v>80</v>
      </c>
      <c r="AB138" s="6">
        <f t="shared" si="32"/>
        <v>1.6002861376241173</v>
      </c>
      <c r="AC138" s="6">
        <f t="shared" si="29"/>
        <v>1.86</v>
      </c>
      <c r="AK138" s="4"/>
      <c r="AL138" s="4"/>
      <c r="AM138" s="33"/>
      <c r="AN138" s="33"/>
      <c r="AO138" s="52"/>
      <c r="AP138" s="52"/>
      <c r="AQ138" s="52"/>
      <c r="AR138" s="34"/>
      <c r="AS138" s="52"/>
      <c r="AT138" s="34"/>
      <c r="AU138" s="52"/>
      <c r="AV138" s="52"/>
      <c r="AW138" s="52"/>
      <c r="AX138" s="52"/>
      <c r="AY138" s="52"/>
      <c r="AZ138" s="52"/>
      <c r="BA138" s="52"/>
      <c r="BB138" s="34" t="e">
        <f t="shared" si="39"/>
        <v>#DIV/0!</v>
      </c>
      <c r="BC138" s="52"/>
      <c r="BD138" s="37" t="e">
        <f t="shared" si="35"/>
        <v>#DIV/0!</v>
      </c>
      <c r="BE138" s="52"/>
      <c r="BF138" s="34" t="e">
        <f t="shared" si="36"/>
        <v>#DIV/0!</v>
      </c>
      <c r="BG138" s="52"/>
      <c r="BH138" s="38" t="e">
        <f t="shared" si="37"/>
        <v>#DIV/0!</v>
      </c>
      <c r="BI138" s="52"/>
      <c r="BJ138" s="38" t="e">
        <f t="shared" si="38"/>
        <v>#DIV/0!</v>
      </c>
      <c r="BK138" s="52"/>
      <c r="BL138" s="52"/>
      <c r="BM138" s="52"/>
      <c r="BN138" s="52"/>
      <c r="BO138" s="52"/>
      <c r="BP138" s="52"/>
      <c r="BQ138" s="49"/>
      <c r="BR138" s="49"/>
      <c r="BS138" s="49"/>
      <c r="BT138" s="49"/>
    </row>
    <row r="139" spans="22:72" ht="16" thickBot="1" x14ac:dyDescent="0.25">
      <c r="V139" s="4">
        <f t="shared" si="25"/>
        <v>1.3753497755949441E-3</v>
      </c>
      <c r="W139" s="4">
        <f t="shared" si="26"/>
        <v>0.155</v>
      </c>
      <c r="X139" s="4">
        <f t="shared" si="27"/>
        <v>1.6999999999999999E-3</v>
      </c>
      <c r="Y139" s="4"/>
      <c r="Z139" s="4"/>
      <c r="AA139" s="21">
        <f t="shared" si="31"/>
        <v>0.155</v>
      </c>
      <c r="AB139" s="6">
        <f t="shared" si="32"/>
        <v>1.375349775594944</v>
      </c>
      <c r="AC139" s="6">
        <f t="shared" si="29"/>
        <v>1.7</v>
      </c>
      <c r="AK139" s="4"/>
      <c r="AL139" s="4"/>
      <c r="AM139" s="33"/>
      <c r="AN139" s="33"/>
      <c r="AO139" s="52"/>
      <c r="AP139" s="52"/>
      <c r="AQ139" s="52"/>
      <c r="AR139" s="34"/>
      <c r="AS139" s="52"/>
      <c r="AT139" s="34"/>
      <c r="AU139" s="52"/>
      <c r="AV139" s="52"/>
      <c r="AW139" s="52"/>
      <c r="AX139" s="52"/>
      <c r="AY139" s="52"/>
      <c r="AZ139" s="52"/>
      <c r="BA139" s="52"/>
      <c r="BB139" s="34" t="e">
        <f t="shared" si="39"/>
        <v>#DIV/0!</v>
      </c>
      <c r="BC139" s="52"/>
      <c r="BD139" s="37" t="e">
        <f t="shared" si="35"/>
        <v>#DIV/0!</v>
      </c>
      <c r="BE139" s="52"/>
      <c r="BF139" s="34" t="e">
        <f t="shared" si="36"/>
        <v>#DIV/0!</v>
      </c>
      <c r="BG139" s="52"/>
      <c r="BH139" s="38" t="e">
        <f t="shared" si="37"/>
        <v>#DIV/0!</v>
      </c>
      <c r="BI139" s="52"/>
      <c r="BJ139" s="38" t="e">
        <f t="shared" si="38"/>
        <v>#DIV/0!</v>
      </c>
      <c r="BK139" s="52"/>
      <c r="BL139" s="52"/>
      <c r="BM139" s="52"/>
      <c r="BN139" s="52"/>
      <c r="BO139" s="52"/>
      <c r="BP139" s="52"/>
      <c r="BQ139" s="49"/>
      <c r="BR139" s="49"/>
      <c r="BS139" s="49"/>
      <c r="BT139" s="49"/>
    </row>
    <row r="140" spans="22:72" ht="16" thickBot="1" x14ac:dyDescent="0.25">
      <c r="V140" s="4">
        <f t="shared" si="25"/>
        <v>1.1106181455671574E-3</v>
      </c>
      <c r="W140" s="4">
        <f t="shared" si="26"/>
        <v>0.16</v>
      </c>
      <c r="X140" s="4">
        <f t="shared" si="27"/>
        <v>1.4299999999999998E-3</v>
      </c>
      <c r="Y140" s="4"/>
      <c r="Z140" s="4"/>
      <c r="AA140" s="21" t="s">
        <v>81</v>
      </c>
      <c r="AB140" s="6">
        <f t="shared" si="32"/>
        <v>1.1106181455671573</v>
      </c>
      <c r="AC140" s="6">
        <f t="shared" si="29"/>
        <v>1.43</v>
      </c>
      <c r="AK140" s="4"/>
      <c r="AL140" s="4"/>
      <c r="AM140" s="33"/>
      <c r="AN140" s="33"/>
      <c r="AO140" s="52"/>
      <c r="AP140" s="52"/>
      <c r="AQ140" s="52"/>
      <c r="AR140" s="34"/>
      <c r="AS140" s="52"/>
      <c r="AT140" s="34"/>
      <c r="AU140" s="52"/>
      <c r="AV140" s="52"/>
      <c r="AW140" s="52"/>
      <c r="AX140" s="52"/>
      <c r="AY140" s="52"/>
      <c r="AZ140" s="52"/>
      <c r="BA140" s="52"/>
      <c r="BB140" s="34" t="e">
        <f t="shared" si="39"/>
        <v>#DIV/0!</v>
      </c>
      <c r="BC140" s="52"/>
      <c r="BD140" s="37" t="e">
        <f t="shared" si="35"/>
        <v>#DIV/0!</v>
      </c>
      <c r="BE140" s="52"/>
      <c r="BF140" s="34" t="e">
        <f t="shared" si="36"/>
        <v>#DIV/0!</v>
      </c>
      <c r="BG140" s="52"/>
      <c r="BH140" s="38" t="e">
        <f t="shared" si="37"/>
        <v>#DIV/0!</v>
      </c>
      <c r="BI140" s="52"/>
      <c r="BJ140" s="38" t="e">
        <f t="shared" si="38"/>
        <v>#DIV/0!</v>
      </c>
      <c r="BK140" s="52"/>
      <c r="BL140" s="52"/>
      <c r="BM140" s="52"/>
      <c r="BN140" s="52"/>
      <c r="BO140" s="52"/>
      <c r="BP140" s="52"/>
      <c r="BQ140" s="49"/>
      <c r="BR140" s="49"/>
      <c r="BS140" s="49"/>
      <c r="BT140" s="49"/>
    </row>
    <row r="141" spans="22:72" ht="16" thickBot="1" x14ac:dyDescent="0.25">
      <c r="V141" s="4">
        <f>($R$73*$T$73*$S$67)*((($Q$73-W141)/SQRT($S$73^2+($Q$73-W141)^2))+(W141)/SQRT($S$73^2+W141^2))/2</f>
        <v>8.4583473256999214E-4</v>
      </c>
      <c r="W141" s="4">
        <f t="shared" si="26"/>
        <v>0.16500000000000001</v>
      </c>
      <c r="X141" s="4">
        <f t="shared" si="27"/>
        <v>1.09E-3</v>
      </c>
      <c r="Y141" s="4"/>
      <c r="Z141" s="4"/>
      <c r="AA141" s="21">
        <f t="shared" si="31"/>
        <v>0.16500000000000001</v>
      </c>
      <c r="AB141" s="6">
        <f t="shared" si="32"/>
        <v>0.84583473256999209</v>
      </c>
      <c r="AC141" s="6">
        <f>X141*1000</f>
        <v>1.0900000000000001</v>
      </c>
      <c r="AK141" s="4"/>
      <c r="AL141" s="4"/>
      <c r="AM141" s="33"/>
      <c r="AN141" s="33"/>
      <c r="AO141" s="52"/>
      <c r="AP141" s="52"/>
      <c r="AQ141" s="52"/>
      <c r="AR141" s="34"/>
      <c r="AS141" s="52"/>
      <c r="AT141" s="34"/>
      <c r="AU141" s="52"/>
      <c r="AV141" s="52"/>
      <c r="AW141" s="52"/>
      <c r="AX141" s="52"/>
      <c r="AY141" s="52"/>
      <c r="AZ141" s="52"/>
      <c r="BA141" s="52"/>
      <c r="BB141" s="34" t="e">
        <f t="shared" si="39"/>
        <v>#DIV/0!</v>
      </c>
      <c r="BC141" s="52"/>
      <c r="BD141" s="37" t="e">
        <f t="shared" si="35"/>
        <v>#DIV/0!</v>
      </c>
      <c r="BE141" s="52"/>
      <c r="BF141" s="34" t="e">
        <f t="shared" si="36"/>
        <v>#DIV/0!</v>
      </c>
      <c r="BG141" s="52"/>
      <c r="BH141" s="38" t="e">
        <f t="shared" si="37"/>
        <v>#DIV/0!</v>
      </c>
      <c r="BI141" s="52"/>
      <c r="BJ141" s="38" t="e">
        <f t="shared" si="38"/>
        <v>#DIV/0!</v>
      </c>
      <c r="BK141" s="52"/>
      <c r="BL141" s="52"/>
      <c r="BM141" s="52"/>
      <c r="BN141" s="52"/>
      <c r="BO141" s="52"/>
      <c r="BP141" s="52"/>
      <c r="BQ141" s="49"/>
      <c r="BR141" s="49"/>
      <c r="BS141" s="49"/>
      <c r="BT141" s="49"/>
    </row>
    <row r="142" spans="22:72" ht="16" thickBot="1" x14ac:dyDescent="0.25">
      <c r="V142" s="4"/>
      <c r="W142" s="4"/>
      <c r="X142" s="4"/>
      <c r="Y142" s="4"/>
      <c r="Z142" s="4"/>
      <c r="AA142" s="4"/>
      <c r="AB142" s="4"/>
      <c r="AC142" s="4"/>
      <c r="AK142" s="4"/>
      <c r="AL142" s="4"/>
      <c r="AM142" s="33"/>
      <c r="AN142" s="33"/>
      <c r="AO142" s="52"/>
      <c r="AP142" s="52"/>
      <c r="AQ142" s="52"/>
      <c r="AR142" s="34"/>
      <c r="AS142" s="52"/>
      <c r="AT142" s="34"/>
      <c r="AU142" s="52"/>
      <c r="AV142" s="52"/>
      <c r="AW142" s="52"/>
      <c r="AX142" s="52"/>
      <c r="AY142" s="52"/>
      <c r="AZ142" s="52"/>
      <c r="BA142" s="52"/>
      <c r="BB142" s="34" t="e">
        <f t="shared" si="39"/>
        <v>#DIV/0!</v>
      </c>
      <c r="BC142" s="52"/>
      <c r="BD142" s="37" t="e">
        <f t="shared" si="35"/>
        <v>#DIV/0!</v>
      </c>
      <c r="BE142" s="52"/>
      <c r="BF142" s="34" t="e">
        <f t="shared" si="36"/>
        <v>#DIV/0!</v>
      </c>
      <c r="BG142" s="52"/>
      <c r="BH142" s="38" t="e">
        <f t="shared" si="37"/>
        <v>#DIV/0!</v>
      </c>
      <c r="BI142" s="52"/>
      <c r="BJ142" s="38" t="e">
        <f t="shared" si="38"/>
        <v>#DIV/0!</v>
      </c>
      <c r="BK142" s="52"/>
      <c r="BL142" s="52"/>
      <c r="BM142" s="52"/>
      <c r="BN142" s="52"/>
      <c r="BO142" s="52"/>
      <c r="BP142" s="52"/>
      <c r="BQ142" s="49"/>
      <c r="BR142" s="49"/>
      <c r="BS142" s="49"/>
      <c r="BT142" s="49"/>
    </row>
    <row r="143" spans="22:72" ht="16" thickBot="1" x14ac:dyDescent="0.25">
      <c r="V143" s="4"/>
      <c r="W143" s="4"/>
      <c r="X143" s="4"/>
      <c r="Y143" s="4"/>
      <c r="Z143" s="4"/>
      <c r="AA143" s="4"/>
      <c r="AB143" s="4"/>
      <c r="AC143" s="4"/>
      <c r="AK143" s="4"/>
      <c r="AL143" s="4"/>
      <c r="AM143" s="33"/>
      <c r="AN143" s="33"/>
      <c r="AO143" s="52"/>
      <c r="AP143" s="52"/>
      <c r="AQ143" s="52"/>
      <c r="AR143" s="34"/>
      <c r="AS143" s="52"/>
      <c r="AT143" s="34"/>
      <c r="AU143" s="52"/>
      <c r="AV143" s="52"/>
      <c r="AW143" s="52"/>
      <c r="AX143" s="52"/>
      <c r="AY143" s="52"/>
      <c r="AZ143" s="52"/>
      <c r="BA143" s="52"/>
      <c r="BB143" s="34" t="e">
        <f t="shared" si="39"/>
        <v>#DIV/0!</v>
      </c>
      <c r="BC143" s="52"/>
      <c r="BD143" s="37" t="e">
        <f t="shared" si="35"/>
        <v>#DIV/0!</v>
      </c>
      <c r="BE143" s="52"/>
      <c r="BF143" s="34" t="e">
        <f t="shared" si="36"/>
        <v>#DIV/0!</v>
      </c>
      <c r="BG143" s="52"/>
      <c r="BH143" s="38" t="e">
        <f t="shared" si="37"/>
        <v>#DIV/0!</v>
      </c>
      <c r="BI143" s="52"/>
      <c r="BJ143" s="38" t="e">
        <f t="shared" si="38"/>
        <v>#DIV/0!</v>
      </c>
      <c r="BK143" s="52"/>
      <c r="BL143" s="52"/>
      <c r="BM143" s="52"/>
      <c r="BN143" s="52"/>
      <c r="BO143" s="52"/>
      <c r="BP143" s="52"/>
      <c r="BQ143" s="49"/>
      <c r="BR143" s="49"/>
      <c r="BS143" s="49"/>
      <c r="BT143" s="49"/>
    </row>
    <row r="144" spans="22:72" ht="16" thickBot="1" x14ac:dyDescent="0.25">
      <c r="V144" s="4"/>
      <c r="W144" s="4"/>
      <c r="X144" s="4"/>
      <c r="Y144" s="4"/>
      <c r="Z144" s="4"/>
      <c r="AA144" s="4"/>
      <c r="AB144" s="4"/>
      <c r="AC144" s="4"/>
      <c r="AK144" s="4"/>
      <c r="AL144" s="4"/>
      <c r="AM144" s="33"/>
      <c r="AN144" s="33"/>
      <c r="AO144" s="53"/>
      <c r="AP144" s="53"/>
      <c r="AQ144" s="53"/>
      <c r="AR144" s="39"/>
      <c r="AS144" s="53"/>
      <c r="AT144" s="39"/>
      <c r="AU144" s="53"/>
      <c r="AV144" s="53"/>
      <c r="AW144" s="53"/>
      <c r="AX144" s="53"/>
      <c r="AY144" s="53"/>
      <c r="AZ144" s="53"/>
      <c r="BA144" s="53"/>
      <c r="BB144" s="39" t="e">
        <f t="shared" si="39"/>
        <v>#DIV/0!</v>
      </c>
      <c r="BC144" s="53"/>
      <c r="BD144" s="40" t="e">
        <f t="shared" si="35"/>
        <v>#DIV/0!</v>
      </c>
      <c r="BE144" s="53"/>
      <c r="BF144" s="39" t="e">
        <f t="shared" si="36"/>
        <v>#DIV/0!</v>
      </c>
      <c r="BG144" s="53"/>
      <c r="BH144" s="41" t="e">
        <f t="shared" si="37"/>
        <v>#DIV/0!</v>
      </c>
      <c r="BI144" s="53"/>
      <c r="BJ144" s="41" t="e">
        <f t="shared" si="38"/>
        <v>#DIV/0!</v>
      </c>
      <c r="BK144" s="53"/>
      <c r="BL144" s="53"/>
      <c r="BM144" s="53"/>
      <c r="BN144" s="53"/>
      <c r="BO144" s="53"/>
      <c r="BP144" s="53"/>
      <c r="BQ144" s="50"/>
      <c r="BR144" s="50"/>
      <c r="BS144" s="50"/>
      <c r="BT144" s="50"/>
    </row>
    <row r="145" spans="22:72" x14ac:dyDescent="0.2">
      <c r="V145" s="4"/>
      <c r="W145" s="4"/>
      <c r="X145" s="4"/>
      <c r="Y145" s="4"/>
      <c r="Z145" s="4"/>
      <c r="AA145" s="4"/>
      <c r="AB145" s="4"/>
      <c r="AC145" s="4"/>
    </row>
    <row r="146" spans="22:72" x14ac:dyDescent="0.2">
      <c r="V146" s="4"/>
      <c r="W146" s="4"/>
      <c r="X146" s="4"/>
      <c r="Y146" s="4"/>
      <c r="Z146" s="4"/>
      <c r="AA146" s="4"/>
      <c r="AB146" s="4"/>
      <c r="AC146" s="4"/>
    </row>
    <row r="147" spans="22:72" x14ac:dyDescent="0.2">
      <c r="V147" s="4"/>
      <c r="W147" s="4"/>
      <c r="X147" s="4"/>
      <c r="Y147" s="4"/>
      <c r="Z147" s="4"/>
      <c r="AA147" s="4"/>
      <c r="AB147" s="4"/>
      <c r="AC147" s="4"/>
    </row>
    <row r="148" spans="22:72" ht="16" thickBot="1" x14ac:dyDescent="0.25">
      <c r="V148" s="4"/>
      <c r="W148" s="4"/>
      <c r="X148" s="4"/>
      <c r="Y148" s="4"/>
      <c r="Z148" s="4"/>
      <c r="AA148" s="4"/>
      <c r="AB148" s="4"/>
      <c r="AC148" s="4"/>
    </row>
    <row r="149" spans="22:72" ht="16" thickBot="1" x14ac:dyDescent="0.25">
      <c r="V149" s="4"/>
      <c r="W149" s="4"/>
      <c r="X149" s="4"/>
      <c r="Y149" s="4"/>
      <c r="Z149" s="4"/>
      <c r="AA149" s="4"/>
      <c r="AB149" s="4"/>
      <c r="AC149" s="4"/>
      <c r="AK149" s="22" t="s">
        <v>142</v>
      </c>
      <c r="AL149" s="22" t="s">
        <v>138</v>
      </c>
      <c r="AM149" s="22"/>
      <c r="AN149" s="22"/>
      <c r="AO149" s="54" t="s">
        <v>83</v>
      </c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6"/>
      <c r="BB149" s="57" t="s">
        <v>84</v>
      </c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9"/>
      <c r="BQ149" s="22"/>
      <c r="BR149" s="22"/>
      <c r="BS149" s="22"/>
      <c r="BT149" s="22"/>
    </row>
    <row r="150" spans="22:72" ht="18" thickBot="1" x14ac:dyDescent="0.25">
      <c r="V150" s="4"/>
      <c r="W150" s="4"/>
      <c r="X150" s="4"/>
      <c r="Y150" s="4"/>
      <c r="Z150" s="4"/>
      <c r="AA150" s="4"/>
      <c r="AB150" s="4"/>
      <c r="AC150" s="4"/>
      <c r="AK150" s="25" t="s">
        <v>85</v>
      </c>
      <c r="AL150" s="25" t="s">
        <v>86</v>
      </c>
      <c r="AM150" s="25" t="s">
        <v>87</v>
      </c>
      <c r="AN150" s="25" t="s">
        <v>88</v>
      </c>
      <c r="AO150" s="26" t="s">
        <v>89</v>
      </c>
      <c r="AP150" s="26" t="s">
        <v>90</v>
      </c>
      <c r="AQ150" s="26" t="s">
        <v>91</v>
      </c>
      <c r="AR150" s="26" t="s">
        <v>92</v>
      </c>
      <c r="AS150" s="26" t="s">
        <v>93</v>
      </c>
      <c r="AT150" s="26" t="s">
        <v>94</v>
      </c>
      <c r="AU150" s="26" t="s">
        <v>95</v>
      </c>
      <c r="AV150" s="26" t="s">
        <v>96</v>
      </c>
      <c r="AW150" s="27" t="s">
        <v>97</v>
      </c>
      <c r="AX150" s="27" t="s">
        <v>98</v>
      </c>
      <c r="AY150" s="27" t="s">
        <v>99</v>
      </c>
      <c r="AZ150" s="26" t="s">
        <v>100</v>
      </c>
      <c r="BA150" s="26" t="s">
        <v>101</v>
      </c>
      <c r="BB150" s="28" t="s">
        <v>102</v>
      </c>
      <c r="BC150" s="23" t="s">
        <v>89</v>
      </c>
      <c r="BD150" s="23" t="s">
        <v>103</v>
      </c>
      <c r="BE150" s="23" t="s">
        <v>90</v>
      </c>
      <c r="BF150" s="29" t="s">
        <v>104</v>
      </c>
      <c r="BG150" s="28" t="s">
        <v>91</v>
      </c>
      <c r="BH150" s="24" t="s">
        <v>105</v>
      </c>
      <c r="BI150" s="24" t="s">
        <v>93</v>
      </c>
      <c r="BJ150" s="24" t="s">
        <v>106</v>
      </c>
      <c r="BK150" s="24" t="s">
        <v>107</v>
      </c>
      <c r="BL150" s="28" t="s">
        <v>100</v>
      </c>
      <c r="BM150" s="28" t="s">
        <v>101</v>
      </c>
      <c r="BN150" s="23" t="s">
        <v>96</v>
      </c>
      <c r="BO150" s="30" t="s">
        <v>108</v>
      </c>
      <c r="BP150" s="30" t="s">
        <v>109</v>
      </c>
      <c r="BQ150" s="31" t="s">
        <v>110</v>
      </c>
      <c r="BR150" s="31" t="s">
        <v>111</v>
      </c>
      <c r="BS150" s="32" t="s">
        <v>112</v>
      </c>
      <c r="BT150" s="31" t="s">
        <v>113</v>
      </c>
    </row>
    <row r="151" spans="22:72" ht="16" thickBot="1" x14ac:dyDescent="0.25">
      <c r="V151" s="4"/>
      <c r="W151" s="4"/>
      <c r="X151" s="4"/>
      <c r="Y151" s="4"/>
      <c r="Z151" s="4"/>
      <c r="AA151" s="4"/>
      <c r="AB151" s="4"/>
      <c r="AC151" s="4"/>
      <c r="AK151" s="4">
        <v>100</v>
      </c>
      <c r="AL151" s="46">
        <v>1.7600000000000001E-3</v>
      </c>
      <c r="AM151" s="33">
        <v>0</v>
      </c>
      <c r="AN151" s="33">
        <v>1.0000000000000001E-5</v>
      </c>
      <c r="AO151" s="51">
        <f>COUNTA(AL151:AL160)</f>
        <v>3</v>
      </c>
      <c r="AP151" s="51">
        <f>SUM(AK151:AK160)</f>
        <v>600</v>
      </c>
      <c r="AQ151" s="51">
        <f>SUM(AL151:AL160)</f>
        <v>6.0400000000000002E-3</v>
      </c>
      <c r="AR151" s="33">
        <f t="shared" ref="AR151:AR159" si="40">AK151*AL151</f>
        <v>0.17600000000000002</v>
      </c>
      <c r="AS151" s="51">
        <f>SUM(AR151:AR160)</f>
        <v>1.2509999999999999</v>
      </c>
      <c r="AT151" s="33">
        <f t="shared" ref="AT151:AT159" si="41">AK151^2</f>
        <v>10000</v>
      </c>
      <c r="AU151" s="51">
        <f>SUM(AT151:AT160)</f>
        <v>140000</v>
      </c>
      <c r="AV151" s="51">
        <f>(AO151*AU151)-(AP151^2)</f>
        <v>60000</v>
      </c>
      <c r="AW151" s="51">
        <f>SQRT(AN151^2+(BA151*AM151)^2)</f>
        <v>1.0000000000000001E-5</v>
      </c>
      <c r="AX151" s="51">
        <f>AW151*SQRT(AU151/AV151)</f>
        <v>1.527525231651947E-5</v>
      </c>
      <c r="AY151" s="51">
        <f>AW151*SQRT(AO151/AV151)</f>
        <v>7.0710678118654758E-8</v>
      </c>
      <c r="AZ151" s="51">
        <f>(AU151*AQ151-AP151*AS151)/AV151</f>
        <v>1.5833333333333352E-3</v>
      </c>
      <c r="BA151" s="51">
        <f>((AO151*AS151)-(AP151*AQ151))/AV151</f>
        <v>2.1499999999999925E-6</v>
      </c>
      <c r="BB151" s="34">
        <f>1/(AN151^2+($S$7*AM151)^2)</f>
        <v>9999999999.9999981</v>
      </c>
      <c r="BC151" s="51" t="e">
        <f>SUM(BB151:BB160)</f>
        <v>#DIV/0!</v>
      </c>
      <c r="BD151" s="35">
        <f t="shared" ref="BD151:BD160" si="42">BB151*AK151</f>
        <v>999999999999.99976</v>
      </c>
      <c r="BE151" s="51" t="e">
        <f>SUM(BD151:BD160)</f>
        <v>#DIV/0!</v>
      </c>
      <c r="BF151" s="33">
        <f t="shared" ref="BF151:BF160" si="43">BB151*AL151</f>
        <v>17599999.999999996</v>
      </c>
      <c r="BG151" s="51" t="e">
        <f>SUM(BF151:BF160)</f>
        <v>#DIV/0!</v>
      </c>
      <c r="BH151" s="36">
        <f t="shared" ref="BH151:BH160" si="44">BB151*AK151*AL151</f>
        <v>1759999999.9999995</v>
      </c>
      <c r="BI151" s="51" t="e">
        <f>SUM(BH151:BH160)</f>
        <v>#DIV/0!</v>
      </c>
      <c r="BJ151" s="36">
        <f t="shared" ref="BJ151:BJ160" si="45">BB151*AT151</f>
        <v>99999999999999.984</v>
      </c>
      <c r="BK151" s="51" t="e">
        <f>SUM(BJ151:BJ160)</f>
        <v>#DIV/0!</v>
      </c>
      <c r="BL151" s="51" t="e">
        <f>((BK151*BG151)-(BE151*BI151))/BN151</f>
        <v>#DIV/0!</v>
      </c>
      <c r="BM151" s="51" t="e">
        <f>((BC151*BI151)-(BE151*BG151))/BN151</f>
        <v>#DIV/0!</v>
      </c>
      <c r="BN151" s="51" t="e">
        <f>(BC151*BK151)-(BE151^2)</f>
        <v>#DIV/0!</v>
      </c>
      <c r="BO151" s="51" t="e">
        <f>SQRT((BK151/BN151))</f>
        <v>#DIV/0!</v>
      </c>
      <c r="BP151" s="51" t="e">
        <f>SQRT((BC151/BN151))</f>
        <v>#DIV/0!</v>
      </c>
      <c r="BQ151" s="48">
        <f>_xlfn.STDEV.S(AK151:AK160)</f>
        <v>100</v>
      </c>
      <c r="BR151" s="48">
        <f>_xlfn.STDEV.S(AL151:AL160)</f>
        <v>2.2501851775650226E-4</v>
      </c>
      <c r="BS151" s="48">
        <f>_xlfn.COVARIANCE.S(AK151:AK160,AL151:AL160)</f>
        <v>2.1500000000000005E-2</v>
      </c>
      <c r="BT151" s="48">
        <f>CORREL(AK151:AK160,AL151:AL160)</f>
        <v>0.95547691871589202</v>
      </c>
    </row>
    <row r="152" spans="22:72" ht="16" thickBot="1" x14ac:dyDescent="0.25">
      <c r="V152" s="4"/>
      <c r="W152" s="4"/>
      <c r="X152" s="4"/>
      <c r="Y152" s="4"/>
      <c r="Z152" s="4"/>
      <c r="AA152" s="4"/>
      <c r="AB152" s="4"/>
      <c r="AC152" s="4"/>
      <c r="AK152" s="4">
        <v>200</v>
      </c>
      <c r="AL152" s="46">
        <v>2.0899999999999998E-3</v>
      </c>
      <c r="AM152" s="33">
        <v>0</v>
      </c>
      <c r="AN152" s="33">
        <v>1.0000000000000001E-5</v>
      </c>
      <c r="AO152" s="52"/>
      <c r="AP152" s="52"/>
      <c r="AQ152" s="52"/>
      <c r="AR152" s="34">
        <f t="shared" si="40"/>
        <v>0.41799999999999998</v>
      </c>
      <c r="AS152" s="52"/>
      <c r="AT152" s="34">
        <f t="shared" si="41"/>
        <v>40000</v>
      </c>
      <c r="AU152" s="52"/>
      <c r="AV152" s="52"/>
      <c r="AW152" s="52"/>
      <c r="AX152" s="52"/>
      <c r="AY152" s="52"/>
      <c r="AZ152" s="52"/>
      <c r="BA152" s="52"/>
      <c r="BB152" s="34">
        <f t="shared" ref="BB152:BB160" si="46">1/(AN152^2+($S$7*AM152)^2)</f>
        <v>9999999999.9999981</v>
      </c>
      <c r="BC152" s="52"/>
      <c r="BD152" s="37">
        <f t="shared" si="42"/>
        <v>1999999999999.9995</v>
      </c>
      <c r="BE152" s="52"/>
      <c r="BF152" s="34">
        <f t="shared" si="43"/>
        <v>20899999.999999996</v>
      </c>
      <c r="BG152" s="52"/>
      <c r="BH152" s="38">
        <f t="shared" si="44"/>
        <v>4179999999.9999986</v>
      </c>
      <c r="BI152" s="52"/>
      <c r="BJ152" s="38">
        <f t="shared" si="45"/>
        <v>399999999999999.94</v>
      </c>
      <c r="BK152" s="52"/>
      <c r="BL152" s="52"/>
      <c r="BM152" s="52"/>
      <c r="BN152" s="52"/>
      <c r="BO152" s="52"/>
      <c r="BP152" s="52"/>
      <c r="BQ152" s="49"/>
      <c r="BR152" s="49"/>
      <c r="BS152" s="49"/>
      <c r="BT152" s="49"/>
    </row>
    <row r="153" spans="22:72" ht="16" thickBot="1" x14ac:dyDescent="0.25">
      <c r="V153" s="4"/>
      <c r="W153" s="4"/>
      <c r="X153" s="4"/>
      <c r="Y153" s="4"/>
      <c r="Z153" s="4"/>
      <c r="AA153" s="4"/>
      <c r="AB153" s="4"/>
      <c r="AC153" s="4"/>
      <c r="AK153" s="4">
        <v>300</v>
      </c>
      <c r="AL153" s="46">
        <v>2.1900000000000001E-3</v>
      </c>
      <c r="AM153" s="33">
        <v>0</v>
      </c>
      <c r="AN153" s="33">
        <v>1.0000000000000001E-5</v>
      </c>
      <c r="AO153" s="52"/>
      <c r="AP153" s="52"/>
      <c r="AQ153" s="52"/>
      <c r="AR153" s="34">
        <f t="shared" si="40"/>
        <v>0.65700000000000003</v>
      </c>
      <c r="AS153" s="52"/>
      <c r="AT153" s="34">
        <f t="shared" si="41"/>
        <v>90000</v>
      </c>
      <c r="AU153" s="52"/>
      <c r="AV153" s="52"/>
      <c r="AW153" s="52"/>
      <c r="AX153" s="52"/>
      <c r="AY153" s="52"/>
      <c r="AZ153" s="52"/>
      <c r="BA153" s="52"/>
      <c r="BB153" s="34">
        <f t="shared" si="46"/>
        <v>9999999999.9999981</v>
      </c>
      <c r="BC153" s="52"/>
      <c r="BD153" s="37">
        <f t="shared" si="42"/>
        <v>2999999999999.9995</v>
      </c>
      <c r="BE153" s="52"/>
      <c r="BF153" s="34">
        <f t="shared" si="43"/>
        <v>21899999.999999996</v>
      </c>
      <c r="BG153" s="52"/>
      <c r="BH153" s="38">
        <f t="shared" si="44"/>
        <v>6569999999.999999</v>
      </c>
      <c r="BI153" s="52"/>
      <c r="BJ153" s="38">
        <f t="shared" si="45"/>
        <v>899999999999999.88</v>
      </c>
      <c r="BK153" s="52"/>
      <c r="BL153" s="52"/>
      <c r="BM153" s="52"/>
      <c r="BN153" s="52"/>
      <c r="BO153" s="52"/>
      <c r="BP153" s="52"/>
      <c r="BQ153" s="49"/>
      <c r="BR153" s="49"/>
      <c r="BS153" s="49"/>
      <c r="BT153" s="49"/>
    </row>
    <row r="154" spans="22:72" ht="16" thickBot="1" x14ac:dyDescent="0.25">
      <c r="V154" s="4"/>
      <c r="W154" s="4"/>
      <c r="X154" s="4"/>
      <c r="Y154" s="4"/>
      <c r="Z154" s="4"/>
      <c r="AA154" s="4"/>
      <c r="AB154" s="4"/>
      <c r="AC154" s="4"/>
      <c r="AK154" s="4"/>
      <c r="AL154" s="4"/>
      <c r="AM154" s="33"/>
      <c r="AN154" s="33"/>
      <c r="AO154" s="52"/>
      <c r="AP154" s="52"/>
      <c r="AQ154" s="52"/>
      <c r="AR154" s="34">
        <f t="shared" si="40"/>
        <v>0</v>
      </c>
      <c r="AS154" s="52"/>
      <c r="AT154" s="34">
        <f t="shared" si="41"/>
        <v>0</v>
      </c>
      <c r="AU154" s="52"/>
      <c r="AV154" s="52"/>
      <c r="AW154" s="52"/>
      <c r="AX154" s="52"/>
      <c r="AY154" s="52"/>
      <c r="AZ154" s="52"/>
      <c r="BA154" s="52"/>
      <c r="BB154" s="34" t="e">
        <f t="shared" si="46"/>
        <v>#DIV/0!</v>
      </c>
      <c r="BC154" s="52"/>
      <c r="BD154" s="37" t="e">
        <f t="shared" si="42"/>
        <v>#DIV/0!</v>
      </c>
      <c r="BE154" s="52"/>
      <c r="BF154" s="34" t="e">
        <f t="shared" si="43"/>
        <v>#DIV/0!</v>
      </c>
      <c r="BG154" s="52"/>
      <c r="BH154" s="38" t="e">
        <f t="shared" si="44"/>
        <v>#DIV/0!</v>
      </c>
      <c r="BI154" s="52"/>
      <c r="BJ154" s="38" t="e">
        <f t="shared" si="45"/>
        <v>#DIV/0!</v>
      </c>
      <c r="BK154" s="52"/>
      <c r="BL154" s="52"/>
      <c r="BM154" s="52"/>
      <c r="BN154" s="52"/>
      <c r="BO154" s="52"/>
      <c r="BP154" s="52"/>
      <c r="BQ154" s="49"/>
      <c r="BR154" s="49"/>
      <c r="BS154" s="49"/>
      <c r="BT154" s="49"/>
    </row>
    <row r="155" spans="22:72" ht="16" thickBot="1" x14ac:dyDescent="0.25">
      <c r="V155" s="4"/>
      <c r="W155" s="4"/>
      <c r="X155" s="4"/>
      <c r="Y155" s="4"/>
      <c r="Z155" s="4"/>
      <c r="AA155" s="4"/>
      <c r="AB155" s="4"/>
      <c r="AC155" s="4"/>
      <c r="AK155" s="4"/>
      <c r="AL155" s="4"/>
      <c r="AM155" s="33"/>
      <c r="AN155" s="33"/>
      <c r="AO155" s="52"/>
      <c r="AP155" s="52"/>
      <c r="AQ155" s="52"/>
      <c r="AR155" s="34">
        <f t="shared" si="40"/>
        <v>0</v>
      </c>
      <c r="AS155" s="52"/>
      <c r="AT155" s="34">
        <f t="shared" si="41"/>
        <v>0</v>
      </c>
      <c r="AU155" s="52"/>
      <c r="AV155" s="52"/>
      <c r="AW155" s="52"/>
      <c r="AX155" s="52"/>
      <c r="AY155" s="52"/>
      <c r="AZ155" s="52"/>
      <c r="BA155" s="52"/>
      <c r="BB155" s="34" t="e">
        <f t="shared" si="46"/>
        <v>#DIV/0!</v>
      </c>
      <c r="BC155" s="52"/>
      <c r="BD155" s="37" t="e">
        <f t="shared" si="42"/>
        <v>#DIV/0!</v>
      </c>
      <c r="BE155" s="52"/>
      <c r="BF155" s="34" t="e">
        <f t="shared" si="43"/>
        <v>#DIV/0!</v>
      </c>
      <c r="BG155" s="52"/>
      <c r="BH155" s="38" t="e">
        <f t="shared" si="44"/>
        <v>#DIV/0!</v>
      </c>
      <c r="BI155" s="52"/>
      <c r="BJ155" s="38" t="e">
        <f t="shared" si="45"/>
        <v>#DIV/0!</v>
      </c>
      <c r="BK155" s="52"/>
      <c r="BL155" s="52"/>
      <c r="BM155" s="52"/>
      <c r="BN155" s="52"/>
      <c r="BO155" s="52"/>
      <c r="BP155" s="52"/>
      <c r="BQ155" s="49"/>
      <c r="BR155" s="49"/>
      <c r="BS155" s="49"/>
      <c r="BT155" s="49"/>
    </row>
    <row r="156" spans="22:72" ht="16" thickBot="1" x14ac:dyDescent="0.25">
      <c r="V156" s="4"/>
      <c r="W156" s="4"/>
      <c r="X156" s="4"/>
      <c r="Y156" s="4"/>
      <c r="Z156" s="4"/>
      <c r="AA156" s="4"/>
      <c r="AB156" s="4"/>
      <c r="AC156" s="4"/>
      <c r="AK156" s="4"/>
      <c r="AL156" s="4"/>
      <c r="AM156" s="33"/>
      <c r="AN156" s="33"/>
      <c r="AO156" s="52"/>
      <c r="AP156" s="52"/>
      <c r="AQ156" s="52"/>
      <c r="AR156" s="34">
        <f t="shared" si="40"/>
        <v>0</v>
      </c>
      <c r="AS156" s="52"/>
      <c r="AT156" s="34">
        <f t="shared" si="41"/>
        <v>0</v>
      </c>
      <c r="AU156" s="52"/>
      <c r="AV156" s="52"/>
      <c r="AW156" s="52"/>
      <c r="AX156" s="52"/>
      <c r="AY156" s="52"/>
      <c r="AZ156" s="52"/>
      <c r="BA156" s="52"/>
      <c r="BB156" s="34" t="e">
        <f t="shared" si="46"/>
        <v>#DIV/0!</v>
      </c>
      <c r="BC156" s="52"/>
      <c r="BD156" s="37" t="e">
        <f t="shared" si="42"/>
        <v>#DIV/0!</v>
      </c>
      <c r="BE156" s="52"/>
      <c r="BF156" s="34" t="e">
        <f t="shared" si="43"/>
        <v>#DIV/0!</v>
      </c>
      <c r="BG156" s="52"/>
      <c r="BH156" s="38" t="e">
        <f t="shared" si="44"/>
        <v>#DIV/0!</v>
      </c>
      <c r="BI156" s="52"/>
      <c r="BJ156" s="38" t="e">
        <f t="shared" si="45"/>
        <v>#DIV/0!</v>
      </c>
      <c r="BK156" s="52"/>
      <c r="BL156" s="52"/>
      <c r="BM156" s="52"/>
      <c r="BN156" s="52"/>
      <c r="BO156" s="52"/>
      <c r="BP156" s="52"/>
      <c r="BQ156" s="49"/>
      <c r="BR156" s="49"/>
      <c r="BS156" s="49"/>
      <c r="BT156" s="49"/>
    </row>
    <row r="157" spans="22:72" ht="16" thickBot="1" x14ac:dyDescent="0.25">
      <c r="V157" s="4"/>
      <c r="W157" s="4"/>
      <c r="X157" s="4"/>
      <c r="Y157" s="4"/>
      <c r="Z157" s="4"/>
      <c r="AA157" s="4"/>
      <c r="AB157" s="4"/>
      <c r="AC157" s="4"/>
      <c r="AK157" s="4"/>
      <c r="AL157" s="4"/>
      <c r="AM157" s="33"/>
      <c r="AN157" s="33"/>
      <c r="AO157" s="52"/>
      <c r="AP157" s="52"/>
      <c r="AQ157" s="52"/>
      <c r="AR157" s="34">
        <f t="shared" si="40"/>
        <v>0</v>
      </c>
      <c r="AS157" s="52"/>
      <c r="AT157" s="34">
        <f t="shared" si="41"/>
        <v>0</v>
      </c>
      <c r="AU157" s="52"/>
      <c r="AV157" s="52"/>
      <c r="AW157" s="52"/>
      <c r="AX157" s="52"/>
      <c r="AY157" s="52"/>
      <c r="AZ157" s="52"/>
      <c r="BA157" s="52"/>
      <c r="BB157" s="34" t="e">
        <f t="shared" si="46"/>
        <v>#DIV/0!</v>
      </c>
      <c r="BC157" s="52"/>
      <c r="BD157" s="37" t="e">
        <f t="shared" si="42"/>
        <v>#DIV/0!</v>
      </c>
      <c r="BE157" s="52"/>
      <c r="BF157" s="34" t="e">
        <f t="shared" si="43"/>
        <v>#DIV/0!</v>
      </c>
      <c r="BG157" s="52"/>
      <c r="BH157" s="38" t="e">
        <f t="shared" si="44"/>
        <v>#DIV/0!</v>
      </c>
      <c r="BI157" s="52"/>
      <c r="BJ157" s="38" t="e">
        <f t="shared" si="45"/>
        <v>#DIV/0!</v>
      </c>
      <c r="BK157" s="52"/>
      <c r="BL157" s="52"/>
      <c r="BM157" s="52"/>
      <c r="BN157" s="52"/>
      <c r="BO157" s="52"/>
      <c r="BP157" s="52"/>
      <c r="BQ157" s="49"/>
      <c r="BR157" s="49"/>
      <c r="BS157" s="49"/>
      <c r="BT157" s="49"/>
    </row>
    <row r="158" spans="22:72" ht="16" thickBot="1" x14ac:dyDescent="0.25">
      <c r="V158" s="4"/>
      <c r="W158" s="4"/>
      <c r="X158" s="4"/>
      <c r="Y158" s="4"/>
      <c r="Z158" s="4"/>
      <c r="AA158" s="4"/>
      <c r="AB158" s="4"/>
      <c r="AC158" s="4"/>
      <c r="AK158" s="4"/>
      <c r="AL158" s="4"/>
      <c r="AM158" s="33"/>
      <c r="AN158" s="33"/>
      <c r="AO158" s="52"/>
      <c r="AP158" s="52"/>
      <c r="AQ158" s="52"/>
      <c r="AR158" s="34">
        <f t="shared" si="40"/>
        <v>0</v>
      </c>
      <c r="AS158" s="52"/>
      <c r="AT158" s="34">
        <f t="shared" si="41"/>
        <v>0</v>
      </c>
      <c r="AU158" s="52"/>
      <c r="AV158" s="52"/>
      <c r="AW158" s="52"/>
      <c r="AX158" s="52"/>
      <c r="AY158" s="52"/>
      <c r="AZ158" s="52"/>
      <c r="BA158" s="52"/>
      <c r="BB158" s="34" t="e">
        <f t="shared" si="46"/>
        <v>#DIV/0!</v>
      </c>
      <c r="BC158" s="52"/>
      <c r="BD158" s="37" t="e">
        <f t="shared" si="42"/>
        <v>#DIV/0!</v>
      </c>
      <c r="BE158" s="52"/>
      <c r="BF158" s="34" t="e">
        <f t="shared" si="43"/>
        <v>#DIV/0!</v>
      </c>
      <c r="BG158" s="52"/>
      <c r="BH158" s="38" t="e">
        <f t="shared" si="44"/>
        <v>#DIV/0!</v>
      </c>
      <c r="BI158" s="52"/>
      <c r="BJ158" s="38" t="e">
        <f t="shared" si="45"/>
        <v>#DIV/0!</v>
      </c>
      <c r="BK158" s="52"/>
      <c r="BL158" s="52"/>
      <c r="BM158" s="52"/>
      <c r="BN158" s="52"/>
      <c r="BO158" s="52"/>
      <c r="BP158" s="52"/>
      <c r="BQ158" s="49"/>
      <c r="BR158" s="49"/>
      <c r="BS158" s="49"/>
      <c r="BT158" s="49"/>
    </row>
    <row r="159" spans="22:72" ht="16" thickBot="1" x14ac:dyDescent="0.25">
      <c r="V159" s="4"/>
      <c r="W159" s="4"/>
      <c r="X159" s="4"/>
      <c r="Y159" s="4"/>
      <c r="Z159" s="4"/>
      <c r="AA159" s="4"/>
      <c r="AB159" s="4"/>
      <c r="AC159" s="4"/>
      <c r="AK159" s="4"/>
      <c r="AL159" s="4"/>
      <c r="AM159" s="33"/>
      <c r="AN159" s="33"/>
      <c r="AO159" s="52"/>
      <c r="AP159" s="52"/>
      <c r="AQ159" s="52"/>
      <c r="AR159" s="34">
        <f t="shared" si="40"/>
        <v>0</v>
      </c>
      <c r="AS159" s="52"/>
      <c r="AT159" s="34">
        <f t="shared" si="41"/>
        <v>0</v>
      </c>
      <c r="AU159" s="52"/>
      <c r="AV159" s="52"/>
      <c r="AW159" s="52"/>
      <c r="AX159" s="52"/>
      <c r="AY159" s="52"/>
      <c r="AZ159" s="52"/>
      <c r="BA159" s="52"/>
      <c r="BB159" s="34" t="e">
        <f t="shared" si="46"/>
        <v>#DIV/0!</v>
      </c>
      <c r="BC159" s="52"/>
      <c r="BD159" s="37" t="e">
        <f t="shared" si="42"/>
        <v>#DIV/0!</v>
      </c>
      <c r="BE159" s="52"/>
      <c r="BF159" s="34" t="e">
        <f t="shared" si="43"/>
        <v>#DIV/0!</v>
      </c>
      <c r="BG159" s="52"/>
      <c r="BH159" s="38" t="e">
        <f t="shared" si="44"/>
        <v>#DIV/0!</v>
      </c>
      <c r="BI159" s="52"/>
      <c r="BJ159" s="38" t="e">
        <f t="shared" si="45"/>
        <v>#DIV/0!</v>
      </c>
      <c r="BK159" s="52"/>
      <c r="BL159" s="52"/>
      <c r="BM159" s="52"/>
      <c r="BN159" s="52"/>
      <c r="BO159" s="52"/>
      <c r="BP159" s="52"/>
      <c r="BQ159" s="49"/>
      <c r="BR159" s="49"/>
      <c r="BS159" s="49"/>
      <c r="BT159" s="49"/>
    </row>
    <row r="160" spans="22:72" ht="16" thickBot="1" x14ac:dyDescent="0.25">
      <c r="V160" s="4"/>
      <c r="W160" s="4"/>
      <c r="X160" s="4"/>
      <c r="Y160" s="4"/>
      <c r="Z160" s="4"/>
      <c r="AA160" s="4"/>
      <c r="AB160" s="4"/>
      <c r="AC160" s="4"/>
      <c r="AK160" s="4"/>
      <c r="AL160" s="4"/>
      <c r="AM160" s="33"/>
      <c r="AN160" s="33"/>
      <c r="AO160" s="53"/>
      <c r="AP160" s="53"/>
      <c r="AQ160" s="53"/>
      <c r="AR160" s="39">
        <f>AK160*AL160</f>
        <v>0</v>
      </c>
      <c r="AS160" s="53"/>
      <c r="AT160" s="39">
        <f>AK160^2</f>
        <v>0</v>
      </c>
      <c r="AU160" s="53"/>
      <c r="AV160" s="53"/>
      <c r="AW160" s="53"/>
      <c r="AX160" s="53"/>
      <c r="AY160" s="53"/>
      <c r="AZ160" s="53"/>
      <c r="BA160" s="53"/>
      <c r="BB160" s="39" t="e">
        <f t="shared" si="46"/>
        <v>#DIV/0!</v>
      </c>
      <c r="BC160" s="53"/>
      <c r="BD160" s="40" t="e">
        <f t="shared" si="42"/>
        <v>#DIV/0!</v>
      </c>
      <c r="BE160" s="53"/>
      <c r="BF160" s="39" t="e">
        <f t="shared" si="43"/>
        <v>#DIV/0!</v>
      </c>
      <c r="BG160" s="53"/>
      <c r="BH160" s="41" t="e">
        <f t="shared" si="44"/>
        <v>#DIV/0!</v>
      </c>
      <c r="BI160" s="53"/>
      <c r="BJ160" s="41" t="e">
        <f t="shared" si="45"/>
        <v>#DIV/0!</v>
      </c>
      <c r="BK160" s="53"/>
      <c r="BL160" s="53"/>
      <c r="BM160" s="53"/>
      <c r="BN160" s="53"/>
      <c r="BO160" s="53"/>
      <c r="BP160" s="53"/>
      <c r="BQ160" s="50"/>
      <c r="BR160" s="50"/>
      <c r="BS160" s="50"/>
      <c r="BT160" s="50"/>
    </row>
    <row r="161" spans="22:72" x14ac:dyDescent="0.2">
      <c r="V161" s="4"/>
      <c r="W161" s="4"/>
      <c r="X161" s="4"/>
      <c r="Y161" s="4"/>
      <c r="Z161" s="4"/>
      <c r="AA161" s="4"/>
      <c r="AB161" s="4"/>
      <c r="AC161" s="4"/>
    </row>
    <row r="162" spans="22:72" x14ac:dyDescent="0.2">
      <c r="V162" s="4"/>
      <c r="W162" s="4"/>
      <c r="X162" s="4"/>
      <c r="Y162" s="4"/>
      <c r="Z162" s="4"/>
      <c r="AA162" s="4"/>
      <c r="AB162" s="4"/>
      <c r="AC162" s="4"/>
    </row>
    <row r="163" spans="22:72" x14ac:dyDescent="0.2">
      <c r="V163" s="4"/>
      <c r="W163" s="4"/>
      <c r="X163" s="4"/>
      <c r="Y163" s="4"/>
      <c r="Z163" s="4"/>
      <c r="AA163" s="4"/>
      <c r="AB163" s="4"/>
      <c r="AC163" s="4"/>
    </row>
    <row r="164" spans="22:72" ht="16" thickBot="1" x14ac:dyDescent="0.25">
      <c r="V164" s="4"/>
      <c r="W164" s="4"/>
      <c r="X164" s="4"/>
      <c r="Y164" s="4"/>
      <c r="Z164" s="4"/>
      <c r="AA164" s="4"/>
      <c r="AB164" s="4"/>
      <c r="AC164" s="4"/>
    </row>
    <row r="165" spans="22:72" ht="16" thickBot="1" x14ac:dyDescent="0.25">
      <c r="V165" s="4"/>
      <c r="W165" s="4"/>
      <c r="X165" s="4"/>
      <c r="Y165" s="4"/>
      <c r="Z165" s="4"/>
      <c r="AA165" s="4"/>
      <c r="AB165" s="4"/>
      <c r="AC165" s="4"/>
      <c r="AK165" s="22" t="s">
        <v>142</v>
      </c>
      <c r="AL165" s="22" t="s">
        <v>138</v>
      </c>
      <c r="AM165" s="22"/>
      <c r="AN165" s="22"/>
      <c r="AO165" s="54" t="s">
        <v>83</v>
      </c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6"/>
      <c r="BB165" s="57" t="s">
        <v>84</v>
      </c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9"/>
      <c r="BQ165" s="22"/>
      <c r="BR165" s="22"/>
      <c r="BS165" s="22"/>
      <c r="BT165" s="22"/>
    </row>
    <row r="166" spans="22:72" ht="18" thickBot="1" x14ac:dyDescent="0.25">
      <c r="V166" s="4"/>
      <c r="W166" s="4"/>
      <c r="X166" s="4"/>
      <c r="Y166" s="4"/>
      <c r="Z166" s="4"/>
      <c r="AA166" s="4"/>
      <c r="AB166" s="4"/>
      <c r="AC166" s="4"/>
      <c r="AK166" s="25" t="s">
        <v>85</v>
      </c>
      <c r="AL166" s="25" t="s">
        <v>86</v>
      </c>
      <c r="AM166" s="25" t="s">
        <v>87</v>
      </c>
      <c r="AN166" s="25" t="s">
        <v>88</v>
      </c>
      <c r="AO166" s="26" t="s">
        <v>89</v>
      </c>
      <c r="AP166" s="26" t="s">
        <v>90</v>
      </c>
      <c r="AQ166" s="26" t="s">
        <v>91</v>
      </c>
      <c r="AR166" s="26" t="s">
        <v>92</v>
      </c>
      <c r="AS166" s="26" t="s">
        <v>93</v>
      </c>
      <c r="AT166" s="26" t="s">
        <v>94</v>
      </c>
      <c r="AU166" s="26" t="s">
        <v>95</v>
      </c>
      <c r="AV166" s="26" t="s">
        <v>96</v>
      </c>
      <c r="AW166" s="27" t="s">
        <v>97</v>
      </c>
      <c r="AX166" s="27" t="s">
        <v>98</v>
      </c>
      <c r="AY166" s="27" t="s">
        <v>99</v>
      </c>
      <c r="AZ166" s="26" t="s">
        <v>100</v>
      </c>
      <c r="BA166" s="26" t="s">
        <v>101</v>
      </c>
      <c r="BB166" s="28" t="s">
        <v>102</v>
      </c>
      <c r="BC166" s="23" t="s">
        <v>89</v>
      </c>
      <c r="BD166" s="23" t="s">
        <v>103</v>
      </c>
      <c r="BE166" s="23" t="s">
        <v>90</v>
      </c>
      <c r="BF166" s="29" t="s">
        <v>104</v>
      </c>
      <c r="BG166" s="28" t="s">
        <v>91</v>
      </c>
      <c r="BH166" s="24" t="s">
        <v>105</v>
      </c>
      <c r="BI166" s="24" t="s">
        <v>93</v>
      </c>
      <c r="BJ166" s="24" t="s">
        <v>106</v>
      </c>
      <c r="BK166" s="24" t="s">
        <v>107</v>
      </c>
      <c r="BL166" s="28" t="s">
        <v>100</v>
      </c>
      <c r="BM166" s="28" t="s">
        <v>101</v>
      </c>
      <c r="BN166" s="23" t="s">
        <v>96</v>
      </c>
      <c r="BO166" s="30" t="s">
        <v>108</v>
      </c>
      <c r="BP166" s="30" t="s">
        <v>109</v>
      </c>
      <c r="BQ166" s="31" t="s">
        <v>110</v>
      </c>
      <c r="BR166" s="31" t="s">
        <v>111</v>
      </c>
      <c r="BS166" s="32" t="s">
        <v>112</v>
      </c>
      <c r="BT166" s="31" t="s">
        <v>113</v>
      </c>
    </row>
    <row r="167" spans="22:72" ht="16" thickBot="1" x14ac:dyDescent="0.25">
      <c r="V167" s="4"/>
      <c r="W167" s="4"/>
      <c r="X167" s="4"/>
      <c r="Y167" s="4"/>
      <c r="Z167" s="4"/>
      <c r="AA167" s="4"/>
      <c r="AB167" s="4"/>
      <c r="AC167" s="4"/>
      <c r="AK167" s="4">
        <v>100</v>
      </c>
      <c r="AL167" s="46">
        <v>1.8799999999999999E-3</v>
      </c>
      <c r="AM167" s="33">
        <v>0</v>
      </c>
      <c r="AN167" s="33">
        <v>1.0000000000000001E-5</v>
      </c>
      <c r="AO167" s="51">
        <f>COUNTA(AL167:AL176)</f>
        <v>3</v>
      </c>
      <c r="AP167" s="51">
        <f>SUM(AK167:AK176)</f>
        <v>600</v>
      </c>
      <c r="AQ167" s="51">
        <f>SUM(AL167:AL176)</f>
        <v>6.3099999999999996E-3</v>
      </c>
      <c r="AR167" s="33">
        <f t="shared" ref="AR167:AR175" si="47">AK167*AL167</f>
        <v>0.188</v>
      </c>
      <c r="AS167" s="51">
        <f>SUM(AR167:AR176)</f>
        <v>1.298</v>
      </c>
      <c r="AT167" s="33">
        <f t="shared" ref="AT167:AT175" si="48">AK167^2</f>
        <v>10000</v>
      </c>
      <c r="AU167" s="51">
        <f>SUM(AT167:AT176)</f>
        <v>140000</v>
      </c>
      <c r="AV167" s="51">
        <f>(AO167*AU167)-(AP167^2)</f>
        <v>60000</v>
      </c>
      <c r="AW167" s="51">
        <f>SQRT(AN167^2+(BA167*AM167)^2)</f>
        <v>1.0000000000000001E-5</v>
      </c>
      <c r="AX167" s="51">
        <f>AW167*SQRT(AU167/AV167)</f>
        <v>1.527525231651947E-5</v>
      </c>
      <c r="AY167" s="51">
        <f>AW167*SQRT(AO167/AV167)</f>
        <v>7.0710678118654758E-8</v>
      </c>
      <c r="AZ167" s="51">
        <f>(AU167*AQ167-AP167*AS167)/AV167</f>
        <v>1.7433333333333318E-3</v>
      </c>
      <c r="BA167" s="51">
        <f>((AO167*AS167)-(AP167*AQ167))/AV167</f>
        <v>1.800000000000009E-6</v>
      </c>
      <c r="BB167" s="34">
        <f>1/(AN167^2+($S$7*AM167)^2)</f>
        <v>9999999999.9999981</v>
      </c>
      <c r="BC167" s="51" t="e">
        <f>SUM(BB167:BB176)</f>
        <v>#DIV/0!</v>
      </c>
      <c r="BD167" s="35">
        <f t="shared" ref="BD167:BD176" si="49">BB167*AK167</f>
        <v>999999999999.99976</v>
      </c>
      <c r="BE167" s="51" t="e">
        <f>SUM(BD167:BD176)</f>
        <v>#DIV/0!</v>
      </c>
      <c r="BF167" s="33">
        <f t="shared" ref="BF167:BF176" si="50">BB167*AL167</f>
        <v>18799999.999999996</v>
      </c>
      <c r="BG167" s="51" t="e">
        <f>SUM(BF167:BF176)</f>
        <v>#DIV/0!</v>
      </c>
      <c r="BH167" s="36">
        <f t="shared" ref="BH167:BH176" si="51">BB167*AK167*AL167</f>
        <v>1879999999.9999995</v>
      </c>
      <c r="BI167" s="51" t="e">
        <f>SUM(BH167:BH176)</f>
        <v>#DIV/0!</v>
      </c>
      <c r="BJ167" s="36">
        <f t="shared" ref="BJ167:BJ176" si="52">BB167*AT167</f>
        <v>99999999999999.984</v>
      </c>
      <c r="BK167" s="51" t="e">
        <f>SUM(BJ167:BJ176)</f>
        <v>#DIV/0!</v>
      </c>
      <c r="BL167" s="51" t="e">
        <f>((BK167*BG167)-(BE167*BI167))/BN167</f>
        <v>#DIV/0!</v>
      </c>
      <c r="BM167" s="51" t="e">
        <f>((BC167*BI167)-(BE167*BG167))/BN167</f>
        <v>#DIV/0!</v>
      </c>
      <c r="BN167" s="51" t="e">
        <f>(BC167*BK167)-(BE167^2)</f>
        <v>#DIV/0!</v>
      </c>
      <c r="BO167" s="51" t="e">
        <f>SQRT((BK167/BN167))</f>
        <v>#DIV/0!</v>
      </c>
      <c r="BP167" s="51" t="e">
        <f>SQRT((BC167/BN167))</f>
        <v>#DIV/0!</v>
      </c>
      <c r="BQ167" s="48">
        <f>_xlfn.STDEV.S(AK167:AK176)</f>
        <v>100</v>
      </c>
      <c r="BR167" s="48">
        <f>_xlfn.STDEV.S(AL167:AL176)</f>
        <v>1.9502136635080099E-4</v>
      </c>
      <c r="BS167" s="48">
        <f>_xlfn.COVARIANCE.S(AK167:AK176,AL167:AL176)</f>
        <v>1.7999999999999992E-2</v>
      </c>
      <c r="BT167" s="48">
        <f>CORREL(AK167:AK176,AL167:AL176)</f>
        <v>0.92297579166899624</v>
      </c>
    </row>
    <row r="168" spans="22:72" ht="16" thickBot="1" x14ac:dyDescent="0.25">
      <c r="V168" s="4"/>
      <c r="W168" s="4"/>
      <c r="X168" s="4"/>
      <c r="Y168" s="4"/>
      <c r="Z168" s="4"/>
      <c r="AA168" s="4"/>
      <c r="AB168" s="4"/>
      <c r="AC168" s="4"/>
      <c r="AK168" s="4">
        <v>200</v>
      </c>
      <c r="AL168" s="46">
        <v>2.1900000000000001E-3</v>
      </c>
      <c r="AM168" s="33">
        <v>0</v>
      </c>
      <c r="AN168" s="33">
        <v>1.0000000000000001E-5</v>
      </c>
      <c r="AO168" s="52"/>
      <c r="AP168" s="52"/>
      <c r="AQ168" s="52"/>
      <c r="AR168" s="34">
        <f t="shared" si="47"/>
        <v>0.438</v>
      </c>
      <c r="AS168" s="52"/>
      <c r="AT168" s="34">
        <f t="shared" si="48"/>
        <v>40000</v>
      </c>
      <c r="AU168" s="52"/>
      <c r="AV168" s="52"/>
      <c r="AW168" s="52"/>
      <c r="AX168" s="52"/>
      <c r="AY168" s="52"/>
      <c r="AZ168" s="52"/>
      <c r="BA168" s="52"/>
      <c r="BB168" s="34">
        <f t="shared" ref="BB168:BB176" si="53">1/(AN168^2+($S$7*AM168)^2)</f>
        <v>9999999999.9999981</v>
      </c>
      <c r="BC168" s="52"/>
      <c r="BD168" s="37">
        <f t="shared" si="49"/>
        <v>1999999999999.9995</v>
      </c>
      <c r="BE168" s="52"/>
      <c r="BF168" s="34">
        <f t="shared" si="50"/>
        <v>21899999.999999996</v>
      </c>
      <c r="BG168" s="52"/>
      <c r="BH168" s="38">
        <f t="shared" si="51"/>
        <v>4379999999.999999</v>
      </c>
      <c r="BI168" s="52"/>
      <c r="BJ168" s="38">
        <f t="shared" si="52"/>
        <v>399999999999999.94</v>
      </c>
      <c r="BK168" s="52"/>
      <c r="BL168" s="52"/>
      <c r="BM168" s="52"/>
      <c r="BN168" s="52"/>
      <c r="BO168" s="52"/>
      <c r="BP168" s="52"/>
      <c r="BQ168" s="49"/>
      <c r="BR168" s="49"/>
      <c r="BS168" s="49"/>
      <c r="BT168" s="49"/>
    </row>
    <row r="169" spans="22:72" ht="16" thickBot="1" x14ac:dyDescent="0.25">
      <c r="V169" s="4"/>
      <c r="W169" s="4"/>
      <c r="X169" s="4"/>
      <c r="Y169" s="4"/>
      <c r="Z169" s="4"/>
      <c r="AA169" s="4"/>
      <c r="AB169" s="4"/>
      <c r="AC169" s="4"/>
      <c r="AK169" s="4">
        <v>300</v>
      </c>
      <c r="AL169" s="46">
        <v>2.2399999999999998E-3</v>
      </c>
      <c r="AM169" s="33">
        <v>0</v>
      </c>
      <c r="AN169" s="33">
        <v>1.0000000000000001E-5</v>
      </c>
      <c r="AO169" s="52"/>
      <c r="AP169" s="52"/>
      <c r="AQ169" s="52"/>
      <c r="AR169" s="34">
        <f t="shared" si="47"/>
        <v>0.67199999999999993</v>
      </c>
      <c r="AS169" s="52"/>
      <c r="AT169" s="34">
        <f t="shared" si="48"/>
        <v>90000</v>
      </c>
      <c r="AU169" s="52"/>
      <c r="AV169" s="52"/>
      <c r="AW169" s="52"/>
      <c r="AX169" s="52"/>
      <c r="AY169" s="52"/>
      <c r="AZ169" s="52"/>
      <c r="BA169" s="52"/>
      <c r="BB169" s="34">
        <f t="shared" si="53"/>
        <v>9999999999.9999981</v>
      </c>
      <c r="BC169" s="52"/>
      <c r="BD169" s="37">
        <f t="shared" si="49"/>
        <v>2999999999999.9995</v>
      </c>
      <c r="BE169" s="52"/>
      <c r="BF169" s="34">
        <f t="shared" si="50"/>
        <v>22399999.999999993</v>
      </c>
      <c r="BG169" s="52"/>
      <c r="BH169" s="38">
        <f t="shared" si="51"/>
        <v>6719999999.9999981</v>
      </c>
      <c r="BI169" s="52"/>
      <c r="BJ169" s="38">
        <f t="shared" si="52"/>
        <v>899999999999999.88</v>
      </c>
      <c r="BK169" s="52"/>
      <c r="BL169" s="52"/>
      <c r="BM169" s="52"/>
      <c r="BN169" s="52"/>
      <c r="BO169" s="52"/>
      <c r="BP169" s="52"/>
      <c r="BQ169" s="49"/>
      <c r="BR169" s="49"/>
      <c r="BS169" s="49"/>
      <c r="BT169" s="49"/>
    </row>
    <row r="170" spans="22:72" ht="16" thickBot="1" x14ac:dyDescent="0.25">
      <c r="V170" s="4"/>
      <c r="W170" s="4"/>
      <c r="X170" s="4"/>
      <c r="Y170" s="4"/>
      <c r="Z170" s="4"/>
      <c r="AA170" s="4"/>
      <c r="AB170" s="4"/>
      <c r="AC170" s="4"/>
      <c r="AK170" s="4"/>
      <c r="AL170" s="4"/>
      <c r="AM170" s="33"/>
      <c r="AN170" s="33"/>
      <c r="AO170" s="52"/>
      <c r="AP170" s="52"/>
      <c r="AQ170" s="52"/>
      <c r="AR170" s="34">
        <f t="shared" si="47"/>
        <v>0</v>
      </c>
      <c r="AS170" s="52"/>
      <c r="AT170" s="34">
        <f t="shared" si="48"/>
        <v>0</v>
      </c>
      <c r="AU170" s="52"/>
      <c r="AV170" s="52"/>
      <c r="AW170" s="52"/>
      <c r="AX170" s="52"/>
      <c r="AY170" s="52"/>
      <c r="AZ170" s="52"/>
      <c r="BA170" s="52"/>
      <c r="BB170" s="34" t="e">
        <f t="shared" si="53"/>
        <v>#DIV/0!</v>
      </c>
      <c r="BC170" s="52"/>
      <c r="BD170" s="37" t="e">
        <f t="shared" si="49"/>
        <v>#DIV/0!</v>
      </c>
      <c r="BE170" s="52"/>
      <c r="BF170" s="34" t="e">
        <f t="shared" si="50"/>
        <v>#DIV/0!</v>
      </c>
      <c r="BG170" s="52"/>
      <c r="BH170" s="38" t="e">
        <f t="shared" si="51"/>
        <v>#DIV/0!</v>
      </c>
      <c r="BI170" s="52"/>
      <c r="BJ170" s="38" t="e">
        <f t="shared" si="52"/>
        <v>#DIV/0!</v>
      </c>
      <c r="BK170" s="52"/>
      <c r="BL170" s="52"/>
      <c r="BM170" s="52"/>
      <c r="BN170" s="52"/>
      <c r="BO170" s="52"/>
      <c r="BP170" s="52"/>
      <c r="BQ170" s="49"/>
      <c r="BR170" s="49"/>
      <c r="BS170" s="49"/>
      <c r="BT170" s="49"/>
    </row>
    <row r="171" spans="22:72" ht="16" thickBot="1" x14ac:dyDescent="0.25">
      <c r="V171" s="4"/>
      <c r="W171" s="4"/>
      <c r="X171" s="4"/>
      <c r="Y171" s="4"/>
      <c r="Z171" s="4"/>
      <c r="AA171" s="4"/>
      <c r="AB171" s="4"/>
      <c r="AC171" s="4"/>
      <c r="AK171" s="4"/>
      <c r="AL171" s="4"/>
      <c r="AM171" s="33"/>
      <c r="AN171" s="33"/>
      <c r="AO171" s="52"/>
      <c r="AP171" s="52"/>
      <c r="AQ171" s="52"/>
      <c r="AR171" s="34">
        <f t="shared" si="47"/>
        <v>0</v>
      </c>
      <c r="AS171" s="52"/>
      <c r="AT171" s="34">
        <f t="shared" si="48"/>
        <v>0</v>
      </c>
      <c r="AU171" s="52"/>
      <c r="AV171" s="52"/>
      <c r="AW171" s="52"/>
      <c r="AX171" s="52"/>
      <c r="AY171" s="52"/>
      <c r="AZ171" s="52"/>
      <c r="BA171" s="52"/>
      <c r="BB171" s="34" t="e">
        <f t="shared" si="53"/>
        <v>#DIV/0!</v>
      </c>
      <c r="BC171" s="52"/>
      <c r="BD171" s="37" t="e">
        <f t="shared" si="49"/>
        <v>#DIV/0!</v>
      </c>
      <c r="BE171" s="52"/>
      <c r="BF171" s="34" t="e">
        <f t="shared" si="50"/>
        <v>#DIV/0!</v>
      </c>
      <c r="BG171" s="52"/>
      <c r="BH171" s="38" t="e">
        <f t="shared" si="51"/>
        <v>#DIV/0!</v>
      </c>
      <c r="BI171" s="52"/>
      <c r="BJ171" s="38" t="e">
        <f t="shared" si="52"/>
        <v>#DIV/0!</v>
      </c>
      <c r="BK171" s="52"/>
      <c r="BL171" s="52"/>
      <c r="BM171" s="52"/>
      <c r="BN171" s="52"/>
      <c r="BO171" s="52"/>
      <c r="BP171" s="52"/>
      <c r="BQ171" s="49"/>
      <c r="BR171" s="49"/>
      <c r="BS171" s="49"/>
      <c r="BT171" s="49"/>
    </row>
    <row r="172" spans="22:72" ht="16" thickBot="1" x14ac:dyDescent="0.25">
      <c r="V172" s="4"/>
      <c r="W172" s="4"/>
      <c r="X172" s="4"/>
      <c r="Y172" s="4"/>
      <c r="Z172" s="4"/>
      <c r="AA172" s="4"/>
      <c r="AB172" s="4"/>
      <c r="AC172" s="4"/>
      <c r="AK172" s="4"/>
      <c r="AL172" s="4"/>
      <c r="AM172" s="33"/>
      <c r="AN172" s="33"/>
      <c r="AO172" s="52"/>
      <c r="AP172" s="52"/>
      <c r="AQ172" s="52"/>
      <c r="AR172" s="34">
        <f t="shared" si="47"/>
        <v>0</v>
      </c>
      <c r="AS172" s="52"/>
      <c r="AT172" s="34">
        <f t="shared" si="48"/>
        <v>0</v>
      </c>
      <c r="AU172" s="52"/>
      <c r="AV172" s="52"/>
      <c r="AW172" s="52"/>
      <c r="AX172" s="52"/>
      <c r="AY172" s="52"/>
      <c r="AZ172" s="52"/>
      <c r="BA172" s="52"/>
      <c r="BB172" s="34" t="e">
        <f t="shared" si="53"/>
        <v>#DIV/0!</v>
      </c>
      <c r="BC172" s="52"/>
      <c r="BD172" s="37" t="e">
        <f t="shared" si="49"/>
        <v>#DIV/0!</v>
      </c>
      <c r="BE172" s="52"/>
      <c r="BF172" s="34" t="e">
        <f t="shared" si="50"/>
        <v>#DIV/0!</v>
      </c>
      <c r="BG172" s="52"/>
      <c r="BH172" s="38" t="e">
        <f t="shared" si="51"/>
        <v>#DIV/0!</v>
      </c>
      <c r="BI172" s="52"/>
      <c r="BJ172" s="38" t="e">
        <f t="shared" si="52"/>
        <v>#DIV/0!</v>
      </c>
      <c r="BK172" s="52"/>
      <c r="BL172" s="52"/>
      <c r="BM172" s="52"/>
      <c r="BN172" s="52"/>
      <c r="BO172" s="52"/>
      <c r="BP172" s="52"/>
      <c r="BQ172" s="49"/>
      <c r="BR172" s="49"/>
      <c r="BS172" s="49"/>
      <c r="BT172" s="49"/>
    </row>
    <row r="173" spans="22:72" ht="16" thickBot="1" x14ac:dyDescent="0.25">
      <c r="V173" s="4"/>
      <c r="W173" s="4"/>
      <c r="X173" s="4"/>
      <c r="Y173" s="4"/>
      <c r="Z173" s="4"/>
      <c r="AA173" s="4"/>
      <c r="AB173" s="4"/>
      <c r="AC173" s="4"/>
      <c r="AK173" s="4"/>
      <c r="AL173" s="4"/>
      <c r="AM173" s="33"/>
      <c r="AN173" s="33"/>
      <c r="AO173" s="52"/>
      <c r="AP173" s="52"/>
      <c r="AQ173" s="52"/>
      <c r="AR173" s="34">
        <f t="shared" si="47"/>
        <v>0</v>
      </c>
      <c r="AS173" s="52"/>
      <c r="AT173" s="34">
        <f t="shared" si="48"/>
        <v>0</v>
      </c>
      <c r="AU173" s="52"/>
      <c r="AV173" s="52"/>
      <c r="AW173" s="52"/>
      <c r="AX173" s="52"/>
      <c r="AY173" s="52"/>
      <c r="AZ173" s="52"/>
      <c r="BA173" s="52"/>
      <c r="BB173" s="34" t="e">
        <f t="shared" si="53"/>
        <v>#DIV/0!</v>
      </c>
      <c r="BC173" s="52"/>
      <c r="BD173" s="37" t="e">
        <f t="shared" si="49"/>
        <v>#DIV/0!</v>
      </c>
      <c r="BE173" s="52"/>
      <c r="BF173" s="34" t="e">
        <f t="shared" si="50"/>
        <v>#DIV/0!</v>
      </c>
      <c r="BG173" s="52"/>
      <c r="BH173" s="38" t="e">
        <f t="shared" si="51"/>
        <v>#DIV/0!</v>
      </c>
      <c r="BI173" s="52"/>
      <c r="BJ173" s="38" t="e">
        <f t="shared" si="52"/>
        <v>#DIV/0!</v>
      </c>
      <c r="BK173" s="52"/>
      <c r="BL173" s="52"/>
      <c r="BM173" s="52"/>
      <c r="BN173" s="52"/>
      <c r="BO173" s="52"/>
      <c r="BP173" s="52"/>
      <c r="BQ173" s="49"/>
      <c r="BR173" s="49"/>
      <c r="BS173" s="49"/>
      <c r="BT173" s="49"/>
    </row>
    <row r="174" spans="22:72" ht="16" thickBot="1" x14ac:dyDescent="0.25">
      <c r="V174" s="4"/>
      <c r="W174" s="4"/>
      <c r="X174" s="4"/>
      <c r="Y174" s="4"/>
      <c r="Z174" s="4"/>
      <c r="AA174" s="4"/>
      <c r="AB174" s="4"/>
      <c r="AC174" s="4"/>
      <c r="AK174" s="4"/>
      <c r="AL174" s="4"/>
      <c r="AM174" s="33"/>
      <c r="AN174" s="33"/>
      <c r="AO174" s="52"/>
      <c r="AP174" s="52"/>
      <c r="AQ174" s="52"/>
      <c r="AR174" s="34">
        <f t="shared" si="47"/>
        <v>0</v>
      </c>
      <c r="AS174" s="52"/>
      <c r="AT174" s="34">
        <f t="shared" si="48"/>
        <v>0</v>
      </c>
      <c r="AU174" s="52"/>
      <c r="AV174" s="52"/>
      <c r="AW174" s="52"/>
      <c r="AX174" s="52"/>
      <c r="AY174" s="52"/>
      <c r="AZ174" s="52"/>
      <c r="BA174" s="52"/>
      <c r="BB174" s="34" t="e">
        <f t="shared" si="53"/>
        <v>#DIV/0!</v>
      </c>
      <c r="BC174" s="52"/>
      <c r="BD174" s="37" t="e">
        <f t="shared" si="49"/>
        <v>#DIV/0!</v>
      </c>
      <c r="BE174" s="52"/>
      <c r="BF174" s="34" t="e">
        <f t="shared" si="50"/>
        <v>#DIV/0!</v>
      </c>
      <c r="BG174" s="52"/>
      <c r="BH174" s="38" t="e">
        <f t="shared" si="51"/>
        <v>#DIV/0!</v>
      </c>
      <c r="BI174" s="52"/>
      <c r="BJ174" s="38" t="e">
        <f t="shared" si="52"/>
        <v>#DIV/0!</v>
      </c>
      <c r="BK174" s="52"/>
      <c r="BL174" s="52"/>
      <c r="BM174" s="52"/>
      <c r="BN174" s="52"/>
      <c r="BO174" s="52"/>
      <c r="BP174" s="52"/>
      <c r="BQ174" s="49"/>
      <c r="BR174" s="49"/>
      <c r="BS174" s="49"/>
      <c r="BT174" s="49"/>
    </row>
    <row r="175" spans="22:72" ht="16" thickBot="1" x14ac:dyDescent="0.25">
      <c r="V175" s="4"/>
      <c r="W175" s="4"/>
      <c r="X175" s="4"/>
      <c r="Y175" s="4"/>
      <c r="Z175" s="4"/>
      <c r="AA175" s="4"/>
      <c r="AB175" s="4"/>
      <c r="AC175" s="4"/>
      <c r="AK175" s="4"/>
      <c r="AL175" s="4"/>
      <c r="AM175" s="33"/>
      <c r="AN175" s="33"/>
      <c r="AO175" s="52"/>
      <c r="AP175" s="52"/>
      <c r="AQ175" s="52"/>
      <c r="AR175" s="34">
        <f t="shared" si="47"/>
        <v>0</v>
      </c>
      <c r="AS175" s="52"/>
      <c r="AT175" s="34">
        <f t="shared" si="48"/>
        <v>0</v>
      </c>
      <c r="AU175" s="52"/>
      <c r="AV175" s="52"/>
      <c r="AW175" s="52"/>
      <c r="AX175" s="52"/>
      <c r="AY175" s="52"/>
      <c r="AZ175" s="52"/>
      <c r="BA175" s="52"/>
      <c r="BB175" s="34" t="e">
        <f t="shared" si="53"/>
        <v>#DIV/0!</v>
      </c>
      <c r="BC175" s="52"/>
      <c r="BD175" s="37" t="e">
        <f t="shared" si="49"/>
        <v>#DIV/0!</v>
      </c>
      <c r="BE175" s="52"/>
      <c r="BF175" s="34" t="e">
        <f t="shared" si="50"/>
        <v>#DIV/0!</v>
      </c>
      <c r="BG175" s="52"/>
      <c r="BH175" s="38" t="e">
        <f t="shared" si="51"/>
        <v>#DIV/0!</v>
      </c>
      <c r="BI175" s="52"/>
      <c r="BJ175" s="38" t="e">
        <f t="shared" si="52"/>
        <v>#DIV/0!</v>
      </c>
      <c r="BK175" s="52"/>
      <c r="BL175" s="52"/>
      <c r="BM175" s="52"/>
      <c r="BN175" s="52"/>
      <c r="BO175" s="52"/>
      <c r="BP175" s="52"/>
      <c r="BQ175" s="49"/>
      <c r="BR175" s="49"/>
      <c r="BS175" s="49"/>
      <c r="BT175" s="49"/>
    </row>
    <row r="176" spans="22:72" ht="16" thickBot="1" x14ac:dyDescent="0.25">
      <c r="V176" s="4"/>
      <c r="W176" s="4"/>
      <c r="X176" s="4"/>
      <c r="Y176" s="4"/>
      <c r="Z176" s="4"/>
      <c r="AA176" s="4"/>
      <c r="AB176" s="4"/>
      <c r="AC176" s="4"/>
      <c r="AK176" s="4"/>
      <c r="AL176" s="4"/>
      <c r="AM176" s="33"/>
      <c r="AN176" s="33"/>
      <c r="AO176" s="53"/>
      <c r="AP176" s="53"/>
      <c r="AQ176" s="53"/>
      <c r="AR176" s="39">
        <f>AK176*AL176</f>
        <v>0</v>
      </c>
      <c r="AS176" s="53"/>
      <c r="AT176" s="39">
        <f>AK176^2</f>
        <v>0</v>
      </c>
      <c r="AU176" s="53"/>
      <c r="AV176" s="53"/>
      <c r="AW176" s="53"/>
      <c r="AX176" s="53"/>
      <c r="AY176" s="53"/>
      <c r="AZ176" s="53"/>
      <c r="BA176" s="53"/>
      <c r="BB176" s="39" t="e">
        <f t="shared" si="53"/>
        <v>#DIV/0!</v>
      </c>
      <c r="BC176" s="53"/>
      <c r="BD176" s="40" t="e">
        <f t="shared" si="49"/>
        <v>#DIV/0!</v>
      </c>
      <c r="BE176" s="53"/>
      <c r="BF176" s="39" t="e">
        <f t="shared" si="50"/>
        <v>#DIV/0!</v>
      </c>
      <c r="BG176" s="53"/>
      <c r="BH176" s="41" t="e">
        <f t="shared" si="51"/>
        <v>#DIV/0!</v>
      </c>
      <c r="BI176" s="53"/>
      <c r="BJ176" s="41" t="e">
        <f t="shared" si="52"/>
        <v>#DIV/0!</v>
      </c>
      <c r="BK176" s="53"/>
      <c r="BL176" s="53"/>
      <c r="BM176" s="53"/>
      <c r="BN176" s="53"/>
      <c r="BO176" s="53"/>
      <c r="BP176" s="53"/>
      <c r="BQ176" s="50"/>
      <c r="BR176" s="50"/>
      <c r="BS176" s="50"/>
      <c r="BT176" s="50"/>
    </row>
    <row r="177" spans="22:29" x14ac:dyDescent="0.2">
      <c r="V177" s="4"/>
      <c r="W177" s="4"/>
      <c r="X177" s="4"/>
      <c r="Y177" s="4"/>
      <c r="Z177" s="4"/>
      <c r="AA177" s="4"/>
      <c r="AB177" s="4"/>
      <c r="AC177" s="4"/>
    </row>
    <row r="178" spans="22:29" x14ac:dyDescent="0.2">
      <c r="V178" s="4"/>
      <c r="W178" s="4"/>
      <c r="X178" s="4"/>
      <c r="Y178" s="4"/>
      <c r="Z178" s="4"/>
      <c r="AA178" s="4"/>
      <c r="AB178" s="4"/>
      <c r="AC178" s="4"/>
    </row>
    <row r="179" spans="22:29" x14ac:dyDescent="0.2">
      <c r="V179" s="4"/>
      <c r="W179" s="4"/>
      <c r="X179" s="4"/>
      <c r="Y179" s="4"/>
      <c r="Z179" s="4"/>
      <c r="AA179" s="4"/>
      <c r="AB179" s="4"/>
      <c r="AC179" s="4"/>
    </row>
    <row r="180" spans="22:29" x14ac:dyDescent="0.2">
      <c r="V180" s="4"/>
      <c r="W180" s="4"/>
      <c r="X180" s="4"/>
      <c r="Y180" s="4"/>
      <c r="Z180" s="4"/>
      <c r="AA180" s="4"/>
      <c r="AB180" s="4"/>
      <c r="AC180" s="4"/>
    </row>
    <row r="181" spans="22:29" x14ac:dyDescent="0.2">
      <c r="V181" s="4"/>
      <c r="W181" s="4"/>
      <c r="X181" s="4"/>
      <c r="Y181" s="4"/>
      <c r="Z181" s="4"/>
      <c r="AA181" s="4"/>
      <c r="AB181" s="4"/>
      <c r="AC181" s="4"/>
    </row>
    <row r="182" spans="22:29" x14ac:dyDescent="0.2">
      <c r="V182" s="4"/>
      <c r="W182" s="4"/>
      <c r="X182" s="4"/>
      <c r="Y182" s="4"/>
      <c r="Z182" s="4"/>
      <c r="AA182" s="4"/>
      <c r="AB182" s="4"/>
      <c r="AC182" s="4"/>
    </row>
    <row r="183" spans="22:29" x14ac:dyDescent="0.2">
      <c r="V183" s="4"/>
      <c r="W183" s="4"/>
      <c r="X183" s="4"/>
      <c r="Y183" s="4"/>
      <c r="Z183" s="4"/>
      <c r="AA183" s="4"/>
      <c r="AB183" s="4"/>
      <c r="AC183" s="4"/>
    </row>
    <row r="184" spans="22:29" x14ac:dyDescent="0.2">
      <c r="V184" s="4"/>
      <c r="W184" s="4"/>
      <c r="X184" s="4"/>
      <c r="Y184" s="4"/>
      <c r="Z184" s="4"/>
      <c r="AA184" s="4"/>
      <c r="AB184" s="4"/>
      <c r="AC184" s="4"/>
    </row>
    <row r="185" spans="22:29" x14ac:dyDescent="0.2">
      <c r="V185" s="4"/>
      <c r="W185" s="4"/>
      <c r="X185" s="4"/>
      <c r="Y185" s="4"/>
      <c r="Z185" s="4"/>
      <c r="AA185" s="4"/>
      <c r="AB185" s="4"/>
      <c r="AC185" s="4"/>
    </row>
    <row r="186" spans="22:29" x14ac:dyDescent="0.2">
      <c r="V186" s="4"/>
      <c r="W186" s="4"/>
      <c r="X186" s="4"/>
      <c r="Y186" s="4"/>
      <c r="Z186" s="4"/>
      <c r="AA186" s="4"/>
      <c r="AB186" s="4"/>
      <c r="AC186" s="4"/>
    </row>
    <row r="187" spans="22:29" x14ac:dyDescent="0.2">
      <c r="V187" s="4"/>
      <c r="W187" s="4"/>
      <c r="X187" s="4"/>
      <c r="Y187" s="4"/>
      <c r="Z187" s="4"/>
      <c r="AA187" s="4"/>
      <c r="AB187" s="4"/>
      <c r="AC187" s="4"/>
    </row>
    <row r="188" spans="22:29" x14ac:dyDescent="0.2">
      <c r="V188" s="4"/>
      <c r="W188" s="4"/>
      <c r="X188" s="4"/>
      <c r="Y188" s="4"/>
      <c r="Z188" s="4"/>
      <c r="AA188" s="4"/>
      <c r="AB188" s="4"/>
      <c r="AC188" s="4"/>
    </row>
    <row r="189" spans="22:29" x14ac:dyDescent="0.2">
      <c r="V189" s="4"/>
      <c r="W189" s="4"/>
      <c r="X189" s="4"/>
      <c r="Y189" s="4"/>
      <c r="Z189" s="4"/>
      <c r="AA189" s="4"/>
      <c r="AB189" s="4"/>
      <c r="AC189" s="4"/>
    </row>
    <row r="190" spans="22:29" x14ac:dyDescent="0.2">
      <c r="V190" s="4"/>
      <c r="W190" s="4"/>
      <c r="X190" s="4"/>
      <c r="Y190" s="4"/>
      <c r="Z190" s="4"/>
      <c r="AA190" s="4"/>
      <c r="AB190" s="4"/>
      <c r="AC190" s="4"/>
    </row>
    <row r="191" spans="22:29" x14ac:dyDescent="0.2">
      <c r="V191" s="4"/>
      <c r="W191" s="4"/>
      <c r="X191" s="4"/>
      <c r="Y191" s="4"/>
      <c r="Z191" s="4"/>
      <c r="AA191" s="4"/>
      <c r="AB191" s="4"/>
      <c r="AC191" s="4"/>
    </row>
    <row r="192" spans="22:29" x14ac:dyDescent="0.2">
      <c r="V192" s="4"/>
      <c r="W192" s="4"/>
      <c r="X192" s="4"/>
      <c r="Y192" s="4"/>
      <c r="Z192" s="4"/>
      <c r="AA192" s="4"/>
      <c r="AB192" s="4"/>
      <c r="AC192" s="4"/>
    </row>
    <row r="193" spans="22:29" x14ac:dyDescent="0.2">
      <c r="V193" s="4"/>
      <c r="W193" s="4"/>
      <c r="X193" s="4"/>
      <c r="Y193" s="4"/>
      <c r="Z193" s="4"/>
      <c r="AA193" s="4"/>
      <c r="AB193" s="4"/>
      <c r="AC193" s="4"/>
    </row>
    <row r="194" spans="22:29" x14ac:dyDescent="0.2">
      <c r="V194" s="4"/>
      <c r="W194" s="4"/>
      <c r="X194" s="4"/>
      <c r="Y194" s="4"/>
      <c r="Z194" s="4"/>
      <c r="AA194" s="4"/>
      <c r="AB194" s="4"/>
      <c r="AC194" s="4"/>
    </row>
    <row r="195" spans="22:29" x14ac:dyDescent="0.2">
      <c r="V195" s="4"/>
      <c r="W195" s="4"/>
      <c r="X195" s="4"/>
      <c r="Y195" s="4"/>
      <c r="Z195" s="4"/>
      <c r="AA195" s="4"/>
      <c r="AB195" s="4"/>
      <c r="AC195" s="4"/>
    </row>
    <row r="196" spans="22:29" x14ac:dyDescent="0.2">
      <c r="V196" s="4"/>
      <c r="W196" s="4"/>
      <c r="X196" s="4"/>
      <c r="Y196" s="4"/>
      <c r="Z196" s="4"/>
      <c r="AA196" s="4"/>
      <c r="AB196" s="4"/>
      <c r="AC196" s="4"/>
    </row>
    <row r="197" spans="22:29" x14ac:dyDescent="0.2">
      <c r="V197" s="4"/>
      <c r="W197" s="4"/>
      <c r="X197" s="4"/>
      <c r="Y197" s="4"/>
      <c r="Z197" s="4"/>
      <c r="AA197" s="4"/>
      <c r="AB197" s="4"/>
      <c r="AC197" s="4"/>
    </row>
    <row r="198" spans="22:29" x14ac:dyDescent="0.2">
      <c r="V198" s="4"/>
      <c r="W198" s="4"/>
      <c r="X198" s="4"/>
      <c r="Y198" s="4"/>
      <c r="Z198" s="4"/>
      <c r="AA198" s="4"/>
      <c r="AB198" s="4"/>
      <c r="AC198" s="4"/>
    </row>
    <row r="199" spans="22:29" x14ac:dyDescent="0.2">
      <c r="V199" s="4"/>
      <c r="W199" s="4"/>
      <c r="X199" s="4"/>
      <c r="Y199" s="4"/>
      <c r="Z199" s="4"/>
      <c r="AA199" s="4"/>
      <c r="AB199" s="4"/>
      <c r="AC199" s="4"/>
    </row>
  </sheetData>
  <mergeCells count="132">
    <mergeCell ref="BK7:BK16"/>
    <mergeCell ref="BM7:BM16"/>
    <mergeCell ref="AQ5:BC5"/>
    <mergeCell ref="BD5:BR5"/>
    <mergeCell ref="AQ7:AQ16"/>
    <mergeCell ref="AR7:AR16"/>
    <mergeCell ref="AS7:AS16"/>
    <mergeCell ref="AU7:AU16"/>
    <mergeCell ref="AW7:AW16"/>
    <mergeCell ref="AX7:AX16"/>
    <mergeCell ref="AY7:AY16"/>
    <mergeCell ref="AZ7:AZ16"/>
    <mergeCell ref="BP7:BP16"/>
    <mergeCell ref="BQ7:BQ16"/>
    <mergeCell ref="BA7:BA16"/>
    <mergeCell ref="BB7:BB16"/>
    <mergeCell ref="BC7:BC16"/>
    <mergeCell ref="BE7:BE16"/>
    <mergeCell ref="BU7:BU16"/>
    <mergeCell ref="BV7:BV16"/>
    <mergeCell ref="BP37:BP46"/>
    <mergeCell ref="AQ22:AQ31"/>
    <mergeCell ref="AR22:AR31"/>
    <mergeCell ref="AS22:AS31"/>
    <mergeCell ref="AU22:AU31"/>
    <mergeCell ref="AW22:AW31"/>
    <mergeCell ref="AX22:AX31"/>
    <mergeCell ref="BQ37:BQ46"/>
    <mergeCell ref="BL37:BL46"/>
    <mergeCell ref="AY22:AY31"/>
    <mergeCell ref="AZ22:AZ31"/>
    <mergeCell ref="BA22:BA31"/>
    <mergeCell ref="BB22:BB31"/>
    <mergeCell ref="BC22:BC31"/>
    <mergeCell ref="BN7:BN16"/>
    <mergeCell ref="BO7:BO16"/>
    <mergeCell ref="BR7:BR16"/>
    <mergeCell ref="BS7:BS16"/>
    <mergeCell ref="BT7:BT16"/>
    <mergeCell ref="BG7:BG16"/>
    <mergeCell ref="BI7:BI16"/>
    <mergeCell ref="AQ20:BC20"/>
    <mergeCell ref="BE35:BQ35"/>
    <mergeCell ref="BE37:BE46"/>
    <mergeCell ref="BF37:BF46"/>
    <mergeCell ref="BG37:BG46"/>
    <mergeCell ref="BI37:BI46"/>
    <mergeCell ref="BK37:BK46"/>
    <mergeCell ref="BM37:BM46"/>
    <mergeCell ref="BN37:BN46"/>
    <mergeCell ref="BO37:BO46"/>
    <mergeCell ref="BK135:BK144"/>
    <mergeCell ref="BL135:BL144"/>
    <mergeCell ref="BM135:BM144"/>
    <mergeCell ref="BN135:BN144"/>
    <mergeCell ref="AO133:BA133"/>
    <mergeCell ref="BB133:BP133"/>
    <mergeCell ref="AO135:AO144"/>
    <mergeCell ref="AP135:AP144"/>
    <mergeCell ref="AQ135:AQ144"/>
    <mergeCell ref="AS135:AS144"/>
    <mergeCell ref="AU135:AU144"/>
    <mergeCell ref="AV135:AV144"/>
    <mergeCell ref="AW135:AW144"/>
    <mergeCell ref="AX135:AX144"/>
    <mergeCell ref="AY135:AY144"/>
    <mergeCell ref="AZ135:AZ144"/>
    <mergeCell ref="BA135:BA144"/>
    <mergeCell ref="BC135:BC144"/>
    <mergeCell ref="BE135:BE144"/>
    <mergeCell ref="BG135:BG144"/>
    <mergeCell ref="BL151:BL160"/>
    <mergeCell ref="BM151:BM160"/>
    <mergeCell ref="BT135:BT144"/>
    <mergeCell ref="AO149:BA149"/>
    <mergeCell ref="BB149:BP149"/>
    <mergeCell ref="AO151:AO160"/>
    <mergeCell ref="AP151:AP160"/>
    <mergeCell ref="AQ151:AQ160"/>
    <mergeCell ref="AS151:AS160"/>
    <mergeCell ref="AU151:AU160"/>
    <mergeCell ref="AV151:AV160"/>
    <mergeCell ref="AW151:AW160"/>
    <mergeCell ref="AX151:AX160"/>
    <mergeCell ref="AY151:AY160"/>
    <mergeCell ref="AZ151:AZ160"/>
    <mergeCell ref="BA151:BA160"/>
    <mergeCell ref="BC151:BC160"/>
    <mergeCell ref="BE151:BE160"/>
    <mergeCell ref="BO135:BO144"/>
    <mergeCell ref="BP135:BP144"/>
    <mergeCell ref="BQ135:BQ144"/>
    <mergeCell ref="BR135:BR144"/>
    <mergeCell ref="BS135:BS144"/>
    <mergeCell ref="BI135:BI144"/>
    <mergeCell ref="BS151:BS160"/>
    <mergeCell ref="BT151:BT160"/>
    <mergeCell ref="AO165:BA165"/>
    <mergeCell ref="BB165:BP165"/>
    <mergeCell ref="AO167:AO176"/>
    <mergeCell ref="AP167:AP176"/>
    <mergeCell ref="AQ167:AQ176"/>
    <mergeCell ref="AS167:AS176"/>
    <mergeCell ref="AU167:AU176"/>
    <mergeCell ref="AV167:AV176"/>
    <mergeCell ref="AW167:AW176"/>
    <mergeCell ref="AX167:AX176"/>
    <mergeCell ref="AY167:AY176"/>
    <mergeCell ref="AZ167:AZ176"/>
    <mergeCell ref="BA167:BA176"/>
    <mergeCell ref="BC167:BC176"/>
    <mergeCell ref="BN151:BN160"/>
    <mergeCell ref="BO151:BO160"/>
    <mergeCell ref="BP151:BP160"/>
    <mergeCell ref="BQ151:BQ160"/>
    <mergeCell ref="BR151:BR160"/>
    <mergeCell ref="BG151:BG160"/>
    <mergeCell ref="BI151:BI160"/>
    <mergeCell ref="BK151:BK160"/>
    <mergeCell ref="BR167:BR176"/>
    <mergeCell ref="BS167:BS176"/>
    <mergeCell ref="BT167:BT176"/>
    <mergeCell ref="BM167:BM176"/>
    <mergeCell ref="BN167:BN176"/>
    <mergeCell ref="BO167:BO176"/>
    <mergeCell ref="BP167:BP176"/>
    <mergeCell ref="BQ167:BQ176"/>
    <mergeCell ref="BE167:BE176"/>
    <mergeCell ref="BG167:BG176"/>
    <mergeCell ref="BI167:BI176"/>
    <mergeCell ref="BK167:BK176"/>
    <mergeCell ref="BL167:BL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Joan Ribot</cp:lastModifiedBy>
  <cp:revision/>
  <dcterms:created xsi:type="dcterms:W3CDTF">2023-02-23T22:35:51Z</dcterms:created>
  <dcterms:modified xsi:type="dcterms:W3CDTF">2023-05-03T20:41:56Z</dcterms:modified>
  <cp:category/>
  <cp:contentStatus/>
</cp:coreProperties>
</file>