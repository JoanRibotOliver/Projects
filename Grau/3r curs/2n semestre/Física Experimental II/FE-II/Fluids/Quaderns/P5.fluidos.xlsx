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cat/Documents/"/>
    </mc:Choice>
  </mc:AlternateContent>
  <xr:revisionPtr revIDLastSave="0" documentId="8_{173D9E00-9C98-5E49-9D23-D979B8C8167B}" xr6:coauthVersionLast="47" xr6:coauthVersionMax="47" xr10:uidLastSave="{00000000-0000-0000-0000-000000000000}"/>
  <bookViews>
    <workbookView xWindow="0" yWindow="0" windowWidth="28800" windowHeight="18000" xr2:uid="{7E0F91FA-FB8C-5B4B-A453-9B901112BEF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4" i="1" l="1"/>
  <c r="AK65" i="1"/>
  <c r="AK54" i="1"/>
  <c r="AK55" i="1"/>
  <c r="AK56" i="1"/>
  <c r="AK57" i="1"/>
  <c r="AK58" i="1"/>
  <c r="AK59" i="1"/>
  <c r="AK60" i="1"/>
  <c r="AK61" i="1"/>
  <c r="AK62" i="1"/>
  <c r="AK63" i="1"/>
  <c r="AK53" i="1"/>
  <c r="AH110" i="1"/>
  <c r="AH111" i="1"/>
  <c r="AH112" i="1"/>
  <c r="AH113" i="1"/>
  <c r="AH114" i="1"/>
  <c r="AH115" i="1"/>
  <c r="AH109" i="1"/>
  <c r="AC110" i="1"/>
  <c r="AC111" i="1"/>
  <c r="AC112" i="1"/>
  <c r="AC113" i="1"/>
  <c r="AC114" i="1"/>
  <c r="AC109" i="1"/>
  <c r="AH95" i="1"/>
  <c r="AH96" i="1"/>
  <c r="AH97" i="1"/>
  <c r="AH98" i="1"/>
  <c r="AH99" i="1"/>
  <c r="AH100" i="1"/>
  <c r="AH101" i="1"/>
  <c r="AH94" i="1"/>
  <c r="AC95" i="1"/>
  <c r="AC96" i="1"/>
  <c r="AC97" i="1"/>
  <c r="AC98" i="1"/>
  <c r="AC99" i="1"/>
  <c r="AC100" i="1"/>
  <c r="AC101" i="1"/>
  <c r="AC102" i="1"/>
  <c r="AC103" i="1"/>
  <c r="AC104" i="1"/>
  <c r="AC94" i="1"/>
  <c r="AC81" i="1"/>
  <c r="AC82" i="1"/>
  <c r="AC83" i="1"/>
  <c r="AC84" i="1"/>
  <c r="AC85" i="1"/>
  <c r="AC86" i="1"/>
  <c r="AC87" i="1"/>
  <c r="AC88" i="1"/>
  <c r="AC89" i="1"/>
  <c r="AC80" i="1"/>
  <c r="AH81" i="1"/>
  <c r="AH82" i="1"/>
  <c r="AH83" i="1"/>
  <c r="AH84" i="1"/>
  <c r="AH85" i="1"/>
  <c r="AH86" i="1"/>
  <c r="AH80" i="1"/>
  <c r="AH67" i="1"/>
  <c r="AH68" i="1"/>
  <c r="AH69" i="1"/>
  <c r="AH70" i="1"/>
  <c r="AH71" i="1"/>
  <c r="AH72" i="1"/>
  <c r="AH66" i="1"/>
  <c r="AC67" i="1"/>
  <c r="AC68" i="1"/>
  <c r="AC69" i="1"/>
  <c r="AC70" i="1"/>
  <c r="AC71" i="1"/>
  <c r="AC72" i="1"/>
  <c r="AC73" i="1"/>
  <c r="AC74" i="1"/>
  <c r="AC75" i="1"/>
  <c r="AC66" i="1"/>
  <c r="AC54" i="1"/>
  <c r="AC55" i="1"/>
  <c r="AC56" i="1"/>
  <c r="AC57" i="1"/>
  <c r="AC58" i="1"/>
  <c r="AC59" i="1"/>
  <c r="AC60" i="1"/>
  <c r="AC61" i="1"/>
  <c r="AC53" i="1"/>
  <c r="L66" i="1"/>
  <c r="L67" i="1"/>
  <c r="L68" i="1"/>
  <c r="L69" i="1"/>
  <c r="L70" i="1"/>
  <c r="L71" i="1"/>
  <c r="L72" i="1"/>
  <c r="L73" i="1"/>
  <c r="L74" i="1"/>
  <c r="L75" i="1"/>
  <c r="L76" i="1"/>
  <c r="L77" i="1"/>
  <c r="L65" i="1"/>
  <c r="AC45" i="1"/>
  <c r="AD45" i="1"/>
  <c r="AE45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AD48" i="1"/>
  <c r="AE48" i="1"/>
  <c r="AC48" i="1"/>
  <c r="R5" i="1"/>
  <c r="X32" i="1" l="1"/>
  <c r="J61" i="1"/>
  <c r="K61" i="1"/>
  <c r="L61" i="1"/>
  <c r="S24" i="1"/>
  <c r="AS28" i="1" s="1"/>
  <c r="S5" i="1"/>
  <c r="T37" i="1"/>
  <c r="P34" i="1"/>
  <c r="S22" i="1"/>
  <c r="AO37" i="1" s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N7" i="1"/>
  <c r="S12" i="1"/>
  <c r="O30" i="1" s="1"/>
  <c r="X30" i="1"/>
  <c r="X41" i="1"/>
  <c r="AO20" i="1"/>
  <c r="AS29" i="1"/>
  <c r="Y24" i="1"/>
  <c r="W24" i="1"/>
  <c r="U24" i="1"/>
  <c r="AK39" i="1"/>
  <c r="AC40" i="1"/>
  <c r="AC41" i="1"/>
  <c r="AC20" i="1"/>
  <c r="P32" i="1"/>
  <c r="X37" i="1"/>
  <c r="X31" i="1"/>
  <c r="X33" i="1"/>
  <c r="X34" i="1"/>
  <c r="X35" i="1"/>
  <c r="X36" i="1"/>
  <c r="X38" i="1"/>
  <c r="X39" i="1"/>
  <c r="X40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W30" i="1"/>
  <c r="S30" i="1"/>
  <c r="T31" i="1"/>
  <c r="T32" i="1"/>
  <c r="T33" i="1"/>
  <c r="T34" i="1"/>
  <c r="T35" i="1"/>
  <c r="T36" i="1"/>
  <c r="T38" i="1"/>
  <c r="T39" i="1"/>
  <c r="T40" i="1"/>
  <c r="T41" i="1"/>
  <c r="T30" i="1"/>
  <c r="AT16" i="1"/>
  <c r="S19" i="1"/>
  <c r="S37" i="1" s="1"/>
  <c r="U19" i="1"/>
  <c r="W19" i="1"/>
  <c r="Y19" i="1"/>
  <c r="S20" i="1"/>
  <c r="S38" i="1" s="1"/>
  <c r="U20" i="1"/>
  <c r="W20" i="1"/>
  <c r="Y20" i="1"/>
  <c r="S21" i="1"/>
  <c r="W39" i="1" s="1"/>
  <c r="U21" i="1"/>
  <c r="W21" i="1"/>
  <c r="Y21" i="1"/>
  <c r="U22" i="1"/>
  <c r="W22" i="1"/>
  <c r="Y22" i="1"/>
  <c r="S23" i="1"/>
  <c r="S41" i="1" s="1"/>
  <c r="U23" i="1"/>
  <c r="W23" i="1"/>
  <c r="Y23" i="1"/>
  <c r="AO38" i="1"/>
  <c r="AO41" i="1"/>
  <c r="AO27" i="1"/>
  <c r="AK37" i="1"/>
  <c r="AK38" i="1"/>
  <c r="P41" i="1"/>
  <c r="AG36" i="1"/>
  <c r="AG37" i="1"/>
  <c r="AG38" i="1"/>
  <c r="AS23" i="1"/>
  <c r="AS26" i="1"/>
  <c r="AS27" i="1"/>
  <c r="AS16" i="1"/>
  <c r="AO16" i="1"/>
  <c r="AO17" i="1"/>
  <c r="AO19" i="1"/>
  <c r="AO6" i="1"/>
  <c r="AK15" i="1"/>
  <c r="AK16" i="1"/>
  <c r="AK17" i="1"/>
  <c r="AK20" i="1"/>
  <c r="AK6" i="1"/>
  <c r="AG15" i="1"/>
  <c r="AG17" i="1"/>
  <c r="AG6" i="1"/>
  <c r="AC13" i="1"/>
  <c r="AC17" i="1"/>
  <c r="AC18" i="1"/>
  <c r="P31" i="1"/>
  <c r="P33" i="1"/>
  <c r="P35" i="1"/>
  <c r="P36" i="1"/>
  <c r="P37" i="1"/>
  <c r="P38" i="1"/>
  <c r="P39" i="1"/>
  <c r="P40" i="1"/>
  <c r="P30" i="1"/>
  <c r="T5" i="1"/>
  <c r="AC6" i="1"/>
  <c r="Y13" i="1"/>
  <c r="Y14" i="1"/>
  <c r="Y15" i="1"/>
  <c r="Y16" i="1"/>
  <c r="Y17" i="1"/>
  <c r="Y18" i="1"/>
  <c r="W13" i="1"/>
  <c r="W14" i="1"/>
  <c r="W15" i="1"/>
  <c r="W16" i="1"/>
  <c r="W17" i="1"/>
  <c r="W18" i="1"/>
  <c r="Y12" i="1"/>
  <c r="W12" i="1"/>
  <c r="U13" i="1"/>
  <c r="U14" i="1"/>
  <c r="U15" i="1"/>
  <c r="U16" i="1"/>
  <c r="U17" i="1"/>
  <c r="U18" i="1"/>
  <c r="U12" i="1"/>
  <c r="S13" i="1"/>
  <c r="W31" i="1" s="1"/>
  <c r="S14" i="1"/>
  <c r="AK29" i="1" s="1"/>
  <c r="S15" i="1"/>
  <c r="S33" i="1" s="1"/>
  <c r="S16" i="1"/>
  <c r="AK31" i="1" s="1"/>
  <c r="S17" i="1"/>
  <c r="S18" i="1"/>
  <c r="X64" i="1" l="1"/>
  <c r="O65" i="1"/>
  <c r="AC16" i="1"/>
  <c r="AG16" i="1"/>
  <c r="AG27" i="1"/>
  <c r="AK27" i="1"/>
  <c r="AK36" i="1"/>
  <c r="AO12" i="1"/>
  <c r="S36" i="1"/>
  <c r="W35" i="1"/>
  <c r="AO11" i="1"/>
  <c r="AO8" i="1"/>
  <c r="O32" i="1"/>
  <c r="T63" i="1" s="1"/>
  <c r="AO29" i="1"/>
  <c r="AK8" i="1"/>
  <c r="W40" i="1"/>
  <c r="S40" i="1"/>
  <c r="O40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O36" i="1"/>
  <c r="AG14" i="1"/>
  <c r="AK14" i="1"/>
  <c r="AO15" i="1"/>
  <c r="AO7" i="1"/>
  <c r="AG35" i="1"/>
  <c r="AK35" i="1"/>
  <c r="AO35" i="1"/>
  <c r="S32" i="1"/>
  <c r="T64" i="1" s="1"/>
  <c r="W38" i="1"/>
  <c r="AC15" i="1"/>
  <c r="AG13" i="1"/>
  <c r="AK13" i="1"/>
  <c r="AO14" i="1"/>
  <c r="AS25" i="1"/>
  <c r="AG34" i="1"/>
  <c r="AK34" i="1"/>
  <c r="AO34" i="1"/>
  <c r="AC14" i="1"/>
  <c r="AG9" i="1"/>
  <c r="AK12" i="1"/>
  <c r="AO13" i="1"/>
  <c r="AS24" i="1"/>
  <c r="AG30" i="1"/>
  <c r="AK30" i="1"/>
  <c r="AO33" i="1"/>
  <c r="O36" i="1"/>
  <c r="AS20" i="1"/>
  <c r="W34" i="1"/>
  <c r="AC9" i="1"/>
  <c r="AG20" i="1"/>
  <c r="AG12" i="1"/>
  <c r="AG8" i="1"/>
  <c r="AK19" i="1"/>
  <c r="AK11" i="1"/>
  <c r="AK7" i="1"/>
  <c r="AO18" i="1"/>
  <c r="AO10" i="1"/>
  <c r="AS19" i="1"/>
  <c r="AG41" i="1"/>
  <c r="AG33" i="1"/>
  <c r="AG29" i="1"/>
  <c r="AK41" i="1"/>
  <c r="AK33" i="1"/>
  <c r="AO40" i="1"/>
  <c r="AO32" i="1"/>
  <c r="AO28" i="1"/>
  <c r="O39" i="1"/>
  <c r="O35" i="1"/>
  <c r="S39" i="1"/>
  <c r="S35" i="1"/>
  <c r="S31" i="1"/>
  <c r="O64" i="1" s="1"/>
  <c r="W41" i="1"/>
  <c r="W37" i="1"/>
  <c r="W33" i="1"/>
  <c r="X65" i="1" s="1"/>
  <c r="AC10" i="1"/>
  <c r="AC12" i="1"/>
  <c r="AC8" i="1"/>
  <c r="AG19" i="1"/>
  <c r="AG11" i="1"/>
  <c r="AG7" i="1"/>
  <c r="AK18" i="1"/>
  <c r="AK10" i="1"/>
  <c r="AO9" i="1"/>
  <c r="AS30" i="1"/>
  <c r="AS22" i="1"/>
  <c r="AS18" i="1"/>
  <c r="AG40" i="1"/>
  <c r="AG32" i="1"/>
  <c r="AG28" i="1"/>
  <c r="AK40" i="1"/>
  <c r="AK32" i="1"/>
  <c r="AK28" i="1"/>
  <c r="AO39" i="1"/>
  <c r="AO31" i="1"/>
  <c r="O38" i="1"/>
  <c r="O34" i="1"/>
  <c r="S34" i="1"/>
  <c r="W36" i="1"/>
  <c r="W32" i="1"/>
  <c r="T65" i="1" s="1"/>
  <c r="O31" i="1"/>
  <c r="AC19" i="1"/>
  <c r="AC11" i="1"/>
  <c r="AC7" i="1"/>
  <c r="AG18" i="1"/>
  <c r="AG10" i="1"/>
  <c r="AK9" i="1"/>
  <c r="AS21" i="1"/>
  <c r="AS17" i="1"/>
  <c r="AG39" i="1"/>
  <c r="AG31" i="1"/>
  <c r="AO30" i="1"/>
  <c r="O41" i="1"/>
  <c r="O37" i="1"/>
  <c r="O33" i="1"/>
  <c r="X63" i="1" s="1"/>
</calcChain>
</file>

<file path=xl/sharedStrings.xml><?xml version="1.0" encoding="utf-8"?>
<sst xmlns="http://schemas.openxmlformats.org/spreadsheetml/2006/main" count="551" uniqueCount="107">
  <si>
    <t>Posición</t>
  </si>
  <si>
    <t>u (anemòmetre)(m/s) (+-2)</t>
  </si>
  <si>
    <t>1(20)</t>
  </si>
  <si>
    <t>2(30)</t>
  </si>
  <si>
    <t>Mesures del laboratori</t>
  </si>
  <si>
    <t>Aire</t>
  </si>
  <si>
    <t>Disc</t>
  </si>
  <si>
    <t>Petit</t>
  </si>
  <si>
    <t>Mitjà</t>
  </si>
  <si>
    <t>Gros</t>
  </si>
  <si>
    <t>ERRORS DE SENSIBILITAT</t>
  </si>
  <si>
    <t>Peu de rei (m)</t>
  </si>
  <si>
    <t>u(m/s)</t>
  </si>
  <si>
    <t>Força (N)</t>
  </si>
  <si>
    <t>3(35)</t>
  </si>
  <si>
    <t>Diàmetre (mm)</t>
  </si>
  <si>
    <t>objeto: Esfera</t>
  </si>
  <si>
    <t>objeto:semiesfera(caraplana)</t>
  </si>
  <si>
    <t>objeto:semiesfera(otracara)</t>
  </si>
  <si>
    <t>objeto:bala puntiaguda cara plana</t>
  </si>
  <si>
    <t>4(40)</t>
  </si>
  <si>
    <t>Temperatura</t>
  </si>
  <si>
    <t>20ºC</t>
  </si>
  <si>
    <t>pasar a m2</t>
  </si>
  <si>
    <t>Secció (mm^2)</t>
  </si>
  <si>
    <t>posición reostato</t>
  </si>
  <si>
    <t>Força resistència F_R (N)</t>
  </si>
  <si>
    <t>Presión Din. Q(Pa)</t>
  </si>
  <si>
    <t>5(45)</t>
  </si>
  <si>
    <t>Denistat de l'aire</t>
  </si>
  <si>
    <t>ERRORS CALCULATS</t>
  </si>
  <si>
    <t>Pressió dinàmica q (Pa)</t>
  </si>
  <si>
    <t>Reynolds</t>
  </si>
  <si>
    <t>6(50)</t>
  </si>
  <si>
    <t xml:space="preserve">Viscositat cinemàtica </t>
  </si>
  <si>
    <t>Coeficient</t>
  </si>
  <si>
    <t>CALCULAR PER LA DEPENDENT...</t>
  </si>
  <si>
    <t>7(55)</t>
  </si>
  <si>
    <t>Viscositat fluid</t>
  </si>
  <si>
    <t>PESOS...</t>
  </si>
  <si>
    <t>8(60)</t>
  </si>
  <si>
    <t>25 mm</t>
  </si>
  <si>
    <t>9(65)</t>
  </si>
  <si>
    <t>PETIT</t>
  </si>
  <si>
    <t>MITJÀ</t>
  </si>
  <si>
    <t>GROS</t>
  </si>
  <si>
    <t>Diámetro objetos (m):</t>
  </si>
  <si>
    <t>10(70)</t>
  </si>
  <si>
    <t>Posició reòstat</t>
  </si>
  <si>
    <t>Velocitat u (m/s)</t>
  </si>
  <si>
    <t>Nombre Reynolds</t>
  </si>
  <si>
    <t>11(75)</t>
  </si>
  <si>
    <t>12(80)</t>
  </si>
  <si>
    <t>13(85)</t>
  </si>
  <si>
    <t>objeto: gota porosa cara redonda</t>
  </si>
  <si>
    <t>objeto: gota porosa cara punta</t>
  </si>
  <si>
    <t>Nombre de reynolds</t>
  </si>
  <si>
    <t>objeto: gota larga  cara esfera</t>
  </si>
  <si>
    <t>objeto:gota larga cara punta</t>
  </si>
  <si>
    <t>objeto: bala redonda caraplana</t>
  </si>
  <si>
    <t>objeto: bala redonda cararedonda</t>
  </si>
  <si>
    <t>Disc petit</t>
  </si>
  <si>
    <t>Disc mijtà</t>
  </si>
  <si>
    <t>Disc gros</t>
  </si>
  <si>
    <t>VELOCITAT m/s</t>
  </si>
  <si>
    <t>Velocitat m/s</t>
  </si>
  <si>
    <t>dir que vam aturar pq no era perpendicular</t>
  </si>
  <si>
    <t>Diàmetre (m)</t>
  </si>
  <si>
    <t>objeto:bala puntiaguda cara punta</t>
  </si>
  <si>
    <t>Secció (m^2)</t>
  </si>
  <si>
    <t>Errors</t>
  </si>
  <si>
    <t>A petit (m^2)</t>
  </si>
  <si>
    <t>A mitjà (m^2)</t>
  </si>
  <si>
    <t>A gran (m^2)</t>
  </si>
  <si>
    <t>Àrea (m^2)</t>
  </si>
  <si>
    <t>ESFERA</t>
  </si>
  <si>
    <t>Velocitat (m/s)</t>
  </si>
  <si>
    <t>F_r (N)</t>
  </si>
  <si>
    <t>q (Pa)</t>
  </si>
  <si>
    <t>ERROR Q</t>
  </si>
  <si>
    <t>dq = rho*u*du</t>
  </si>
  <si>
    <t>FER AJUST PER AQUESTES TAULES!!!!!!!!!</t>
  </si>
  <si>
    <t>TAMBÉ FER ERROR!!!</t>
  </si>
  <si>
    <t>RECORDA QUE LA PRESSIÓ I LA VELOCITAT VAN LLIGATS...</t>
  </si>
  <si>
    <t>u=4 ; q=10</t>
  </si>
  <si>
    <t>u=5,2</t>
  </si>
  <si>
    <t>u=5,3</t>
  </si>
  <si>
    <t>Fr</t>
  </si>
  <si>
    <t>Fr/q</t>
  </si>
  <si>
    <t>A</t>
  </si>
  <si>
    <t>diametro</t>
  </si>
  <si>
    <t>error q (Pa)</t>
  </si>
  <si>
    <t>SEMIESFERA CARA PLANA</t>
  </si>
  <si>
    <t>SEMIESFERA CARA REDONA</t>
  </si>
  <si>
    <t>GRÀFICS</t>
  </si>
  <si>
    <t>BALA REDONA CARA PLANA</t>
  </si>
  <si>
    <t>BALA REDONA CARA REDONA</t>
  </si>
  <si>
    <t>error Fr</t>
  </si>
  <si>
    <t>q</t>
  </si>
  <si>
    <t>error q</t>
  </si>
  <si>
    <t>VELOCITAT</t>
  </si>
  <si>
    <t>Disc mitjà</t>
  </si>
  <si>
    <t>BALA PUNTIAGUDA CARA PLANA</t>
  </si>
  <si>
    <t>BALA PUNTIAGUDA CARA PUNTA</t>
  </si>
  <si>
    <t>Disc gran</t>
  </si>
  <si>
    <t>GOTA LLARGA CARA ESFERA</t>
  </si>
  <si>
    <t>GOTA LLARGA CARA PUNTA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</si>
</sst>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2" xfId="0" applyFill="1" applyBorder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1" fontId="0" fillId="7" borderId="2" xfId="0" applyNumberFormat="1" applyFill="1" applyBorder="1" applyAlignment="1">
      <alignment horizontal="center"/>
    </xf>
    <xf numFmtId="0" fontId="0" fillId="2" borderId="6" xfId="0" applyFill="1" applyBorder="1"/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  <xf numFmtId="0" fontId="1" fillId="8" borderId="2" xfId="0" applyFont="1" applyFill="1" applyBorder="1"/>
    <xf numFmtId="11" fontId="0" fillId="0" borderId="0" xfId="0" applyNumberFormat="1" applyAlignment="1">
      <alignment horizontal="center"/>
    </xf>
    <xf numFmtId="0" fontId="0" fillId="9" borderId="0" xfId="0" applyFill="1" applyAlignment="1">
      <alignment horizontal="center"/>
    </xf>
    <xf numFmtId="11" fontId="0" fillId="9" borderId="0" xfId="0" applyNumberFormat="1" applyFill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11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(Força/q)</a:t>
            </a:r>
            <a:r>
              <a:rPr lang="en-US" baseline="0"/>
              <a:t> vs A</a:t>
            </a:r>
          </a:p>
          <a:p>
            <a:pPr>
              <a:defRPr/>
            </a:pPr>
            <a:r>
              <a:rPr lang="en-US" baseline="0"/>
              <a:t>u=4(m/s)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Hoja1!$P$29</c:f>
              <c:strCache>
                <c:ptCount val="1"/>
                <c:pt idx="0">
                  <c:v>Força resistència F_R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Hoja1!$P$63:$P$65</c:f>
              <c:numCache>
                <c:formatCode>General</c:formatCode>
                <c:ptCount val="3"/>
                <c:pt idx="0">
                  <c:v>4.9087343750000006E-4</c:v>
                </c:pt>
                <c:pt idx="1">
                  <c:v>9.6211193750000013E-4</c:v>
                </c:pt>
                <c:pt idx="2">
                  <c:v>1.9634937500000002E-3</c:v>
                </c:pt>
              </c:numCache>
            </c:numRef>
          </c:xVal>
          <c:yVal>
            <c:numRef>
              <c:f>Hoja1!$O$63:$O$65</c:f>
              <c:numCache>
                <c:formatCode>General</c:formatCode>
                <c:ptCount val="3"/>
                <c:pt idx="0">
                  <c:v>0</c:v>
                </c:pt>
                <c:pt idx="1">
                  <c:v>8.9999999999999998E-4</c:v>
                </c:pt>
                <c:pt idx="2">
                  <c:v>2.5999999999999999E-3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78-4F1B-B323-AA7BD843A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672999"/>
        <c:axId val="882662919"/>
      </c:scatterChart>
      <c:valAx>
        <c:axId val="882672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82662919"/>
        <c:crosses val="autoZero"/>
        <c:crossBetween val="midCat"/>
      </c:valAx>
      <c:valAx>
        <c:axId val="88266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82672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F_r/q Vs.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Hoja1!$T$63:$T$65</c:f>
              <c:numCache>
                <c:formatCode>General</c:formatCode>
                <c:ptCount val="3"/>
                <c:pt idx="0">
                  <c:v>5.9171597633136087E-5</c:v>
                </c:pt>
                <c:pt idx="1">
                  <c:v>1.0059171597633135E-3</c:v>
                </c:pt>
                <c:pt idx="2">
                  <c:v>2.3668639053254434E-3</c:v>
                </c:pt>
              </c:numCache>
            </c:numRef>
          </c:xVal>
          <c:yVal>
            <c:numRef>
              <c:f>Hoja1!$U$63:$U$65</c:f>
              <c:numCache>
                <c:formatCode>General</c:formatCode>
                <c:ptCount val="3"/>
                <c:pt idx="0">
                  <c:v>4.9087343750000006E-4</c:v>
                </c:pt>
                <c:pt idx="1">
                  <c:v>9.6211193750000013E-4</c:v>
                </c:pt>
                <c:pt idx="2">
                  <c:v>1.9634937500000002E-3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8-4B47-A805-9615BB38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123112"/>
        <c:axId val="1072135112"/>
      </c:scatterChart>
      <c:valAx>
        <c:axId val="107212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72135112"/>
        <c:crosses val="autoZero"/>
        <c:crossBetween val="midCat"/>
      </c:valAx>
      <c:valAx>
        <c:axId val="107213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72123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F_r/q Vs.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Hoja1!$X$63:$X$65</c:f>
              <c:numCache>
                <c:formatCode>General</c:formatCode>
                <c:ptCount val="3"/>
                <c:pt idx="0">
                  <c:v>3.4175863296546818E-4</c:v>
                </c:pt>
                <c:pt idx="1">
                  <c:v>1.4809540761836952E-3</c:v>
                </c:pt>
                <c:pt idx="2">
                  <c:v>3.4175863296546814E-3</c:v>
                </c:pt>
              </c:numCache>
            </c:numRef>
          </c:xVal>
          <c:yVal>
            <c:numRef>
              <c:f>Hoja1!$Y$63:$Y$65</c:f>
              <c:numCache>
                <c:formatCode>General</c:formatCode>
                <c:ptCount val="3"/>
                <c:pt idx="0">
                  <c:v>4.9087343750000006E-4</c:v>
                </c:pt>
                <c:pt idx="1">
                  <c:v>9.6211193750000013E-4</c:v>
                </c:pt>
                <c:pt idx="2">
                  <c:v>1.9634937500000002E-3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8-480C-8D07-011606021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46168"/>
        <c:axId val="627741848"/>
      </c:scatterChart>
      <c:valAx>
        <c:axId val="62774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27741848"/>
        <c:crosses val="autoZero"/>
        <c:crossBetween val="midCat"/>
      </c:valAx>
      <c:valAx>
        <c:axId val="62774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27746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704850</xdr:colOff>
      <xdr:row>42</xdr:row>
      <xdr:rowOff>66675</xdr:rowOff>
    </xdr:from>
    <xdr:to>
      <xdr:col>17</xdr:col>
      <xdr:colOff>190500</xdr:colOff>
      <xdr:row>58</xdr:row>
      <xdr:rowOff>0</xdr:rowOff>
    </xdr:to>
    <xdr:graphicFrame macro="">
      <xdr:nvGraphicFramePr>
        <xdr:cNvPr id="2" name="Gràfic 3">
          <a:extLst>
            <a:ext uri="{FF2B5EF4-FFF2-40B4-BE49-F238E27FC236}">
              <a16:creationId xmlns:a16="http://schemas.microsoft.com/office/drawing/2014/main" id="{3F32A7BE-F92B-A37B-9579-022B711E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1047750</xdr:colOff>
      <xdr:row>43</xdr:row>
      <xdr:rowOff>114300</xdr:rowOff>
    </xdr:from>
    <xdr:to>
      <xdr:col>21</xdr:col>
      <xdr:colOff>257175</xdr:colOff>
      <xdr:row>57</xdr:row>
      <xdr:rowOff>57150</xdr:rowOff>
    </xdr:to>
    <xdr:graphicFrame macro="">
      <xdr:nvGraphicFramePr>
        <xdr:cNvPr id="8" name="Gràfic 3">
          <a:extLst>
            <a:ext uri="{FF2B5EF4-FFF2-40B4-BE49-F238E27FC236}">
              <a16:creationId xmlns:a16="http://schemas.microsoft.com/office/drawing/2014/main" id="{8327D608-6F8D-8108-6D16-8E06E91B45FA}"/>
            </a:ext>
            <a:ext uri="{147F2762-F138-4A5C-976F-8EAC2B608ADB}">
              <a16:predDERef xmlns:a16="http://schemas.microsoft.com/office/drawing/2014/main" pred="{3F32A7BE-F92B-A37B-9579-022B711E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1514475</xdr:colOff>
      <xdr:row>43</xdr:row>
      <xdr:rowOff>190500</xdr:rowOff>
    </xdr:from>
    <xdr:to>
      <xdr:col>25</xdr:col>
      <xdr:colOff>219075</xdr:colOff>
      <xdr:row>57</xdr:row>
      <xdr:rowOff>133350</xdr:rowOff>
    </xdr:to>
    <xdr:graphicFrame macro="">
      <xdr:nvGraphicFramePr>
        <xdr:cNvPr id="12" name="Gràfic 1">
          <a:extLst>
            <a:ext uri="{FF2B5EF4-FFF2-40B4-BE49-F238E27FC236}">
              <a16:creationId xmlns:a16="http://schemas.microsoft.com/office/drawing/2014/main" id="{D512AE2C-9312-C170-6B72-DF421F91E8D5}"/>
            </a:ext>
            <a:ext uri="{147F2762-F138-4A5C-976F-8EAC2B608ADB}">
              <a16:predDERef xmlns:a16="http://schemas.microsoft.com/office/drawing/2014/main" pred="{8327D608-6F8D-8108-6D16-8E06E91B4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E2E6-741E-7B49-AB03-143052389982}">
  <dimension ref="A1:AZ1048576"/>
  <sheetViews>
    <sheetView tabSelected="1" topLeftCell="M55" zoomScale="82" zoomScaleNormal="82" workbookViewId="0">
      <selection activeCell="AE60" sqref="AE60"/>
    </sheetView>
  </sheetViews>
  <sheetFormatPr baseColWidth="10" defaultColWidth="11" defaultRowHeight="16" x14ac:dyDescent="0.2"/>
  <cols>
    <col min="2" max="2" width="24" customWidth="1"/>
    <col min="3" max="3" width="18" customWidth="1"/>
    <col min="4" max="4" width="18.1640625" customWidth="1"/>
    <col min="5" max="5" width="22.6640625" customWidth="1"/>
    <col min="10" max="10" width="18.33203125" customWidth="1"/>
    <col min="11" max="11" width="19.5" customWidth="1"/>
    <col min="12" max="12" width="15.5" customWidth="1"/>
    <col min="13" max="13" width="22.1640625" customWidth="1"/>
    <col min="14" max="14" width="20.83203125" customWidth="1"/>
    <col min="15" max="15" width="20.33203125" customWidth="1"/>
    <col min="16" max="16" width="21.83203125" customWidth="1"/>
    <col min="17" max="17" width="13.1640625" customWidth="1"/>
    <col min="18" max="18" width="13.83203125" customWidth="1"/>
    <col min="19" max="19" width="20.6640625" customWidth="1"/>
    <col min="20" max="20" width="20.83203125" customWidth="1"/>
    <col min="21" max="21" width="15" customWidth="1"/>
    <col min="22" max="22" width="20.83203125" customWidth="1"/>
    <col min="23" max="23" width="19.6640625" customWidth="1"/>
    <col min="24" max="24" width="21.33203125" customWidth="1"/>
    <col min="25" max="25" width="15.1640625" customWidth="1"/>
    <col min="27" max="27" width="21.33203125" customWidth="1"/>
    <col min="28" max="28" width="25.5" customWidth="1"/>
    <col min="29" max="29" width="15.6640625" customWidth="1"/>
    <col min="30" max="30" width="14" customWidth="1"/>
    <col min="31" max="31" width="16.6640625" customWidth="1"/>
    <col min="32" max="32" width="24.5" customWidth="1"/>
    <col min="33" max="33" width="28.5" customWidth="1"/>
    <col min="34" max="34" width="15.1640625" customWidth="1"/>
    <col min="35" max="35" width="15" customWidth="1"/>
    <col min="36" max="36" width="26.33203125" customWidth="1"/>
    <col min="37" max="37" width="21.1640625" customWidth="1"/>
    <col min="40" max="40" width="23.1640625" customWidth="1"/>
    <col min="41" max="41" width="18.83203125" customWidth="1"/>
    <col min="44" max="44" width="22.33203125" customWidth="1"/>
    <col min="45" max="45" width="21.33203125" customWidth="1"/>
    <col min="46" max="46" width="18" customWidth="1"/>
    <col min="49" max="49" width="26" customWidth="1"/>
    <col min="50" max="50" width="16.1640625" customWidth="1"/>
    <col min="51" max="51" width="17.5" customWidth="1"/>
    <col min="52" max="52" width="26.33203125" customWidth="1"/>
  </cols>
  <sheetData>
    <row r="1" spans="1:52" x14ac:dyDescent="0.2">
      <c r="A1" s="6" t="s">
        <v>0</v>
      </c>
      <c r="B1" s="11" t="s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52" x14ac:dyDescent="0.2">
      <c r="A2" s="6" t="s">
        <v>2</v>
      </c>
      <c r="B2" s="11">
        <v>2.2999999999999998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52" ht="17" thickBot="1" x14ac:dyDescent="0.25">
      <c r="A3" s="6" t="s">
        <v>3</v>
      </c>
      <c r="B3" s="11">
        <v>4</v>
      </c>
      <c r="M3" s="1" t="s">
        <v>4</v>
      </c>
      <c r="N3" s="1" t="s">
        <v>5</v>
      </c>
      <c r="P3" s="1"/>
      <c r="Q3" s="9" t="s">
        <v>6</v>
      </c>
      <c r="R3" s="9" t="s">
        <v>7</v>
      </c>
      <c r="S3" s="9" t="s">
        <v>8</v>
      </c>
      <c r="T3" s="9" t="s">
        <v>9</v>
      </c>
      <c r="U3" s="1"/>
      <c r="V3" s="3" t="s">
        <v>10</v>
      </c>
      <c r="W3" s="2" t="s">
        <v>11</v>
      </c>
      <c r="X3" s="2" t="s">
        <v>12</v>
      </c>
      <c r="Y3" s="2" t="s">
        <v>13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52" x14ac:dyDescent="0.2">
      <c r="A4" s="6" t="s">
        <v>14</v>
      </c>
      <c r="B4" s="11">
        <v>5.2</v>
      </c>
      <c r="M4" s="1"/>
      <c r="N4" s="1"/>
      <c r="P4" s="1"/>
      <c r="Q4" s="9" t="s">
        <v>15</v>
      </c>
      <c r="R4" s="9">
        <v>25</v>
      </c>
      <c r="S4" s="9">
        <v>35</v>
      </c>
      <c r="T4" s="9">
        <v>50</v>
      </c>
      <c r="U4" s="1"/>
      <c r="V4" s="2"/>
      <c r="W4" s="2">
        <v>5.0000000000000002E-5</v>
      </c>
      <c r="X4" s="2">
        <v>0.2</v>
      </c>
      <c r="Y4" s="2">
        <v>1E-3</v>
      </c>
      <c r="Z4" s="1"/>
      <c r="AA4" s="1"/>
      <c r="AB4" s="2" t="s">
        <v>16</v>
      </c>
      <c r="AC4" s="1"/>
      <c r="AD4" s="1"/>
      <c r="AE4" s="1"/>
      <c r="AF4" s="14" t="s">
        <v>17</v>
      </c>
      <c r="AG4" s="1"/>
      <c r="AH4" s="1"/>
      <c r="AI4" s="1"/>
      <c r="AJ4" s="14" t="s">
        <v>18</v>
      </c>
      <c r="AK4" s="1"/>
      <c r="AL4" s="1"/>
      <c r="AM4" s="1"/>
      <c r="AN4" s="14" t="s">
        <v>19</v>
      </c>
      <c r="AO4" s="1"/>
      <c r="AP4" s="1"/>
    </row>
    <row r="5" spans="1:52" x14ac:dyDescent="0.2">
      <c r="A5" s="6" t="s">
        <v>20</v>
      </c>
      <c r="B5" s="11">
        <v>5.3</v>
      </c>
      <c r="M5" s="2" t="s">
        <v>21</v>
      </c>
      <c r="N5" s="2" t="s">
        <v>22</v>
      </c>
      <c r="P5" s="1" t="s">
        <v>23</v>
      </c>
      <c r="Q5" s="9" t="s">
        <v>24</v>
      </c>
      <c r="R5" s="10">
        <f>(3.14159*(R4/2)^2)</f>
        <v>490.87343749999997</v>
      </c>
      <c r="S5" s="9">
        <f>(3.14159*(S4/2)^2)</f>
        <v>962.11193749999995</v>
      </c>
      <c r="T5" s="9">
        <f>(3.14159*(T4/2)^2)</f>
        <v>1963.4937499999999</v>
      </c>
      <c r="U5" s="1"/>
      <c r="V5" s="1"/>
      <c r="W5" s="1"/>
      <c r="X5" s="1"/>
      <c r="Y5" s="1"/>
      <c r="Z5" s="1"/>
      <c r="AA5" s="12" t="s">
        <v>25</v>
      </c>
      <c r="AB5" s="15" t="s">
        <v>26</v>
      </c>
      <c r="AC5" s="12" t="s">
        <v>27</v>
      </c>
      <c r="AD5" s="1"/>
      <c r="AE5" s="12" t="s">
        <v>25</v>
      </c>
      <c r="AF5" s="12" t="s">
        <v>26</v>
      </c>
      <c r="AG5" s="12" t="s">
        <v>27</v>
      </c>
      <c r="AH5" s="1"/>
      <c r="AI5" s="12" t="s">
        <v>25</v>
      </c>
      <c r="AJ5" s="12" t="s">
        <v>26</v>
      </c>
      <c r="AK5" s="12" t="s">
        <v>27</v>
      </c>
      <c r="AL5" s="1"/>
      <c r="AM5" s="12" t="s">
        <v>25</v>
      </c>
      <c r="AN5" s="12" t="s">
        <v>26</v>
      </c>
      <c r="AO5" s="12" t="s">
        <v>27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">
      <c r="A6" s="6" t="s">
        <v>28</v>
      </c>
      <c r="B6" s="11">
        <v>6.1</v>
      </c>
      <c r="M6" s="2" t="s">
        <v>29</v>
      </c>
      <c r="N6" s="2">
        <v>1.25</v>
      </c>
      <c r="P6" s="1"/>
      <c r="Q6" s="1"/>
      <c r="R6" s="1"/>
      <c r="S6" s="1"/>
      <c r="T6" s="1"/>
      <c r="U6" s="1"/>
      <c r="V6" s="4" t="s">
        <v>30</v>
      </c>
      <c r="W6" s="2" t="s">
        <v>31</v>
      </c>
      <c r="X6" s="2" t="s">
        <v>32</v>
      </c>
      <c r="Y6" s="2" t="s">
        <v>32</v>
      </c>
      <c r="Z6" s="1"/>
      <c r="AA6" s="13" t="s">
        <v>2</v>
      </c>
      <c r="AB6" s="12">
        <v>0</v>
      </c>
      <c r="AC6" s="12">
        <f t="shared" ref="AC6:AC20" si="0">S12</f>
        <v>3.3062499999999995</v>
      </c>
      <c r="AD6" s="1"/>
      <c r="AE6" s="13" t="s">
        <v>2</v>
      </c>
      <c r="AF6" s="12">
        <v>0</v>
      </c>
      <c r="AG6" s="12">
        <f t="shared" ref="AG6:AG20" si="1">S12</f>
        <v>3.3062499999999995</v>
      </c>
      <c r="AH6" s="1"/>
      <c r="AI6" s="13" t="s">
        <v>2</v>
      </c>
      <c r="AJ6" s="12">
        <v>0</v>
      </c>
      <c r="AK6" s="12">
        <f t="shared" ref="AK6:AK20" si="2">S12</f>
        <v>3.3062499999999995</v>
      </c>
      <c r="AL6" s="1"/>
      <c r="AM6" s="13" t="s">
        <v>2</v>
      </c>
      <c r="AN6" s="12">
        <v>0</v>
      </c>
      <c r="AO6" s="12">
        <f t="shared" ref="AO6:AO20" si="3">S12</f>
        <v>3.3062499999999995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">
      <c r="A7" s="6" t="s">
        <v>33</v>
      </c>
      <c r="B7" s="11">
        <v>6.7</v>
      </c>
      <c r="M7" s="2" t="s">
        <v>34</v>
      </c>
      <c r="N7" s="2">
        <f>N8/N6</f>
        <v>1.44E-4</v>
      </c>
      <c r="P7" s="1"/>
      <c r="Q7" s="2" t="s">
        <v>35</v>
      </c>
      <c r="R7" s="2"/>
      <c r="S7" s="2"/>
      <c r="T7" s="2"/>
      <c r="U7" s="1"/>
      <c r="V7" s="2" t="s">
        <v>36</v>
      </c>
      <c r="W7" s="2"/>
      <c r="X7" s="2"/>
      <c r="Y7" s="2"/>
      <c r="Z7" s="1"/>
      <c r="AA7" s="13" t="s">
        <v>3</v>
      </c>
      <c r="AB7" s="12">
        <v>0</v>
      </c>
      <c r="AC7" s="12">
        <f t="shared" si="0"/>
        <v>10</v>
      </c>
      <c r="AD7" s="1"/>
      <c r="AE7" s="13" t="s">
        <v>3</v>
      </c>
      <c r="AF7" s="12">
        <v>0</v>
      </c>
      <c r="AG7" s="12">
        <f t="shared" si="1"/>
        <v>10</v>
      </c>
      <c r="AH7" s="1"/>
      <c r="AI7" s="13" t="s">
        <v>3</v>
      </c>
      <c r="AJ7" s="12">
        <v>0</v>
      </c>
      <c r="AK7" s="12">
        <f t="shared" si="2"/>
        <v>10</v>
      </c>
      <c r="AL7" s="1"/>
      <c r="AM7" s="13" t="s">
        <v>3</v>
      </c>
      <c r="AN7" s="12">
        <v>0</v>
      </c>
      <c r="AO7" s="12">
        <f t="shared" si="3"/>
        <v>10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">
      <c r="A8" s="6" t="s">
        <v>37</v>
      </c>
      <c r="B8" s="11">
        <v>7.5</v>
      </c>
      <c r="M8" s="2" t="s">
        <v>38</v>
      </c>
      <c r="N8" s="2">
        <v>1.8000000000000001E-4</v>
      </c>
      <c r="P8" s="1"/>
      <c r="Q8" s="1"/>
      <c r="R8" s="1"/>
      <c r="S8" s="1"/>
      <c r="T8" s="1"/>
      <c r="U8" s="1"/>
      <c r="V8" s="1" t="s">
        <v>39</v>
      </c>
      <c r="W8" s="1"/>
      <c r="X8" s="1"/>
      <c r="Y8" s="1"/>
      <c r="Z8" s="1"/>
      <c r="AA8" s="13" t="s">
        <v>14</v>
      </c>
      <c r="AB8" s="12">
        <v>0</v>
      </c>
      <c r="AC8" s="12">
        <f t="shared" si="0"/>
        <v>16.900000000000002</v>
      </c>
      <c r="AD8" s="1"/>
      <c r="AE8" s="13" t="s">
        <v>14</v>
      </c>
      <c r="AF8" s="12">
        <v>3.0000000000000001E-3</v>
      </c>
      <c r="AG8" s="12">
        <f t="shared" si="1"/>
        <v>16.900000000000002</v>
      </c>
      <c r="AH8" s="1"/>
      <c r="AI8" s="13" t="s">
        <v>14</v>
      </c>
      <c r="AJ8" s="12">
        <v>0</v>
      </c>
      <c r="AK8" s="12">
        <f t="shared" si="2"/>
        <v>16.900000000000002</v>
      </c>
      <c r="AL8" s="1"/>
      <c r="AM8" s="13" t="s">
        <v>14</v>
      </c>
      <c r="AN8" s="12">
        <v>1E-3</v>
      </c>
      <c r="AO8" s="12">
        <f t="shared" si="3"/>
        <v>16.900000000000002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">
      <c r="A9" s="6" t="s">
        <v>40</v>
      </c>
      <c r="B9" s="11">
        <v>7.9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3" t="s">
        <v>20</v>
      </c>
      <c r="AB9" s="12">
        <v>0</v>
      </c>
      <c r="AC9" s="12">
        <f t="shared" si="0"/>
        <v>17.556249999999999</v>
      </c>
      <c r="AD9" s="1"/>
      <c r="AE9" s="13" t="s">
        <v>20</v>
      </c>
      <c r="AF9" s="12">
        <v>7.0000000000000001E-3</v>
      </c>
      <c r="AG9" s="12">
        <f t="shared" si="1"/>
        <v>17.556249999999999</v>
      </c>
      <c r="AH9" s="1"/>
      <c r="AI9" s="13" t="s">
        <v>20</v>
      </c>
      <c r="AJ9" s="12">
        <v>0</v>
      </c>
      <c r="AK9" s="12">
        <f t="shared" si="2"/>
        <v>17.556249999999999</v>
      </c>
      <c r="AL9" s="1"/>
      <c r="AM9" s="13" t="s">
        <v>20</v>
      </c>
      <c r="AN9" s="12">
        <v>2E-3</v>
      </c>
      <c r="AO9" s="12">
        <f t="shared" si="3"/>
        <v>17.556249999999999</v>
      </c>
      <c r="AP9" s="1"/>
      <c r="AQ9" s="1"/>
      <c r="AR9" s="1" t="s">
        <v>41</v>
      </c>
      <c r="AS9" s="1"/>
      <c r="AT9" s="1"/>
      <c r="AU9" s="1"/>
      <c r="AV9" s="1"/>
      <c r="AW9" s="1"/>
      <c r="AX9" s="1"/>
      <c r="AY9" s="1"/>
      <c r="AZ9" s="1"/>
    </row>
    <row r="10" spans="1:52" x14ac:dyDescent="0.2">
      <c r="A10" s="6" t="s">
        <v>42</v>
      </c>
      <c r="B10" s="11">
        <v>8.3000000000000007</v>
      </c>
      <c r="P10" s="1"/>
      <c r="Q10" s="1"/>
      <c r="R10" s="1"/>
      <c r="S10" s="1"/>
      <c r="T10" s="2" t="s">
        <v>43</v>
      </c>
      <c r="U10" s="2" t="s">
        <v>43</v>
      </c>
      <c r="V10" s="2" t="s">
        <v>44</v>
      </c>
      <c r="W10" s="2" t="s">
        <v>44</v>
      </c>
      <c r="X10" s="2" t="s">
        <v>45</v>
      </c>
      <c r="Y10" s="2" t="s">
        <v>45</v>
      </c>
      <c r="Z10" s="1"/>
      <c r="AA10" s="13" t="s">
        <v>28</v>
      </c>
      <c r="AB10" s="12">
        <v>1E-3</v>
      </c>
      <c r="AC10" s="12">
        <f t="shared" si="0"/>
        <v>23.256249999999994</v>
      </c>
      <c r="AD10" s="1"/>
      <c r="AE10" s="13" t="s">
        <v>28</v>
      </c>
      <c r="AF10" s="12">
        <v>0.01</v>
      </c>
      <c r="AG10" s="12">
        <f t="shared" si="1"/>
        <v>23.256249999999994</v>
      </c>
      <c r="AH10" s="1"/>
      <c r="AI10" s="13" t="s">
        <v>28</v>
      </c>
      <c r="AJ10" s="12">
        <v>0</v>
      </c>
      <c r="AK10" s="12">
        <f t="shared" si="2"/>
        <v>23.256249999999994</v>
      </c>
      <c r="AL10" s="1"/>
      <c r="AM10" s="13" t="s">
        <v>28</v>
      </c>
      <c r="AN10" s="12">
        <v>5.0000000000000001E-3</v>
      </c>
      <c r="AO10" s="12">
        <f t="shared" si="3"/>
        <v>23.256249999999994</v>
      </c>
      <c r="AP10" s="1"/>
      <c r="AQ10" s="1"/>
      <c r="AR10" s="17" t="s">
        <v>46</v>
      </c>
      <c r="AS10" s="1"/>
      <c r="AT10" s="1"/>
      <c r="AU10" s="1"/>
      <c r="AV10" s="1"/>
      <c r="AW10" s="1"/>
      <c r="AX10" s="1"/>
      <c r="AY10" s="1"/>
      <c r="AZ10" s="1"/>
    </row>
    <row r="11" spans="1:52" x14ac:dyDescent="0.2">
      <c r="A11" s="6" t="s">
        <v>47</v>
      </c>
      <c r="B11" s="11">
        <v>9.8000000000000007</v>
      </c>
      <c r="M11" s="20"/>
      <c r="N11" s="20"/>
      <c r="P11" s="1"/>
      <c r="Q11" s="7" t="s">
        <v>48</v>
      </c>
      <c r="R11" s="7" t="s">
        <v>49</v>
      </c>
      <c r="S11" s="7" t="s">
        <v>31</v>
      </c>
      <c r="T11" s="8" t="s">
        <v>26</v>
      </c>
      <c r="U11" s="8" t="s">
        <v>50</v>
      </c>
      <c r="V11" s="8" t="s">
        <v>26</v>
      </c>
      <c r="W11" s="8" t="s">
        <v>50</v>
      </c>
      <c r="X11" s="8" t="s">
        <v>26</v>
      </c>
      <c r="Y11" s="8" t="s">
        <v>50</v>
      </c>
      <c r="Z11" s="1"/>
      <c r="AA11" s="13" t="s">
        <v>33</v>
      </c>
      <c r="AB11" s="12">
        <v>3.0000000000000001E-3</v>
      </c>
      <c r="AC11" s="12">
        <f t="shared" si="0"/>
        <v>28.056249999999999</v>
      </c>
      <c r="AD11" s="1"/>
      <c r="AE11" s="13" t="s">
        <v>33</v>
      </c>
      <c r="AF11" s="12">
        <v>1.4999999999999999E-2</v>
      </c>
      <c r="AG11" s="12">
        <f t="shared" si="1"/>
        <v>28.056249999999999</v>
      </c>
      <c r="AH11" s="1"/>
      <c r="AI11" s="13" t="s">
        <v>33</v>
      </c>
      <c r="AJ11" s="12">
        <v>1E-3</v>
      </c>
      <c r="AK11" s="12">
        <f t="shared" si="2"/>
        <v>28.056249999999999</v>
      </c>
      <c r="AL11" s="1"/>
      <c r="AM11" s="13" t="s">
        <v>33</v>
      </c>
      <c r="AN11" s="12">
        <v>8.0000000000000002E-3</v>
      </c>
      <c r="AO11" s="12">
        <f t="shared" si="3"/>
        <v>28.056249999999999</v>
      </c>
      <c r="AP11" s="1"/>
      <c r="AQ11" s="1"/>
      <c r="AR11" s="17">
        <v>2.5000000000000001E-2</v>
      </c>
      <c r="AS11" s="1"/>
      <c r="AT11" s="1"/>
      <c r="AU11" s="1"/>
      <c r="AV11" s="1"/>
      <c r="AW11" s="1"/>
      <c r="AX11" s="1"/>
      <c r="AY11" s="1"/>
      <c r="AZ11" s="1"/>
    </row>
    <row r="12" spans="1:52" x14ac:dyDescent="0.2">
      <c r="A12" s="6" t="s">
        <v>51</v>
      </c>
      <c r="B12" s="11">
        <v>10.199999999999999</v>
      </c>
      <c r="M12" s="20"/>
      <c r="N12" s="20"/>
      <c r="O12" s="19"/>
      <c r="P12" s="1"/>
      <c r="Q12" s="13" t="s">
        <v>2</v>
      </c>
      <c r="R12" s="13">
        <v>2.2999999999999998</v>
      </c>
      <c r="S12" s="5">
        <f t="shared" ref="S12:S23" si="4">(0.5*$N$6*R12^2)</f>
        <v>3.3062499999999995</v>
      </c>
      <c r="T12" s="5">
        <v>0</v>
      </c>
      <c r="U12" s="5">
        <f t="shared" ref="U12:U24" si="5">(R12*$R$4/$N$7)</f>
        <v>399305.5555555555</v>
      </c>
      <c r="V12" s="5">
        <v>0</v>
      </c>
      <c r="W12" s="5">
        <f t="shared" ref="W12:W24" si="6">(R12*$S$4/$N$7)</f>
        <v>559027.77777777775</v>
      </c>
      <c r="X12" s="5">
        <v>0</v>
      </c>
      <c r="Y12" s="5">
        <f t="shared" ref="Y12:Y24" si="7">(R12*$T$4/$N$7)</f>
        <v>798611.11111111101</v>
      </c>
      <c r="Z12" s="1"/>
      <c r="AA12" s="13" t="s">
        <v>37</v>
      </c>
      <c r="AB12" s="12">
        <v>4.0000000000000001E-3</v>
      </c>
      <c r="AC12" s="12">
        <f t="shared" si="0"/>
        <v>35.15625</v>
      </c>
      <c r="AD12" s="1"/>
      <c r="AE12" s="13" t="s">
        <v>37</v>
      </c>
      <c r="AF12" s="12">
        <v>2.1000000000000001E-2</v>
      </c>
      <c r="AG12" s="12">
        <f t="shared" si="1"/>
        <v>35.15625</v>
      </c>
      <c r="AH12" s="1"/>
      <c r="AI12" s="13" t="s">
        <v>37</v>
      </c>
      <c r="AJ12" s="12">
        <v>3.0000000000000001E-3</v>
      </c>
      <c r="AK12" s="12">
        <f t="shared" si="2"/>
        <v>35.15625</v>
      </c>
      <c r="AL12" s="1"/>
      <c r="AM12" s="13" t="s">
        <v>37</v>
      </c>
      <c r="AN12" s="12">
        <v>1.0999999999999999E-2</v>
      </c>
      <c r="AO12" s="12">
        <f t="shared" si="3"/>
        <v>35.15625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7" thickBot="1" x14ac:dyDescent="0.25">
      <c r="A13" s="6" t="s">
        <v>52</v>
      </c>
      <c r="B13" s="11">
        <v>10.5</v>
      </c>
      <c r="M13" s="20"/>
      <c r="N13" s="20"/>
      <c r="O13" s="19"/>
      <c r="P13" s="1"/>
      <c r="Q13" s="13" t="s">
        <v>3</v>
      </c>
      <c r="R13" s="13">
        <v>4</v>
      </c>
      <c r="S13" s="5">
        <f t="shared" si="4"/>
        <v>10</v>
      </c>
      <c r="T13" s="5">
        <v>0</v>
      </c>
      <c r="U13" s="5">
        <f t="shared" si="5"/>
        <v>694444.44444444438</v>
      </c>
      <c r="V13" s="5">
        <v>8.9999999999999993E-3</v>
      </c>
      <c r="W13" s="5">
        <f t="shared" si="6"/>
        <v>972222.22222222225</v>
      </c>
      <c r="X13" s="5">
        <v>2.5999999999999999E-2</v>
      </c>
      <c r="Y13" s="5">
        <f t="shared" si="7"/>
        <v>1388888.8888888888</v>
      </c>
      <c r="Z13" s="1"/>
      <c r="AA13" s="13" t="s">
        <v>40</v>
      </c>
      <c r="AB13" s="16">
        <v>7.0000000000000001E-3</v>
      </c>
      <c r="AC13" s="12">
        <f t="shared" si="0"/>
        <v>39.006250000000001</v>
      </c>
      <c r="AD13" s="1"/>
      <c r="AE13" s="13" t="s">
        <v>40</v>
      </c>
      <c r="AF13" s="12">
        <v>2.5999999999999999E-2</v>
      </c>
      <c r="AG13" s="12">
        <f t="shared" si="1"/>
        <v>39.006250000000001</v>
      </c>
      <c r="AH13" s="1"/>
      <c r="AI13" s="13" t="s">
        <v>40</v>
      </c>
      <c r="AJ13" s="12">
        <v>5.0000000000000001E-3</v>
      </c>
      <c r="AK13" s="12">
        <f t="shared" si="2"/>
        <v>39.006250000000001</v>
      </c>
      <c r="AL13" s="1"/>
      <c r="AM13" s="13" t="s">
        <v>40</v>
      </c>
      <c r="AN13" s="12">
        <v>1.4999999999999999E-2</v>
      </c>
      <c r="AO13" s="12">
        <f t="shared" si="3"/>
        <v>39.006250000000001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">
      <c r="A14" s="6" t="s">
        <v>53</v>
      </c>
      <c r="B14" s="11">
        <v>10.9</v>
      </c>
      <c r="M14" s="20"/>
      <c r="N14" s="20"/>
      <c r="O14" s="19"/>
      <c r="P14" s="1"/>
      <c r="Q14" s="13" t="s">
        <v>14</v>
      </c>
      <c r="R14" s="13">
        <v>5.2</v>
      </c>
      <c r="S14" s="5">
        <f t="shared" si="4"/>
        <v>16.900000000000002</v>
      </c>
      <c r="T14" s="5">
        <v>1E-3</v>
      </c>
      <c r="U14" s="5">
        <f t="shared" si="5"/>
        <v>902777.77777777775</v>
      </c>
      <c r="V14" s="5">
        <v>1.7000000000000001E-2</v>
      </c>
      <c r="W14" s="5">
        <f t="shared" si="6"/>
        <v>1263888.8888888888</v>
      </c>
      <c r="X14" s="5">
        <v>0.04</v>
      </c>
      <c r="Y14" s="5">
        <f t="shared" si="7"/>
        <v>1805555.5555555555</v>
      </c>
      <c r="Z14" s="1"/>
      <c r="AA14" s="13" t="s">
        <v>42</v>
      </c>
      <c r="AB14" s="12">
        <v>8.9999999999999993E-3</v>
      </c>
      <c r="AC14" s="12">
        <f t="shared" si="0"/>
        <v>43.056250000000006</v>
      </c>
      <c r="AD14" s="1"/>
      <c r="AE14" s="13" t="s">
        <v>42</v>
      </c>
      <c r="AF14" s="12">
        <v>3.1E-2</v>
      </c>
      <c r="AG14" s="12">
        <f t="shared" si="1"/>
        <v>43.056250000000006</v>
      </c>
      <c r="AH14" s="1"/>
      <c r="AI14" s="13" t="s">
        <v>42</v>
      </c>
      <c r="AJ14" s="12">
        <v>7.0000000000000001E-3</v>
      </c>
      <c r="AK14" s="12">
        <f t="shared" si="2"/>
        <v>43.056250000000006</v>
      </c>
      <c r="AL14" s="1"/>
      <c r="AM14" s="13" t="s">
        <v>42</v>
      </c>
      <c r="AN14" s="12">
        <v>1.7999999999999999E-2</v>
      </c>
      <c r="AO14" s="12">
        <f t="shared" si="3"/>
        <v>43.056250000000006</v>
      </c>
      <c r="AP14" s="1"/>
      <c r="AQ14" s="1"/>
      <c r="AR14" s="14" t="s">
        <v>54</v>
      </c>
      <c r="AS14" s="1"/>
      <c r="AT14" s="1"/>
      <c r="AU14" s="1"/>
      <c r="AV14" s="1"/>
      <c r="AW14" s="14" t="s">
        <v>55</v>
      </c>
      <c r="AX14" s="1"/>
      <c r="AY14" s="1"/>
      <c r="AZ14" s="1"/>
    </row>
    <row r="15" spans="1:52" x14ac:dyDescent="0.2">
      <c r="A15" s="6">
        <v>14</v>
      </c>
      <c r="B15" s="11"/>
      <c r="M15" s="20"/>
      <c r="N15" s="20"/>
      <c r="O15" s="19"/>
      <c r="P15" s="1"/>
      <c r="Q15" s="13" t="s">
        <v>20</v>
      </c>
      <c r="R15" s="13">
        <v>5.3</v>
      </c>
      <c r="S15" s="5">
        <f t="shared" si="4"/>
        <v>17.556249999999999</v>
      </c>
      <c r="T15" s="5">
        <v>6.0000000000000001E-3</v>
      </c>
      <c r="U15" s="5">
        <f t="shared" si="5"/>
        <v>920138.88888888888</v>
      </c>
      <c r="V15" s="5">
        <v>2.5999999999999999E-2</v>
      </c>
      <c r="W15" s="5">
        <f t="shared" si="6"/>
        <v>1288194.4444444445</v>
      </c>
      <c r="X15" s="5">
        <v>0.06</v>
      </c>
      <c r="Y15" s="5">
        <f t="shared" si="7"/>
        <v>1840277.7777777778</v>
      </c>
      <c r="Z15" s="1"/>
      <c r="AA15" s="13" t="s">
        <v>47</v>
      </c>
      <c r="AB15" s="12">
        <v>1.2E-2</v>
      </c>
      <c r="AC15" s="12">
        <f t="shared" si="0"/>
        <v>60.025000000000013</v>
      </c>
      <c r="AD15" s="1"/>
      <c r="AE15" s="13" t="s">
        <v>47</v>
      </c>
      <c r="AF15" s="12">
        <v>3.4000000000000002E-2</v>
      </c>
      <c r="AG15" s="12">
        <f t="shared" si="1"/>
        <v>60.025000000000013</v>
      </c>
      <c r="AH15" s="1"/>
      <c r="AI15" s="13" t="s">
        <v>47</v>
      </c>
      <c r="AJ15" s="12">
        <v>0.01</v>
      </c>
      <c r="AK15" s="12">
        <f t="shared" si="2"/>
        <v>60.025000000000013</v>
      </c>
      <c r="AL15" s="1"/>
      <c r="AM15" s="13" t="s">
        <v>47</v>
      </c>
      <c r="AN15" s="12">
        <v>2.1999999999999999E-2</v>
      </c>
      <c r="AO15" s="12">
        <f t="shared" si="3"/>
        <v>60.025000000000013</v>
      </c>
      <c r="AP15" s="1"/>
      <c r="AQ15" s="12" t="s">
        <v>25</v>
      </c>
      <c r="AR15" s="12" t="s">
        <v>26</v>
      </c>
      <c r="AS15" s="12" t="s">
        <v>27</v>
      </c>
      <c r="AT15" s="12" t="s">
        <v>56</v>
      </c>
      <c r="AU15" s="1"/>
      <c r="AV15" s="12" t="s">
        <v>25</v>
      </c>
      <c r="AW15" s="12" t="s">
        <v>26</v>
      </c>
      <c r="AX15" s="12" t="s">
        <v>27</v>
      </c>
      <c r="AY15" s="12" t="s">
        <v>56</v>
      </c>
      <c r="AZ15" s="1"/>
    </row>
    <row r="16" spans="1:52" ht="20" customHeight="1" x14ac:dyDescent="0.2">
      <c r="A16" s="6">
        <v>15</v>
      </c>
      <c r="B16" s="11"/>
      <c r="M16" s="20"/>
      <c r="N16" s="20"/>
      <c r="O16" s="19"/>
      <c r="P16" s="1"/>
      <c r="Q16" s="13" t="s">
        <v>28</v>
      </c>
      <c r="R16" s="13">
        <v>6.1</v>
      </c>
      <c r="S16" s="5">
        <f t="shared" si="4"/>
        <v>23.256249999999994</v>
      </c>
      <c r="T16" s="5">
        <v>0.01</v>
      </c>
      <c r="U16" s="5">
        <f t="shared" si="5"/>
        <v>1059027.7777777778</v>
      </c>
      <c r="V16" s="5">
        <v>3.4000000000000002E-2</v>
      </c>
      <c r="W16" s="5">
        <f t="shared" si="6"/>
        <v>1482638.8888888888</v>
      </c>
      <c r="X16" s="5"/>
      <c r="Y16" s="5">
        <f t="shared" si="7"/>
        <v>2118055.5555555555</v>
      </c>
      <c r="Z16" s="1"/>
      <c r="AA16" s="13" t="s">
        <v>51</v>
      </c>
      <c r="AB16" s="12">
        <v>1.4999999999999999E-2</v>
      </c>
      <c r="AC16" s="12">
        <f t="shared" si="0"/>
        <v>65.024999999999991</v>
      </c>
      <c r="AD16" s="1"/>
      <c r="AE16" s="13" t="s">
        <v>51</v>
      </c>
      <c r="AF16" s="12">
        <v>4.1000000000000002E-2</v>
      </c>
      <c r="AG16" s="12">
        <f t="shared" si="1"/>
        <v>65.024999999999991</v>
      </c>
      <c r="AH16" s="1"/>
      <c r="AI16" s="13" t="s">
        <v>51</v>
      </c>
      <c r="AJ16" s="12">
        <v>1.4E-2</v>
      </c>
      <c r="AK16" s="12">
        <f t="shared" si="2"/>
        <v>65.024999999999991</v>
      </c>
      <c r="AL16" s="1"/>
      <c r="AM16" s="13" t="s">
        <v>51</v>
      </c>
      <c r="AN16" s="12">
        <v>2.5999999999999999E-2</v>
      </c>
      <c r="AO16" s="12">
        <f t="shared" si="3"/>
        <v>65.024999999999991</v>
      </c>
      <c r="AP16" s="1"/>
      <c r="AQ16" s="13" t="s">
        <v>2</v>
      </c>
      <c r="AR16" s="12">
        <v>0</v>
      </c>
      <c r="AS16" s="12">
        <f t="shared" ref="AS16:AS30" si="8">S12</f>
        <v>3.3062499999999995</v>
      </c>
      <c r="AT16" s="12">
        <f>(B2*$AR$11)/$N$7</f>
        <v>399.30555555555554</v>
      </c>
      <c r="AU16" s="1"/>
      <c r="AV16" s="13" t="s">
        <v>2</v>
      </c>
      <c r="AW16" s="12">
        <v>0</v>
      </c>
      <c r="AX16" s="12">
        <f t="shared" ref="AX16:AX30" si="9">X12</f>
        <v>0</v>
      </c>
      <c r="AY16" s="12">
        <f>(G2*$AR$11)/$N$7</f>
        <v>0</v>
      </c>
      <c r="AZ16" s="1"/>
    </row>
    <row r="17" spans="12:52" x14ac:dyDescent="0.2">
      <c r="M17" s="20"/>
      <c r="N17" s="20"/>
      <c r="O17" s="19"/>
      <c r="P17" s="1"/>
      <c r="Q17" s="13" t="s">
        <v>33</v>
      </c>
      <c r="R17" s="13">
        <v>6.7</v>
      </c>
      <c r="S17" s="5">
        <f t="shared" si="4"/>
        <v>28.056249999999999</v>
      </c>
      <c r="T17" s="5">
        <v>1.4999999999999999E-2</v>
      </c>
      <c r="U17" s="5">
        <f t="shared" si="5"/>
        <v>1163194.4444444445</v>
      </c>
      <c r="V17" s="5">
        <v>4.2999999999999997E-2</v>
      </c>
      <c r="W17" s="5">
        <f t="shared" si="6"/>
        <v>1628472.2222222222</v>
      </c>
      <c r="X17" s="5"/>
      <c r="Y17" s="5">
        <f t="shared" si="7"/>
        <v>2326388.888888889</v>
      </c>
      <c r="Z17" s="1"/>
      <c r="AA17" s="13" t="s">
        <v>52</v>
      </c>
      <c r="AB17" s="12">
        <v>1.7999999999999999E-2</v>
      </c>
      <c r="AC17" s="12">
        <f t="shared" si="0"/>
        <v>68.90625</v>
      </c>
      <c r="AD17" s="1"/>
      <c r="AE17" s="13" t="s">
        <v>52</v>
      </c>
      <c r="AF17" s="12">
        <v>4.5999999999999999E-2</v>
      </c>
      <c r="AG17" s="12">
        <f t="shared" si="1"/>
        <v>68.90625</v>
      </c>
      <c r="AH17" s="1"/>
      <c r="AI17" s="13" t="s">
        <v>52</v>
      </c>
      <c r="AJ17" s="12">
        <v>1.7999999999999999E-2</v>
      </c>
      <c r="AK17" s="12">
        <f t="shared" si="2"/>
        <v>68.90625</v>
      </c>
      <c r="AL17" s="1"/>
      <c r="AM17" s="13" t="s">
        <v>52</v>
      </c>
      <c r="AN17" s="12">
        <v>3.1E-2</v>
      </c>
      <c r="AO17" s="12">
        <f t="shared" si="3"/>
        <v>68.90625</v>
      </c>
      <c r="AP17" s="1"/>
      <c r="AQ17" s="13" t="s">
        <v>3</v>
      </c>
      <c r="AR17" s="12">
        <v>0</v>
      </c>
      <c r="AS17" s="12">
        <f t="shared" si="8"/>
        <v>10</v>
      </c>
      <c r="AT17" s="12">
        <f t="shared" ref="AT17:AT30" si="10">(B3*$AR$11)/$N$7</f>
        <v>694.44444444444446</v>
      </c>
      <c r="AU17" s="1"/>
      <c r="AV17" s="13" t="s">
        <v>3</v>
      </c>
      <c r="AW17" s="12">
        <v>0</v>
      </c>
      <c r="AX17" s="12">
        <f t="shared" si="9"/>
        <v>2.5999999999999999E-2</v>
      </c>
      <c r="AY17" s="12">
        <f t="shared" ref="AY17:AY30" si="11">(G3*$AR$11)/$N$7</f>
        <v>0</v>
      </c>
      <c r="AZ17" s="1"/>
    </row>
    <row r="18" spans="12:52" x14ac:dyDescent="0.2">
      <c r="M18" s="20"/>
      <c r="N18" s="20"/>
      <c r="O18" s="19"/>
      <c r="P18" s="1"/>
      <c r="Q18" s="13" t="s">
        <v>37</v>
      </c>
      <c r="R18" s="13">
        <v>7.5</v>
      </c>
      <c r="S18" s="5">
        <f t="shared" si="4"/>
        <v>35.15625</v>
      </c>
      <c r="T18" s="5">
        <v>0.02</v>
      </c>
      <c r="U18" s="5">
        <f t="shared" si="5"/>
        <v>1302083.3333333333</v>
      </c>
      <c r="V18" s="5">
        <v>5.6000000000000001E-2</v>
      </c>
      <c r="W18" s="5">
        <f t="shared" si="6"/>
        <v>1822916.6666666665</v>
      </c>
      <c r="X18" s="5"/>
      <c r="Y18" s="5">
        <f t="shared" si="7"/>
        <v>2604166.6666666665</v>
      </c>
      <c r="Z18" s="1"/>
      <c r="AA18" s="13" t="s">
        <v>53</v>
      </c>
      <c r="AB18" s="12">
        <v>0.02</v>
      </c>
      <c r="AC18" s="12">
        <f t="shared" si="0"/>
        <v>74.256249999999994</v>
      </c>
      <c r="AD18" s="1"/>
      <c r="AE18" s="13" t="s">
        <v>53</v>
      </c>
      <c r="AF18" s="12"/>
      <c r="AG18" s="12">
        <f t="shared" si="1"/>
        <v>74.256249999999994</v>
      </c>
      <c r="AH18" s="1"/>
      <c r="AI18" s="13" t="s">
        <v>53</v>
      </c>
      <c r="AJ18" s="12"/>
      <c r="AK18" s="12">
        <f t="shared" si="2"/>
        <v>74.256249999999994</v>
      </c>
      <c r="AL18" s="1"/>
      <c r="AM18" s="13" t="s">
        <v>53</v>
      </c>
      <c r="AN18" s="12">
        <v>3.5000000000000003E-2</v>
      </c>
      <c r="AO18" s="12">
        <f t="shared" si="3"/>
        <v>74.256249999999994</v>
      </c>
      <c r="AP18" s="1"/>
      <c r="AQ18" s="13" t="s">
        <v>14</v>
      </c>
      <c r="AR18" s="12">
        <v>0</v>
      </c>
      <c r="AS18" s="12">
        <f t="shared" si="8"/>
        <v>16.900000000000002</v>
      </c>
      <c r="AT18" s="12">
        <f t="shared" si="10"/>
        <v>902.77777777777783</v>
      </c>
      <c r="AU18" s="1"/>
      <c r="AV18" s="13" t="s">
        <v>14</v>
      </c>
      <c r="AW18" s="12">
        <v>0</v>
      </c>
      <c r="AX18" s="12">
        <f t="shared" si="9"/>
        <v>0.04</v>
      </c>
      <c r="AY18" s="12">
        <f t="shared" si="11"/>
        <v>0</v>
      </c>
      <c r="AZ18" s="1"/>
    </row>
    <row r="19" spans="12:52" x14ac:dyDescent="0.2">
      <c r="M19" s="20"/>
      <c r="N19" s="20"/>
      <c r="O19" s="19"/>
      <c r="P19" s="1"/>
      <c r="Q19" s="13" t="s">
        <v>40</v>
      </c>
      <c r="R19" s="13">
        <v>7.9</v>
      </c>
      <c r="S19" s="5">
        <f t="shared" si="4"/>
        <v>39.006250000000001</v>
      </c>
      <c r="T19" s="5">
        <v>2.5000000000000001E-2</v>
      </c>
      <c r="U19" s="5">
        <f t="shared" si="5"/>
        <v>1371527.7777777778</v>
      </c>
      <c r="V19" s="5"/>
      <c r="W19" s="5">
        <f t="shared" si="6"/>
        <v>1920138.8888888888</v>
      </c>
      <c r="X19" s="5"/>
      <c r="Y19" s="5">
        <f t="shared" si="7"/>
        <v>2743055.5555555555</v>
      </c>
      <c r="Z19" s="1"/>
      <c r="AA19" s="12">
        <v>14</v>
      </c>
      <c r="AB19" s="12"/>
      <c r="AC19" s="12">
        <f t="shared" si="0"/>
        <v>0</v>
      </c>
      <c r="AD19" s="1"/>
      <c r="AE19" s="12">
        <v>14</v>
      </c>
      <c r="AF19" s="12"/>
      <c r="AG19" s="12">
        <f t="shared" si="1"/>
        <v>0</v>
      </c>
      <c r="AH19" s="1"/>
      <c r="AI19" s="12">
        <v>14</v>
      </c>
      <c r="AJ19" s="12"/>
      <c r="AK19" s="12">
        <f t="shared" si="2"/>
        <v>0</v>
      </c>
      <c r="AL19" s="1"/>
      <c r="AM19" s="12">
        <v>14</v>
      </c>
      <c r="AN19" s="12"/>
      <c r="AO19" s="12">
        <f t="shared" si="3"/>
        <v>0</v>
      </c>
      <c r="AP19" s="1"/>
      <c r="AQ19" s="13" t="s">
        <v>20</v>
      </c>
      <c r="AR19" s="12">
        <v>0</v>
      </c>
      <c r="AS19" s="12">
        <f t="shared" si="8"/>
        <v>17.556249999999999</v>
      </c>
      <c r="AT19" s="12">
        <f t="shared" si="10"/>
        <v>920.13888888888891</v>
      </c>
      <c r="AU19" s="1"/>
      <c r="AV19" s="13" t="s">
        <v>20</v>
      </c>
      <c r="AW19" s="12">
        <v>0</v>
      </c>
      <c r="AX19" s="12">
        <f t="shared" si="9"/>
        <v>0.06</v>
      </c>
      <c r="AY19" s="12">
        <f t="shared" si="11"/>
        <v>0</v>
      </c>
      <c r="AZ19" s="1"/>
    </row>
    <row r="20" spans="12:52" x14ac:dyDescent="0.2">
      <c r="M20" s="20"/>
      <c r="N20" s="20"/>
      <c r="O20" s="19"/>
      <c r="P20" s="1"/>
      <c r="Q20" s="13" t="s">
        <v>42</v>
      </c>
      <c r="R20" s="13">
        <v>8.3000000000000007</v>
      </c>
      <c r="S20" s="5">
        <f t="shared" si="4"/>
        <v>43.056250000000006</v>
      </c>
      <c r="T20" s="5">
        <v>2.9000000000000001E-2</v>
      </c>
      <c r="U20" s="5">
        <f t="shared" si="5"/>
        <v>1440972.2222222225</v>
      </c>
      <c r="V20" s="5"/>
      <c r="W20" s="5">
        <f t="shared" si="6"/>
        <v>2017361.111111111</v>
      </c>
      <c r="X20" s="5"/>
      <c r="Y20" s="5">
        <f t="shared" si="7"/>
        <v>2881944.444444445</v>
      </c>
      <c r="Z20" s="1"/>
      <c r="AA20" s="12">
        <v>15</v>
      </c>
      <c r="AB20" s="12"/>
      <c r="AC20" s="12">
        <f t="shared" si="0"/>
        <v>0</v>
      </c>
      <c r="AD20" s="1"/>
      <c r="AE20" s="12">
        <v>15</v>
      </c>
      <c r="AF20" s="12"/>
      <c r="AG20" s="12">
        <f t="shared" si="1"/>
        <v>0</v>
      </c>
      <c r="AH20" s="1"/>
      <c r="AI20" s="12">
        <v>15</v>
      </c>
      <c r="AJ20" s="12"/>
      <c r="AK20" s="12">
        <f t="shared" si="2"/>
        <v>0</v>
      </c>
      <c r="AL20" s="1"/>
      <c r="AM20" s="12">
        <v>15</v>
      </c>
      <c r="AN20" s="12"/>
      <c r="AO20" s="12">
        <f t="shared" si="3"/>
        <v>0</v>
      </c>
      <c r="AP20" s="1"/>
      <c r="AQ20" s="13" t="s">
        <v>28</v>
      </c>
      <c r="AR20" s="12">
        <v>0</v>
      </c>
      <c r="AS20" s="12">
        <f t="shared" si="8"/>
        <v>23.256249999999994</v>
      </c>
      <c r="AT20" s="12">
        <f t="shared" si="10"/>
        <v>1059.0277777777778</v>
      </c>
      <c r="AU20" s="1"/>
      <c r="AV20" s="13" t="s">
        <v>28</v>
      </c>
      <c r="AW20" s="12">
        <v>1E-3</v>
      </c>
      <c r="AX20" s="12">
        <f t="shared" si="9"/>
        <v>0</v>
      </c>
      <c r="AY20" s="12">
        <f t="shared" si="11"/>
        <v>0</v>
      </c>
      <c r="AZ20" s="1"/>
    </row>
    <row r="21" spans="12:52" x14ac:dyDescent="0.2">
      <c r="M21" s="20"/>
      <c r="N21" s="20"/>
      <c r="O21" s="19"/>
      <c r="P21" s="1"/>
      <c r="Q21" s="13" t="s">
        <v>47</v>
      </c>
      <c r="R21" s="13">
        <v>9.8000000000000007</v>
      </c>
      <c r="S21" s="5">
        <f t="shared" si="4"/>
        <v>60.025000000000013</v>
      </c>
      <c r="T21" s="5">
        <v>3.4000000000000002E-2</v>
      </c>
      <c r="U21" s="5">
        <f t="shared" si="5"/>
        <v>1701388.888888889</v>
      </c>
      <c r="V21" s="5"/>
      <c r="W21" s="5">
        <f t="shared" si="6"/>
        <v>2381944.4444444445</v>
      </c>
      <c r="X21" s="5"/>
      <c r="Y21" s="5">
        <f t="shared" si="7"/>
        <v>3402777.777777778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3" t="s">
        <v>33</v>
      </c>
      <c r="AR21" s="12">
        <v>1E-3</v>
      </c>
      <c r="AS21" s="12">
        <f t="shared" si="8"/>
        <v>28.056249999999999</v>
      </c>
      <c r="AT21" s="12">
        <f t="shared" si="10"/>
        <v>1163.1944444444446</v>
      </c>
      <c r="AU21" s="1"/>
      <c r="AV21" s="13" t="s">
        <v>33</v>
      </c>
      <c r="AW21" s="12">
        <v>1E-3</v>
      </c>
      <c r="AX21" s="12">
        <f t="shared" si="9"/>
        <v>0</v>
      </c>
      <c r="AY21" s="12">
        <f t="shared" si="11"/>
        <v>0</v>
      </c>
      <c r="AZ21" s="1"/>
    </row>
    <row r="22" spans="12:52" x14ac:dyDescent="0.2">
      <c r="M22" s="20"/>
      <c r="N22" s="20"/>
      <c r="O22" s="19"/>
      <c r="P22" s="1"/>
      <c r="Q22" s="13" t="s">
        <v>51</v>
      </c>
      <c r="R22" s="13">
        <v>10.199999999999999</v>
      </c>
      <c r="S22" s="5">
        <f t="shared" si="4"/>
        <v>65.024999999999991</v>
      </c>
      <c r="T22" s="5">
        <v>3.5999999999999997E-2</v>
      </c>
      <c r="U22" s="5">
        <f t="shared" si="5"/>
        <v>1770833.333333333</v>
      </c>
      <c r="V22" s="5"/>
      <c r="W22" s="5">
        <f t="shared" si="6"/>
        <v>2479166.6666666665</v>
      </c>
      <c r="X22" s="5"/>
      <c r="Y22" s="5">
        <f t="shared" si="7"/>
        <v>3541666.666666666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3" t="s">
        <v>37</v>
      </c>
      <c r="AR22" s="12">
        <v>2E-3</v>
      </c>
      <c r="AS22" s="12">
        <f t="shared" si="8"/>
        <v>35.15625</v>
      </c>
      <c r="AT22" s="12">
        <f t="shared" si="10"/>
        <v>1302.0833333333333</v>
      </c>
      <c r="AU22" s="1"/>
      <c r="AV22" s="13" t="s">
        <v>37</v>
      </c>
      <c r="AW22" s="12">
        <v>2E-3</v>
      </c>
      <c r="AX22" s="12">
        <f t="shared" si="9"/>
        <v>0</v>
      </c>
      <c r="AY22" s="12">
        <f t="shared" si="11"/>
        <v>0</v>
      </c>
      <c r="AZ22" s="1"/>
    </row>
    <row r="23" spans="12:52" x14ac:dyDescent="0.2">
      <c r="M23" s="20"/>
      <c r="N23" s="20"/>
      <c r="O23" s="19"/>
      <c r="P23" s="1"/>
      <c r="Q23" s="13" t="s">
        <v>52</v>
      </c>
      <c r="R23" s="13">
        <v>10.5</v>
      </c>
      <c r="S23" s="5">
        <f t="shared" si="4"/>
        <v>68.90625</v>
      </c>
      <c r="T23" s="5">
        <v>3.9E-2</v>
      </c>
      <c r="U23" s="5">
        <f t="shared" si="5"/>
        <v>1822916.6666666665</v>
      </c>
      <c r="V23" s="5"/>
      <c r="W23" s="5">
        <f t="shared" si="6"/>
        <v>2552083.3333333335</v>
      </c>
      <c r="X23" s="5"/>
      <c r="Y23" s="5">
        <f t="shared" si="7"/>
        <v>3645833.333333333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3" t="s">
        <v>40</v>
      </c>
      <c r="AR23" s="12">
        <v>3.0000000000000001E-3</v>
      </c>
      <c r="AS23" s="12">
        <f t="shared" si="8"/>
        <v>39.006250000000001</v>
      </c>
      <c r="AT23" s="12">
        <f t="shared" si="10"/>
        <v>1371.5277777777778</v>
      </c>
      <c r="AU23" s="1"/>
      <c r="AV23" s="13" t="s">
        <v>40</v>
      </c>
      <c r="AW23" s="12">
        <v>3.0000000000000001E-3</v>
      </c>
      <c r="AX23" s="12">
        <f t="shared" si="9"/>
        <v>0</v>
      </c>
      <c r="AY23" s="12">
        <f t="shared" si="11"/>
        <v>0</v>
      </c>
      <c r="AZ23" s="1"/>
    </row>
    <row r="24" spans="12:52" ht="17" thickBot="1" x14ac:dyDescent="0.25">
      <c r="M24" s="20"/>
      <c r="N24" s="20"/>
      <c r="O24" s="19"/>
      <c r="P24" s="1"/>
      <c r="Q24" s="13" t="s">
        <v>53</v>
      </c>
      <c r="R24" s="13">
        <v>10.9</v>
      </c>
      <c r="S24" s="5">
        <f>(0.5*$N$6*R24^2)</f>
        <v>74.256249999999994</v>
      </c>
      <c r="T24" s="5"/>
      <c r="U24" s="5">
        <f t="shared" si="5"/>
        <v>1892361.111111111</v>
      </c>
      <c r="V24" s="5"/>
      <c r="W24" s="5">
        <f t="shared" si="6"/>
        <v>2649305.5555555555</v>
      </c>
      <c r="X24" s="5"/>
      <c r="Y24" s="5">
        <f t="shared" si="7"/>
        <v>3784722.222222222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3" t="s">
        <v>42</v>
      </c>
      <c r="AR24" s="12">
        <v>4.0000000000000001E-3</v>
      </c>
      <c r="AS24" s="12">
        <f t="shared" si="8"/>
        <v>43.056250000000006</v>
      </c>
      <c r="AT24" s="12">
        <f t="shared" si="10"/>
        <v>1440.9722222222224</v>
      </c>
      <c r="AU24" s="1"/>
      <c r="AV24" s="13" t="s">
        <v>42</v>
      </c>
      <c r="AW24" s="12">
        <v>5.0000000000000001E-3</v>
      </c>
      <c r="AX24" s="12">
        <f t="shared" si="9"/>
        <v>0</v>
      </c>
      <c r="AY24" s="12">
        <f t="shared" si="11"/>
        <v>0</v>
      </c>
      <c r="AZ24" s="1"/>
    </row>
    <row r="25" spans="12:52" x14ac:dyDescent="0.2">
      <c r="P25" s="1"/>
      <c r="Q25" s="5"/>
      <c r="R25" s="5"/>
      <c r="S25" s="5"/>
      <c r="T25" s="5"/>
      <c r="U25" s="5"/>
      <c r="V25" s="5"/>
      <c r="W25" s="5"/>
      <c r="X25" s="5"/>
      <c r="Y25" s="5"/>
      <c r="Z25" s="1"/>
      <c r="AA25" s="1"/>
      <c r="AB25" s="2" t="s">
        <v>57</v>
      </c>
      <c r="AC25" s="1"/>
      <c r="AD25" s="1"/>
      <c r="AE25" s="1"/>
      <c r="AF25" s="14" t="s">
        <v>58</v>
      </c>
      <c r="AG25" s="1"/>
      <c r="AH25" s="1"/>
      <c r="AI25" s="1"/>
      <c r="AJ25" s="14" t="s">
        <v>59</v>
      </c>
      <c r="AK25" s="1"/>
      <c r="AL25" s="1"/>
      <c r="AM25" s="1"/>
      <c r="AN25" s="14" t="s">
        <v>60</v>
      </c>
      <c r="AO25" s="1"/>
      <c r="AP25" s="1"/>
      <c r="AQ25" s="13" t="s">
        <v>47</v>
      </c>
      <c r="AR25" s="12">
        <v>5.0000000000000001E-3</v>
      </c>
      <c r="AS25" s="12">
        <f t="shared" si="8"/>
        <v>60.025000000000013</v>
      </c>
      <c r="AT25" s="12">
        <f t="shared" si="10"/>
        <v>1701.3888888888889</v>
      </c>
      <c r="AU25" s="1"/>
      <c r="AV25" s="13" t="s">
        <v>47</v>
      </c>
      <c r="AW25" s="12">
        <v>8.0000000000000002E-3</v>
      </c>
      <c r="AX25" s="12">
        <f t="shared" si="9"/>
        <v>0</v>
      </c>
      <c r="AY25" s="12">
        <f t="shared" si="11"/>
        <v>0</v>
      </c>
      <c r="AZ25" s="1"/>
    </row>
    <row r="26" spans="12:52" x14ac:dyDescent="0.2">
      <c r="P26" s="1"/>
      <c r="Q26" s="5"/>
      <c r="R26" s="5"/>
      <c r="S26" s="5"/>
      <c r="T26" s="5"/>
      <c r="U26" s="5"/>
      <c r="V26" s="5"/>
      <c r="W26" s="5"/>
      <c r="X26" s="5"/>
      <c r="Y26" s="5"/>
      <c r="Z26" s="1"/>
      <c r="AA26" s="12" t="s">
        <v>25</v>
      </c>
      <c r="AB26" s="15" t="s">
        <v>26</v>
      </c>
      <c r="AC26" s="12" t="s">
        <v>27</v>
      </c>
      <c r="AD26" s="1"/>
      <c r="AE26" s="12" t="s">
        <v>25</v>
      </c>
      <c r="AF26" s="12" t="s">
        <v>26</v>
      </c>
      <c r="AG26" s="12" t="s">
        <v>27</v>
      </c>
      <c r="AH26" s="1"/>
      <c r="AI26" s="12" t="s">
        <v>25</v>
      </c>
      <c r="AJ26" s="12" t="s">
        <v>26</v>
      </c>
      <c r="AK26" s="12" t="s">
        <v>27</v>
      </c>
      <c r="AL26" s="1"/>
      <c r="AM26" s="12" t="s">
        <v>25</v>
      </c>
      <c r="AN26" s="12" t="s">
        <v>26</v>
      </c>
      <c r="AO26" s="12" t="s">
        <v>27</v>
      </c>
      <c r="AP26" s="1"/>
      <c r="AQ26" s="13" t="s">
        <v>51</v>
      </c>
      <c r="AR26" s="12">
        <v>7.0000000000000001E-3</v>
      </c>
      <c r="AS26" s="12">
        <f t="shared" si="8"/>
        <v>65.024999999999991</v>
      </c>
      <c r="AT26" s="12">
        <f t="shared" si="10"/>
        <v>1770.8333333333333</v>
      </c>
      <c r="AU26" s="1"/>
      <c r="AV26" s="13" t="s">
        <v>51</v>
      </c>
      <c r="AW26" s="12">
        <v>0.01</v>
      </c>
      <c r="AX26" s="12">
        <f t="shared" si="9"/>
        <v>0</v>
      </c>
      <c r="AY26" s="12">
        <f t="shared" si="11"/>
        <v>0</v>
      </c>
      <c r="AZ26" s="1"/>
    </row>
    <row r="27" spans="12:52" x14ac:dyDescent="0.2"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3" t="s">
        <v>2</v>
      </c>
      <c r="AB27" s="12">
        <v>0</v>
      </c>
      <c r="AC27" s="12">
        <v>3.3062499999999995</v>
      </c>
      <c r="AD27" s="1"/>
      <c r="AE27" s="13" t="s">
        <v>2</v>
      </c>
      <c r="AF27" s="12">
        <v>0</v>
      </c>
      <c r="AG27" s="12">
        <f t="shared" ref="AG27:AG41" si="12">S12</f>
        <v>3.3062499999999995</v>
      </c>
      <c r="AH27" s="1"/>
      <c r="AI27" s="13" t="s">
        <v>2</v>
      </c>
      <c r="AJ27" s="12">
        <v>0</v>
      </c>
      <c r="AK27" s="12">
        <f t="shared" ref="AK27:AK41" si="13">S12</f>
        <v>3.3062499999999995</v>
      </c>
      <c r="AL27" s="1"/>
      <c r="AM27" s="13" t="s">
        <v>2</v>
      </c>
      <c r="AN27" s="12">
        <v>0</v>
      </c>
      <c r="AO27" s="12">
        <f t="shared" ref="AO27:AO41" si="14">S12</f>
        <v>3.3062499999999995</v>
      </c>
      <c r="AP27" s="1"/>
      <c r="AQ27" s="13" t="s">
        <v>52</v>
      </c>
      <c r="AR27" s="12">
        <v>8.9999999999999993E-3</v>
      </c>
      <c r="AS27" s="12">
        <f t="shared" si="8"/>
        <v>68.90625</v>
      </c>
      <c r="AT27" s="12">
        <f t="shared" si="10"/>
        <v>1822.9166666666667</v>
      </c>
      <c r="AU27" s="1"/>
      <c r="AV27" s="13" t="s">
        <v>52</v>
      </c>
      <c r="AW27" s="12">
        <v>1.2E-2</v>
      </c>
      <c r="AX27" s="12">
        <f t="shared" si="9"/>
        <v>0</v>
      </c>
      <c r="AY27" s="12">
        <f t="shared" si="11"/>
        <v>0</v>
      </c>
      <c r="AZ27" s="1"/>
    </row>
    <row r="28" spans="12:52" x14ac:dyDescent="0.2">
      <c r="O28" s="1" t="s">
        <v>61</v>
      </c>
      <c r="P28" s="1"/>
      <c r="Q28" s="1"/>
      <c r="R28" s="1"/>
      <c r="S28" s="1" t="s">
        <v>62</v>
      </c>
      <c r="T28" s="1"/>
      <c r="U28" s="1"/>
      <c r="V28" s="1"/>
      <c r="W28" s="1" t="s">
        <v>63</v>
      </c>
      <c r="X28" s="1"/>
      <c r="Y28" s="1"/>
      <c r="Z28" s="1"/>
      <c r="AA28" s="13" t="s">
        <v>3</v>
      </c>
      <c r="AB28" s="12">
        <v>0</v>
      </c>
      <c r="AC28" s="12">
        <v>10</v>
      </c>
      <c r="AD28" s="1"/>
      <c r="AE28" s="13" t="s">
        <v>3</v>
      </c>
      <c r="AF28" s="12">
        <v>0</v>
      </c>
      <c r="AG28" s="12">
        <f t="shared" si="12"/>
        <v>10</v>
      </c>
      <c r="AH28" s="1"/>
      <c r="AI28" s="13" t="s">
        <v>3</v>
      </c>
      <c r="AJ28" s="12">
        <v>0</v>
      </c>
      <c r="AK28" s="12">
        <f t="shared" si="13"/>
        <v>10</v>
      </c>
      <c r="AL28" s="1"/>
      <c r="AM28" s="13" t="s">
        <v>3</v>
      </c>
      <c r="AN28" s="12">
        <v>0</v>
      </c>
      <c r="AO28" s="12">
        <f t="shared" si="14"/>
        <v>10</v>
      </c>
      <c r="AP28" s="1"/>
      <c r="AQ28" s="13" t="s">
        <v>53</v>
      </c>
      <c r="AR28" s="12">
        <v>1.0999999999999999E-2</v>
      </c>
      <c r="AS28" s="12">
        <f t="shared" si="8"/>
        <v>74.256249999999994</v>
      </c>
      <c r="AT28" s="12">
        <f t="shared" si="10"/>
        <v>1892.3611111111113</v>
      </c>
      <c r="AU28" s="1"/>
      <c r="AV28" s="13" t="s">
        <v>53</v>
      </c>
      <c r="AW28" s="12">
        <v>1.4E-2</v>
      </c>
      <c r="AX28" s="12">
        <f t="shared" si="9"/>
        <v>0</v>
      </c>
      <c r="AY28" s="12">
        <f t="shared" si="11"/>
        <v>0</v>
      </c>
      <c r="AZ28" s="1"/>
    </row>
    <row r="29" spans="12:52" x14ac:dyDescent="0.2">
      <c r="N29" t="s">
        <v>64</v>
      </c>
      <c r="O29" s="2" t="s">
        <v>31</v>
      </c>
      <c r="P29" s="2" t="s">
        <v>26</v>
      </c>
      <c r="Q29" s="1"/>
      <c r="R29" s="1" t="s">
        <v>49</v>
      </c>
      <c r="S29" s="2" t="s">
        <v>31</v>
      </c>
      <c r="T29" s="2" t="s">
        <v>26</v>
      </c>
      <c r="U29" s="1"/>
      <c r="V29" s="1" t="s">
        <v>65</v>
      </c>
      <c r="W29" s="2" t="s">
        <v>31</v>
      </c>
      <c r="X29" s="2" t="s">
        <v>26</v>
      </c>
      <c r="Y29" s="1"/>
      <c r="Z29" s="1"/>
      <c r="AA29" s="13" t="s">
        <v>14</v>
      </c>
      <c r="AB29" s="12">
        <v>0</v>
      </c>
      <c r="AC29" s="12">
        <v>16.900000000000002</v>
      </c>
      <c r="AD29" s="1"/>
      <c r="AE29" s="13" t="s">
        <v>14</v>
      </c>
      <c r="AF29" s="12">
        <v>0</v>
      </c>
      <c r="AG29" s="12">
        <f t="shared" si="12"/>
        <v>16.900000000000002</v>
      </c>
      <c r="AH29" s="1"/>
      <c r="AI29" s="13" t="s">
        <v>14</v>
      </c>
      <c r="AJ29" s="12">
        <v>2E-3</v>
      </c>
      <c r="AK29" s="12">
        <f>S14</f>
        <v>16.900000000000002</v>
      </c>
      <c r="AL29" s="1"/>
      <c r="AM29" s="13" t="s">
        <v>14</v>
      </c>
      <c r="AN29" s="12">
        <v>0</v>
      </c>
      <c r="AO29" s="12">
        <f t="shared" si="14"/>
        <v>16.900000000000002</v>
      </c>
      <c r="AP29" s="1"/>
      <c r="AQ29" s="12">
        <v>14</v>
      </c>
      <c r="AR29" s="12"/>
      <c r="AS29" s="12">
        <f t="shared" si="8"/>
        <v>0</v>
      </c>
      <c r="AT29" s="12">
        <f t="shared" si="10"/>
        <v>0</v>
      </c>
      <c r="AU29" s="1"/>
      <c r="AV29" s="12">
        <v>14</v>
      </c>
      <c r="AW29" s="12"/>
      <c r="AX29" s="12">
        <f t="shared" si="9"/>
        <v>0</v>
      </c>
      <c r="AY29" s="12">
        <f t="shared" si="11"/>
        <v>0</v>
      </c>
      <c r="AZ29" s="1"/>
    </row>
    <row r="30" spans="12:52" x14ac:dyDescent="0.2">
      <c r="L30" s="1"/>
      <c r="N30" s="13">
        <v>2.2999999999999998</v>
      </c>
      <c r="O30" s="2">
        <f t="shared" ref="O30:O41" si="15">S12</f>
        <v>3.3062499999999995</v>
      </c>
      <c r="P30" s="2">
        <f t="shared" ref="P30:P41" si="16">T12</f>
        <v>0</v>
      </c>
      <c r="Q30" s="1"/>
      <c r="R30" s="13">
        <v>2.2999999999999998</v>
      </c>
      <c r="S30" s="2">
        <f t="shared" ref="S30:S41" si="17">S12</f>
        <v>3.3062499999999995</v>
      </c>
      <c r="T30" s="2">
        <f t="shared" ref="T30:T41" si="18">V12</f>
        <v>0</v>
      </c>
      <c r="U30" s="1"/>
      <c r="V30" s="13">
        <v>2.2999999999999998</v>
      </c>
      <c r="W30" s="2">
        <f t="shared" ref="W30:W41" si="19">S12</f>
        <v>3.3062499999999995</v>
      </c>
      <c r="X30" s="2">
        <f t="shared" ref="X30:X41" si="20">X12</f>
        <v>0</v>
      </c>
      <c r="Y30" s="1"/>
      <c r="Z30" s="1"/>
      <c r="AA30" s="13" t="s">
        <v>20</v>
      </c>
      <c r="AB30" s="12">
        <v>0</v>
      </c>
      <c r="AC30" s="12">
        <v>17.556249999999999</v>
      </c>
      <c r="AD30" s="1"/>
      <c r="AE30" s="13" t="s">
        <v>20</v>
      </c>
      <c r="AF30" s="12">
        <v>0</v>
      </c>
      <c r="AG30" s="12">
        <f t="shared" si="12"/>
        <v>17.556249999999999</v>
      </c>
      <c r="AH30" s="1"/>
      <c r="AI30" s="13" t="s">
        <v>20</v>
      </c>
      <c r="AJ30" s="12">
        <v>5.0000000000000001E-3</v>
      </c>
      <c r="AK30" s="12">
        <f t="shared" si="13"/>
        <v>17.556249999999999</v>
      </c>
      <c r="AL30" s="1"/>
      <c r="AM30" s="13" t="s">
        <v>20</v>
      </c>
      <c r="AN30" s="12">
        <v>0</v>
      </c>
      <c r="AO30" s="12">
        <f t="shared" si="14"/>
        <v>17.556249999999999</v>
      </c>
      <c r="AP30" s="1"/>
      <c r="AQ30" s="12">
        <v>15</v>
      </c>
      <c r="AR30" s="12"/>
      <c r="AS30" s="12">
        <f t="shared" si="8"/>
        <v>0</v>
      </c>
      <c r="AT30" s="12">
        <f t="shared" si="10"/>
        <v>0</v>
      </c>
      <c r="AU30" s="1"/>
      <c r="AV30" s="12">
        <v>15</v>
      </c>
      <c r="AW30" s="12"/>
      <c r="AX30" s="12">
        <f t="shared" si="9"/>
        <v>0</v>
      </c>
      <c r="AY30" s="12">
        <f t="shared" si="11"/>
        <v>0</v>
      </c>
      <c r="AZ30" s="1"/>
    </row>
    <row r="31" spans="12:52" x14ac:dyDescent="0.2">
      <c r="L31" s="1"/>
      <c r="N31" s="13">
        <v>4</v>
      </c>
      <c r="O31" s="2">
        <f t="shared" si="15"/>
        <v>10</v>
      </c>
      <c r="P31" s="2">
        <f t="shared" si="16"/>
        <v>0</v>
      </c>
      <c r="Q31" s="1"/>
      <c r="R31" s="13">
        <v>4</v>
      </c>
      <c r="S31" s="2">
        <f t="shared" si="17"/>
        <v>10</v>
      </c>
      <c r="T31" s="2">
        <f t="shared" si="18"/>
        <v>8.9999999999999993E-3</v>
      </c>
      <c r="U31" s="1"/>
      <c r="V31" s="13">
        <v>4</v>
      </c>
      <c r="W31" s="2">
        <f t="shared" si="19"/>
        <v>10</v>
      </c>
      <c r="X31" s="2">
        <f t="shared" si="20"/>
        <v>2.5999999999999999E-2</v>
      </c>
      <c r="Y31" s="1"/>
      <c r="Z31" s="1"/>
      <c r="AA31" s="13" t="s">
        <v>28</v>
      </c>
      <c r="AB31" s="12">
        <v>0</v>
      </c>
      <c r="AC31" s="12">
        <v>23.256249999999994</v>
      </c>
      <c r="AD31" s="1"/>
      <c r="AE31" s="13" t="s">
        <v>28</v>
      </c>
      <c r="AF31" s="12">
        <v>0</v>
      </c>
      <c r="AG31" s="12">
        <f t="shared" si="12"/>
        <v>23.256249999999994</v>
      </c>
      <c r="AH31" s="1"/>
      <c r="AI31" s="13" t="s">
        <v>28</v>
      </c>
      <c r="AJ31" s="12">
        <v>8.0000000000000002E-3</v>
      </c>
      <c r="AK31" s="12">
        <f t="shared" si="13"/>
        <v>23.256249999999994</v>
      </c>
      <c r="AL31" s="1"/>
      <c r="AM31" s="13" t="s">
        <v>28</v>
      </c>
      <c r="AN31" s="12">
        <v>0</v>
      </c>
      <c r="AO31" s="12">
        <f t="shared" si="14"/>
        <v>23.256249999999994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2:52" x14ac:dyDescent="0.2">
      <c r="L32" s="1"/>
      <c r="N32" s="13">
        <v>5.2</v>
      </c>
      <c r="O32" s="2">
        <f t="shared" si="15"/>
        <v>16.900000000000002</v>
      </c>
      <c r="P32" s="2">
        <f t="shared" si="16"/>
        <v>1E-3</v>
      </c>
      <c r="Q32" s="1"/>
      <c r="R32" s="13">
        <v>5.2</v>
      </c>
      <c r="S32" s="2">
        <f t="shared" si="17"/>
        <v>16.900000000000002</v>
      </c>
      <c r="T32" s="2">
        <f t="shared" si="18"/>
        <v>1.7000000000000001E-2</v>
      </c>
      <c r="U32" s="1"/>
      <c r="V32" s="13">
        <v>5.2</v>
      </c>
      <c r="W32" s="2">
        <f t="shared" si="19"/>
        <v>16.900000000000002</v>
      </c>
      <c r="X32" s="2">
        <f>X14</f>
        <v>0.04</v>
      </c>
      <c r="Y32" s="1"/>
      <c r="Z32" s="1"/>
      <c r="AA32" s="13" t="s">
        <v>33</v>
      </c>
      <c r="AB32" s="12">
        <v>0</v>
      </c>
      <c r="AC32" s="12">
        <v>28.056249999999999</v>
      </c>
      <c r="AD32" s="1"/>
      <c r="AE32" s="13" t="s">
        <v>33</v>
      </c>
      <c r="AF32" s="12">
        <v>0</v>
      </c>
      <c r="AG32" s="12">
        <f t="shared" si="12"/>
        <v>28.056249999999999</v>
      </c>
      <c r="AH32" s="1"/>
      <c r="AI32" s="13" t="s">
        <v>33</v>
      </c>
      <c r="AJ32" s="12">
        <v>0.01</v>
      </c>
      <c r="AK32" s="12">
        <f t="shared" si="13"/>
        <v>28.056249999999999</v>
      </c>
      <c r="AL32" s="1"/>
      <c r="AM32" s="13" t="s">
        <v>33</v>
      </c>
      <c r="AN32" s="12">
        <v>0</v>
      </c>
      <c r="AO32" s="12">
        <f t="shared" si="14"/>
        <v>28.056249999999999</v>
      </c>
      <c r="AP32" s="1"/>
    </row>
    <row r="33" spans="12:44" x14ac:dyDescent="0.2">
      <c r="L33" s="1"/>
      <c r="N33" s="13">
        <v>5.3</v>
      </c>
      <c r="O33" s="2">
        <f t="shared" si="15"/>
        <v>17.556249999999999</v>
      </c>
      <c r="P33" s="2">
        <f t="shared" si="16"/>
        <v>6.0000000000000001E-3</v>
      </c>
      <c r="Q33" s="1"/>
      <c r="R33" s="13">
        <v>5.3</v>
      </c>
      <c r="S33" s="2">
        <f t="shared" si="17"/>
        <v>17.556249999999999</v>
      </c>
      <c r="T33" s="2">
        <f t="shared" si="18"/>
        <v>2.5999999999999999E-2</v>
      </c>
      <c r="U33" s="1"/>
      <c r="V33" s="13">
        <v>5.3</v>
      </c>
      <c r="W33" s="2">
        <f t="shared" si="19"/>
        <v>17.556249999999999</v>
      </c>
      <c r="X33" s="2">
        <f t="shared" si="20"/>
        <v>0.06</v>
      </c>
      <c r="Y33" s="1"/>
      <c r="Z33" s="1"/>
      <c r="AA33" s="13" t="s">
        <v>37</v>
      </c>
      <c r="AB33" s="12">
        <v>0</v>
      </c>
      <c r="AC33" s="12">
        <v>35.15625</v>
      </c>
      <c r="AD33" s="1"/>
      <c r="AE33" s="13" t="s">
        <v>37</v>
      </c>
      <c r="AF33" s="12">
        <v>1E-3</v>
      </c>
      <c r="AG33" s="12">
        <f t="shared" si="12"/>
        <v>35.15625</v>
      </c>
      <c r="AH33" s="1"/>
      <c r="AI33" s="13" t="s">
        <v>37</v>
      </c>
      <c r="AJ33" s="12">
        <v>1.6E-2</v>
      </c>
      <c r="AK33" s="12">
        <f t="shared" si="13"/>
        <v>35.15625</v>
      </c>
      <c r="AL33" s="1"/>
      <c r="AM33" s="13" t="s">
        <v>37</v>
      </c>
      <c r="AN33" s="12">
        <v>1E-3</v>
      </c>
      <c r="AO33" s="12">
        <f t="shared" si="14"/>
        <v>35.15625</v>
      </c>
      <c r="AP33" s="1"/>
    </row>
    <row r="34" spans="12:44" x14ac:dyDescent="0.2">
      <c r="L34" s="1"/>
      <c r="N34" s="13">
        <v>6.1</v>
      </c>
      <c r="O34" s="2">
        <f t="shared" si="15"/>
        <v>23.256249999999994</v>
      </c>
      <c r="P34" s="2">
        <f t="shared" si="16"/>
        <v>0.01</v>
      </c>
      <c r="Q34" s="1"/>
      <c r="R34" s="13">
        <v>6.1</v>
      </c>
      <c r="S34" s="2">
        <f t="shared" si="17"/>
        <v>23.256249999999994</v>
      </c>
      <c r="T34" s="2">
        <f t="shared" si="18"/>
        <v>3.4000000000000002E-2</v>
      </c>
      <c r="U34" s="1"/>
      <c r="V34" s="13">
        <v>6.1</v>
      </c>
      <c r="W34" s="2">
        <f t="shared" si="19"/>
        <v>23.256249999999994</v>
      </c>
      <c r="X34" s="2">
        <f t="shared" si="20"/>
        <v>0</v>
      </c>
      <c r="Y34" s="1"/>
      <c r="Z34" s="1"/>
      <c r="AA34" s="13" t="s">
        <v>40</v>
      </c>
      <c r="AB34" s="12">
        <v>1E-3</v>
      </c>
      <c r="AC34" s="12">
        <v>39.006250000000001</v>
      </c>
      <c r="AD34" s="1"/>
      <c r="AE34" s="13" t="s">
        <v>40</v>
      </c>
      <c r="AF34" s="12">
        <v>2E-3</v>
      </c>
      <c r="AG34" s="12">
        <f t="shared" si="12"/>
        <v>39.006250000000001</v>
      </c>
      <c r="AH34" s="1"/>
      <c r="AI34" s="13" t="s">
        <v>40</v>
      </c>
      <c r="AJ34" s="12">
        <v>0.02</v>
      </c>
      <c r="AK34" s="12">
        <f t="shared" si="13"/>
        <v>39.006250000000001</v>
      </c>
      <c r="AL34" s="1"/>
      <c r="AM34" s="13" t="s">
        <v>40</v>
      </c>
      <c r="AN34" s="12">
        <v>2E-3</v>
      </c>
      <c r="AO34" s="12">
        <f t="shared" si="14"/>
        <v>39.006250000000001</v>
      </c>
      <c r="AP34" s="1"/>
    </row>
    <row r="35" spans="12:44" x14ac:dyDescent="0.2">
      <c r="L35" s="1"/>
      <c r="N35" s="13">
        <v>6.7</v>
      </c>
      <c r="O35" s="2">
        <f t="shared" si="15"/>
        <v>28.056249999999999</v>
      </c>
      <c r="P35" s="2">
        <f t="shared" si="16"/>
        <v>1.4999999999999999E-2</v>
      </c>
      <c r="Q35" s="1"/>
      <c r="R35" s="13">
        <v>6.7</v>
      </c>
      <c r="S35" s="2">
        <f t="shared" si="17"/>
        <v>28.056249999999999</v>
      </c>
      <c r="T35" s="2">
        <f t="shared" si="18"/>
        <v>4.2999999999999997E-2</v>
      </c>
      <c r="U35" s="1"/>
      <c r="V35" s="13">
        <v>6.7</v>
      </c>
      <c r="W35" s="2">
        <f t="shared" si="19"/>
        <v>28.056249999999999</v>
      </c>
      <c r="X35" s="2">
        <f t="shared" si="20"/>
        <v>0</v>
      </c>
      <c r="Y35" s="1"/>
      <c r="Z35" s="1"/>
      <c r="AA35" s="13" t="s">
        <v>42</v>
      </c>
      <c r="AB35" s="12">
        <v>1E-3</v>
      </c>
      <c r="AC35" s="12">
        <v>43.056250000000006</v>
      </c>
      <c r="AD35" s="1"/>
      <c r="AE35" s="13" t="s">
        <v>42</v>
      </c>
      <c r="AF35" s="12">
        <v>3.0000000000000001E-3</v>
      </c>
      <c r="AG35" s="12">
        <f t="shared" si="12"/>
        <v>43.056250000000006</v>
      </c>
      <c r="AH35" s="1"/>
      <c r="AI35" s="13" t="s">
        <v>42</v>
      </c>
      <c r="AJ35" s="12">
        <v>2.5999999999999999E-2</v>
      </c>
      <c r="AK35" s="12">
        <f t="shared" si="13"/>
        <v>43.056250000000006</v>
      </c>
      <c r="AL35" s="1"/>
      <c r="AM35" s="13" t="s">
        <v>42</v>
      </c>
      <c r="AN35" s="12">
        <v>4.0000000000000001E-3</v>
      </c>
      <c r="AO35" s="12">
        <f t="shared" si="14"/>
        <v>43.056250000000006</v>
      </c>
      <c r="AP35" s="1"/>
    </row>
    <row r="36" spans="12:44" x14ac:dyDescent="0.2">
      <c r="L36" s="1"/>
      <c r="N36" s="13">
        <v>7.5</v>
      </c>
      <c r="O36" s="2">
        <f t="shared" si="15"/>
        <v>35.15625</v>
      </c>
      <c r="P36" s="2">
        <f t="shared" si="16"/>
        <v>0.02</v>
      </c>
      <c r="Q36" s="1"/>
      <c r="R36" s="13">
        <v>7.5</v>
      </c>
      <c r="S36" s="2">
        <f t="shared" si="17"/>
        <v>35.15625</v>
      </c>
      <c r="T36" s="2">
        <f t="shared" si="18"/>
        <v>5.6000000000000001E-2</v>
      </c>
      <c r="U36" s="1"/>
      <c r="V36" s="13">
        <v>7.5</v>
      </c>
      <c r="W36" s="2">
        <f t="shared" si="19"/>
        <v>35.15625</v>
      </c>
      <c r="X36" s="2">
        <f t="shared" si="20"/>
        <v>0</v>
      </c>
      <c r="Y36" s="1"/>
      <c r="Z36" s="1"/>
      <c r="AA36" s="13" t="s">
        <v>47</v>
      </c>
      <c r="AB36" s="12">
        <v>2E-3</v>
      </c>
      <c r="AC36" s="12">
        <v>60.025000000000013</v>
      </c>
      <c r="AD36" s="1"/>
      <c r="AE36" s="13" t="s">
        <v>47</v>
      </c>
      <c r="AF36" s="12">
        <v>4.0000000000000001E-3</v>
      </c>
      <c r="AG36" s="12">
        <f t="shared" si="12"/>
        <v>60.025000000000013</v>
      </c>
      <c r="AH36" s="1"/>
      <c r="AI36" s="13" t="s">
        <v>47</v>
      </c>
      <c r="AJ36" s="12">
        <v>3.1E-2</v>
      </c>
      <c r="AK36" s="12">
        <f t="shared" si="13"/>
        <v>60.025000000000013</v>
      </c>
      <c r="AL36" s="1"/>
      <c r="AM36" s="13" t="s">
        <v>47</v>
      </c>
      <c r="AN36" s="12">
        <v>7.0000000000000001E-3</v>
      </c>
      <c r="AO36" s="12">
        <f t="shared" si="14"/>
        <v>60.025000000000013</v>
      </c>
      <c r="AP36" s="1"/>
    </row>
    <row r="37" spans="12:44" x14ac:dyDescent="0.2">
      <c r="L37" s="1"/>
      <c r="N37" s="13">
        <v>7.9</v>
      </c>
      <c r="O37" s="2">
        <f t="shared" si="15"/>
        <v>39.006250000000001</v>
      </c>
      <c r="P37" s="2">
        <f t="shared" si="16"/>
        <v>2.5000000000000001E-2</v>
      </c>
      <c r="Q37" s="1"/>
      <c r="R37" s="13">
        <v>7.9</v>
      </c>
      <c r="S37" s="2">
        <f t="shared" si="17"/>
        <v>39.006250000000001</v>
      </c>
      <c r="T37" s="2">
        <f t="shared" si="18"/>
        <v>0</v>
      </c>
      <c r="U37" s="1"/>
      <c r="V37" s="13">
        <v>7.9</v>
      </c>
      <c r="W37" s="2">
        <f t="shared" si="19"/>
        <v>39.006250000000001</v>
      </c>
      <c r="X37" s="2">
        <f t="shared" si="20"/>
        <v>0</v>
      </c>
      <c r="Y37" s="1"/>
      <c r="Z37" s="1"/>
      <c r="AA37" s="13" t="s">
        <v>51</v>
      </c>
      <c r="AB37" s="12">
        <v>3.0000000000000001E-3</v>
      </c>
      <c r="AC37" s="12">
        <v>65.024999999999991</v>
      </c>
      <c r="AD37" s="1"/>
      <c r="AE37" s="13" t="s">
        <v>51</v>
      </c>
      <c r="AF37" s="12">
        <v>6.0000000000000001E-3</v>
      </c>
      <c r="AG37" s="12">
        <f t="shared" si="12"/>
        <v>65.024999999999991</v>
      </c>
      <c r="AH37" s="1"/>
      <c r="AI37" s="13" t="s">
        <v>51</v>
      </c>
      <c r="AJ37" s="12">
        <v>3.5000000000000003E-2</v>
      </c>
      <c r="AK37" s="12">
        <f t="shared" si="13"/>
        <v>65.024999999999991</v>
      </c>
      <c r="AL37" s="1"/>
      <c r="AM37" s="13" t="s">
        <v>51</v>
      </c>
      <c r="AN37" s="12">
        <v>8.9999999999999993E-3</v>
      </c>
      <c r="AO37" s="12">
        <f t="shared" si="14"/>
        <v>65.024999999999991</v>
      </c>
      <c r="AP37" s="1"/>
    </row>
    <row r="38" spans="12:44" x14ac:dyDescent="0.2">
      <c r="L38" s="1"/>
      <c r="N38" s="13">
        <v>8.3000000000000007</v>
      </c>
      <c r="O38" s="2">
        <f t="shared" si="15"/>
        <v>43.056250000000006</v>
      </c>
      <c r="P38" s="2">
        <f t="shared" si="16"/>
        <v>2.9000000000000001E-2</v>
      </c>
      <c r="R38" s="13">
        <v>8.3000000000000007</v>
      </c>
      <c r="S38" s="2">
        <f t="shared" si="17"/>
        <v>43.056250000000006</v>
      </c>
      <c r="T38" s="2">
        <f t="shared" si="18"/>
        <v>0</v>
      </c>
      <c r="V38" s="13">
        <v>8.3000000000000007</v>
      </c>
      <c r="W38" s="2">
        <f t="shared" si="19"/>
        <v>43.056250000000006</v>
      </c>
      <c r="X38" s="2">
        <f t="shared" si="20"/>
        <v>0</v>
      </c>
      <c r="Z38" s="1"/>
      <c r="AA38" s="13" t="s">
        <v>52</v>
      </c>
      <c r="AB38" s="12">
        <v>5.0000000000000001E-3</v>
      </c>
      <c r="AC38" s="12">
        <v>68.90625</v>
      </c>
      <c r="AD38" s="1"/>
      <c r="AE38" s="13" t="s">
        <v>52</v>
      </c>
      <c r="AF38" s="12">
        <v>8.0000000000000002E-3</v>
      </c>
      <c r="AG38" s="12">
        <f t="shared" si="12"/>
        <v>68.90625</v>
      </c>
      <c r="AH38" s="1"/>
      <c r="AI38" s="13" t="s">
        <v>52</v>
      </c>
      <c r="AJ38" s="12">
        <v>4.1000000000000002E-2</v>
      </c>
      <c r="AK38" s="12">
        <f t="shared" si="13"/>
        <v>68.90625</v>
      </c>
      <c r="AL38" s="1"/>
      <c r="AM38" s="13" t="s">
        <v>52</v>
      </c>
      <c r="AN38" s="12">
        <v>1.0999999999999999E-2</v>
      </c>
      <c r="AO38" s="12">
        <f t="shared" si="14"/>
        <v>68.90625</v>
      </c>
      <c r="AP38" s="1"/>
    </row>
    <row r="39" spans="12:44" x14ac:dyDescent="0.2">
      <c r="L39" s="1"/>
      <c r="N39" s="13">
        <v>9.8000000000000007</v>
      </c>
      <c r="O39" s="2">
        <f t="shared" si="15"/>
        <v>60.025000000000013</v>
      </c>
      <c r="P39" s="2">
        <f t="shared" si="16"/>
        <v>3.4000000000000002E-2</v>
      </c>
      <c r="R39" s="13">
        <v>9.8000000000000007</v>
      </c>
      <c r="S39" s="2">
        <f t="shared" si="17"/>
        <v>60.025000000000013</v>
      </c>
      <c r="T39" s="2">
        <f t="shared" si="18"/>
        <v>0</v>
      </c>
      <c r="V39" s="13">
        <v>9.8000000000000007</v>
      </c>
      <c r="W39" s="2">
        <f t="shared" si="19"/>
        <v>60.025000000000013</v>
      </c>
      <c r="X39" s="2">
        <f t="shared" si="20"/>
        <v>0</v>
      </c>
      <c r="Z39" s="1"/>
      <c r="AA39" s="13" t="s">
        <v>53</v>
      </c>
      <c r="AB39" s="12">
        <v>7.0000000000000001E-3</v>
      </c>
      <c r="AC39" s="12">
        <v>74.256249999999994</v>
      </c>
      <c r="AD39" s="1"/>
      <c r="AE39" s="13" t="s">
        <v>53</v>
      </c>
      <c r="AF39" s="12">
        <v>0.01</v>
      </c>
      <c r="AG39" s="12">
        <f t="shared" si="12"/>
        <v>74.256249999999994</v>
      </c>
      <c r="AH39" s="1"/>
      <c r="AI39" s="13" t="s">
        <v>53</v>
      </c>
      <c r="AJ39" s="12"/>
      <c r="AK39" s="12">
        <f t="shared" si="13"/>
        <v>74.256249999999994</v>
      </c>
      <c r="AL39" s="1"/>
      <c r="AM39" s="13" t="s">
        <v>53</v>
      </c>
      <c r="AN39" s="12">
        <v>1.2E-2</v>
      </c>
      <c r="AO39" s="12">
        <f t="shared" si="14"/>
        <v>74.256249999999994</v>
      </c>
      <c r="AP39" s="1"/>
    </row>
    <row r="40" spans="12:44" x14ac:dyDescent="0.2">
      <c r="L40" s="1"/>
      <c r="N40" s="13">
        <v>10.199999999999999</v>
      </c>
      <c r="O40" s="2">
        <f t="shared" si="15"/>
        <v>65.024999999999991</v>
      </c>
      <c r="P40" s="2">
        <f t="shared" si="16"/>
        <v>3.5999999999999997E-2</v>
      </c>
      <c r="R40" s="13">
        <v>10.199999999999999</v>
      </c>
      <c r="S40" s="2">
        <f t="shared" si="17"/>
        <v>65.024999999999991</v>
      </c>
      <c r="T40" s="2">
        <f t="shared" si="18"/>
        <v>0</v>
      </c>
      <c r="V40" s="13">
        <v>10.199999999999999</v>
      </c>
      <c r="W40" s="2">
        <f t="shared" si="19"/>
        <v>65.024999999999991</v>
      </c>
      <c r="X40" s="2">
        <f t="shared" si="20"/>
        <v>0</v>
      </c>
      <c r="Z40" s="1"/>
      <c r="AA40" s="12">
        <v>14</v>
      </c>
      <c r="AB40" s="12"/>
      <c r="AC40" s="12">
        <f t="shared" ref="AC40:AC41" si="21">S47</f>
        <v>0</v>
      </c>
      <c r="AD40" s="1"/>
      <c r="AE40" s="12">
        <v>14</v>
      </c>
      <c r="AF40" s="12"/>
      <c r="AG40" s="12">
        <f t="shared" si="12"/>
        <v>0</v>
      </c>
      <c r="AH40" s="1"/>
      <c r="AI40" s="12">
        <v>14</v>
      </c>
      <c r="AJ40" s="12"/>
      <c r="AK40" s="12">
        <f t="shared" si="13"/>
        <v>0</v>
      </c>
      <c r="AL40" s="1"/>
      <c r="AM40" s="12">
        <v>14</v>
      </c>
      <c r="AN40" s="12"/>
      <c r="AO40" s="12">
        <f t="shared" si="14"/>
        <v>0</v>
      </c>
      <c r="AP40" s="1"/>
    </row>
    <row r="41" spans="12:44" x14ac:dyDescent="0.2">
      <c r="L41" s="1"/>
      <c r="N41" s="13">
        <v>10.5</v>
      </c>
      <c r="O41" s="2">
        <f t="shared" si="15"/>
        <v>68.90625</v>
      </c>
      <c r="P41" s="2">
        <f t="shared" si="16"/>
        <v>3.9E-2</v>
      </c>
      <c r="R41" s="13">
        <v>10.5</v>
      </c>
      <c r="S41" s="2">
        <f t="shared" si="17"/>
        <v>68.90625</v>
      </c>
      <c r="T41" s="2">
        <f t="shared" si="18"/>
        <v>0</v>
      </c>
      <c r="V41" s="13">
        <v>10.5</v>
      </c>
      <c r="W41" s="2">
        <f t="shared" si="19"/>
        <v>68.90625</v>
      </c>
      <c r="X41" s="2">
        <f t="shared" si="20"/>
        <v>0</v>
      </c>
      <c r="Y41" t="s">
        <v>66</v>
      </c>
      <c r="Z41" s="1"/>
      <c r="AA41" s="12">
        <v>15</v>
      </c>
      <c r="AB41" s="12"/>
      <c r="AC41" s="12">
        <f t="shared" si="21"/>
        <v>0</v>
      </c>
      <c r="AD41" s="1"/>
      <c r="AE41" s="12">
        <v>15</v>
      </c>
      <c r="AF41" s="12"/>
      <c r="AG41" s="12">
        <f t="shared" si="12"/>
        <v>0</v>
      </c>
      <c r="AH41" s="1"/>
      <c r="AI41" s="12">
        <v>15</v>
      </c>
      <c r="AJ41" s="12"/>
      <c r="AK41" s="12">
        <f t="shared" si="13"/>
        <v>0</v>
      </c>
      <c r="AL41" s="1"/>
      <c r="AM41" s="12">
        <v>15</v>
      </c>
      <c r="AN41" s="12"/>
      <c r="AO41" s="12">
        <f t="shared" si="14"/>
        <v>0</v>
      </c>
      <c r="AP41" s="1"/>
    </row>
    <row r="42" spans="12:44" x14ac:dyDescent="0.2">
      <c r="N42" s="13">
        <v>10.9</v>
      </c>
      <c r="R42" s="13">
        <v>10.9</v>
      </c>
      <c r="V42" s="13">
        <v>10.9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2:44" ht="17" thickBot="1" x14ac:dyDescent="0.25">
      <c r="Z43" s="1"/>
      <c r="AA43" s="1"/>
      <c r="AB43" s="9" t="s">
        <v>6</v>
      </c>
      <c r="AC43" s="9" t="s">
        <v>7</v>
      </c>
      <c r="AD43" s="9" t="s">
        <v>8</v>
      </c>
      <c r="AE43" s="9" t="s">
        <v>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2:44" x14ac:dyDescent="0.2">
      <c r="M44" s="1"/>
      <c r="N44" s="1"/>
      <c r="O44" s="1"/>
      <c r="Z44" s="1"/>
      <c r="AA44" s="1"/>
      <c r="AB44" s="9" t="s">
        <v>67</v>
      </c>
      <c r="AC44" s="9">
        <v>2.5000000000000001E-2</v>
      </c>
      <c r="AD44" s="9">
        <v>3.5000000000000003E-2</v>
      </c>
      <c r="AE44" s="9">
        <v>0.05</v>
      </c>
      <c r="AF44" s="1"/>
      <c r="AG44" s="1"/>
      <c r="AH44" s="1"/>
      <c r="AI44" s="1"/>
      <c r="AJ44" s="1"/>
      <c r="AK44" s="1"/>
      <c r="AL44" s="1"/>
      <c r="AM44" s="1"/>
      <c r="AN44" s="14" t="s">
        <v>68</v>
      </c>
      <c r="AO44" s="1"/>
      <c r="AP44" s="1"/>
    </row>
    <row r="45" spans="12:44" x14ac:dyDescent="0.2">
      <c r="M45" s="1"/>
      <c r="N45" s="1"/>
      <c r="O45" s="1"/>
      <c r="Q45" s="1"/>
      <c r="R45" s="1"/>
      <c r="S45" s="1"/>
      <c r="Z45" s="1"/>
      <c r="AA45" s="1"/>
      <c r="AB45" s="9" t="s">
        <v>69</v>
      </c>
      <c r="AC45" s="10">
        <f>(3.14159*(AC44/2)^2)</f>
        <v>4.9087343750000006E-4</v>
      </c>
      <c r="AD45" s="9">
        <f>(3.14159*(AD44/2)^2)</f>
        <v>9.6211193750000013E-4</v>
      </c>
      <c r="AE45" s="9">
        <f>(3.14159*(AE44/2)^2)</f>
        <v>1.9634937500000002E-3</v>
      </c>
      <c r="AF45" s="1"/>
      <c r="AG45" s="1"/>
      <c r="AH45" s="1"/>
      <c r="AI45" s="1"/>
      <c r="AJ45" s="1"/>
      <c r="AK45" s="1"/>
      <c r="AL45" s="1"/>
      <c r="AM45" s="12" t="s">
        <v>25</v>
      </c>
      <c r="AN45" s="12" t="s">
        <v>26</v>
      </c>
      <c r="AO45" s="12" t="s">
        <v>27</v>
      </c>
      <c r="AP45" s="1"/>
      <c r="AQ45" s="1"/>
      <c r="AR45" s="1"/>
    </row>
    <row r="46" spans="12:44" x14ac:dyDescent="0.2">
      <c r="M46" s="1"/>
      <c r="N46" s="1"/>
      <c r="O46" s="1"/>
      <c r="Q46" s="1"/>
      <c r="R46" s="1"/>
      <c r="S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3" t="s">
        <v>2</v>
      </c>
      <c r="AN46" s="12">
        <v>0</v>
      </c>
      <c r="AO46" s="12">
        <v>3.3062499999999995</v>
      </c>
      <c r="AP46" s="1"/>
      <c r="AQ46" s="1"/>
      <c r="AR46" s="1"/>
    </row>
    <row r="47" spans="12:44" x14ac:dyDescent="0.2">
      <c r="M47" s="1"/>
      <c r="N47" s="1"/>
      <c r="O47" s="1"/>
      <c r="Q47" s="1"/>
      <c r="R47" s="1"/>
      <c r="S47" s="1"/>
      <c r="AA47" s="1"/>
      <c r="AB47" s="22" t="s">
        <v>70</v>
      </c>
      <c r="AC47" s="22" t="s">
        <v>71</v>
      </c>
      <c r="AD47" s="22" t="s">
        <v>72</v>
      </c>
      <c r="AE47" s="22" t="s">
        <v>73</v>
      </c>
      <c r="AF47" s="22" t="s">
        <v>67</v>
      </c>
      <c r="AH47" s="1" t="s">
        <v>67</v>
      </c>
      <c r="AI47" s="1" t="s">
        <v>74</v>
      </c>
      <c r="AJ47" s="1"/>
      <c r="AK47" s="1"/>
      <c r="AL47" s="1"/>
      <c r="AM47" s="13" t="s">
        <v>3</v>
      </c>
      <c r="AN47" s="12">
        <v>0</v>
      </c>
      <c r="AO47" s="12">
        <v>10</v>
      </c>
      <c r="AP47" s="1"/>
      <c r="AQ47" s="1"/>
      <c r="AR47" s="1"/>
    </row>
    <row r="48" spans="12:44" x14ac:dyDescent="0.2">
      <c r="M48" s="1"/>
      <c r="N48" s="1"/>
      <c r="O48" s="1"/>
      <c r="Q48" s="1"/>
      <c r="R48" s="1"/>
      <c r="S48" s="1"/>
      <c r="AA48" s="1"/>
      <c r="AB48" s="22"/>
      <c r="AC48" s="23">
        <f>3.14159*$W$4*J60/2</f>
        <v>1.9634937499999999E-6</v>
      </c>
      <c r="AD48" s="23">
        <f>3.14159*$W$4*K60/2</f>
        <v>2.7488912500000003E-6</v>
      </c>
      <c r="AE48" s="23">
        <f>3.14159*$W$4*L60/2</f>
        <v>3.9269874999999998E-6</v>
      </c>
      <c r="AF48" s="22">
        <v>5.0000000000000002E-5</v>
      </c>
      <c r="AH48" s="1">
        <v>2.5000000000000001E-2</v>
      </c>
      <c r="AI48" s="1">
        <v>4.9087343750000006E-4</v>
      </c>
      <c r="AJ48" s="1"/>
      <c r="AK48" s="1"/>
      <c r="AL48" s="1"/>
      <c r="AM48" s="13" t="s">
        <v>14</v>
      </c>
      <c r="AN48" s="12">
        <v>0</v>
      </c>
      <c r="AO48" s="12">
        <v>16.900000000000002</v>
      </c>
      <c r="AP48" s="1"/>
      <c r="AQ48" s="1"/>
      <c r="AR48" s="1"/>
    </row>
    <row r="49" spans="9:44" x14ac:dyDescent="0.2">
      <c r="M49" s="1"/>
      <c r="N49" s="1"/>
      <c r="O49" s="1"/>
      <c r="Q49" s="1"/>
      <c r="R49" s="1"/>
      <c r="S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3" t="s">
        <v>20</v>
      </c>
      <c r="AN49" s="12">
        <v>0</v>
      </c>
      <c r="AO49" s="12">
        <v>17.556249999999999</v>
      </c>
      <c r="AP49" s="1"/>
      <c r="AQ49" s="1"/>
      <c r="AR49" s="1"/>
    </row>
    <row r="50" spans="9:44" x14ac:dyDescent="0.2">
      <c r="M50" s="1"/>
      <c r="N50" s="1"/>
      <c r="O50" s="1"/>
      <c r="Q50" s="1"/>
      <c r="R50" s="1"/>
      <c r="S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3" t="s">
        <v>28</v>
      </c>
      <c r="AN50" s="12">
        <v>0</v>
      </c>
      <c r="AO50" s="12">
        <v>23.256249999999994</v>
      </c>
      <c r="AP50" s="1"/>
      <c r="AQ50" s="1"/>
      <c r="AR50" s="1"/>
    </row>
    <row r="51" spans="9:44" x14ac:dyDescent="0.2"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A51" s="1"/>
      <c r="AB51" s="1" t="s">
        <v>75</v>
      </c>
      <c r="AC51" s="1"/>
      <c r="AD51" s="1"/>
      <c r="AE51" s="1"/>
      <c r="AF51" s="1"/>
      <c r="AG51" s="1"/>
      <c r="AJ51" s="1"/>
      <c r="AK51" s="1"/>
      <c r="AL51" s="1"/>
      <c r="AM51" s="13" t="s">
        <v>33</v>
      </c>
      <c r="AN51" s="12">
        <v>1E-3</v>
      </c>
      <c r="AO51" s="12">
        <v>28.056249999999999</v>
      </c>
      <c r="AP51" s="1"/>
      <c r="AQ51" s="1"/>
      <c r="AR51" s="1"/>
    </row>
    <row r="52" spans="9:44" x14ac:dyDescent="0.2"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A52" s="1"/>
      <c r="AB52" s="2" t="s">
        <v>76</v>
      </c>
      <c r="AC52" s="2" t="s">
        <v>77</v>
      </c>
      <c r="AD52" s="2" t="s">
        <v>78</v>
      </c>
      <c r="AE52" s="1"/>
      <c r="AF52" s="1"/>
      <c r="AG52" s="1"/>
      <c r="AJ52" s="1" t="s">
        <v>79</v>
      </c>
      <c r="AK52" s="1" t="s">
        <v>80</v>
      </c>
      <c r="AL52" s="1"/>
      <c r="AM52" s="13" t="s">
        <v>37</v>
      </c>
      <c r="AN52" s="12">
        <v>1E-3</v>
      </c>
      <c r="AO52" s="12">
        <v>35.15625</v>
      </c>
      <c r="AP52" s="1"/>
      <c r="AQ52" s="1"/>
      <c r="AR52" s="1"/>
    </row>
    <row r="53" spans="9:44" x14ac:dyDescent="0.2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A53" s="1" t="s">
        <v>28</v>
      </c>
      <c r="AB53" s="2">
        <v>6.1</v>
      </c>
      <c r="AC53" s="2">
        <f t="shared" ref="AC53:AC61" si="22">AB10</f>
        <v>1E-3</v>
      </c>
      <c r="AD53" s="2">
        <v>23.256249999999994</v>
      </c>
      <c r="AE53" s="1"/>
      <c r="AF53" s="1"/>
      <c r="AG53" s="1"/>
      <c r="AJ53" s="1" t="s">
        <v>2</v>
      </c>
      <c r="AK53" s="1">
        <f t="shared" ref="AK53:AK65" si="23">$N$6*Z87*0.2</f>
        <v>0.57500000000000007</v>
      </c>
      <c r="AL53" s="1"/>
      <c r="AM53" s="13" t="s">
        <v>40</v>
      </c>
      <c r="AN53" s="12">
        <v>2E-3</v>
      </c>
      <c r="AO53" s="12">
        <v>39.006250000000001</v>
      </c>
      <c r="AP53" s="1"/>
      <c r="AQ53" s="1"/>
      <c r="AR53" s="1"/>
    </row>
    <row r="54" spans="9:44" x14ac:dyDescent="0.2"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A54" s="1" t="s">
        <v>33</v>
      </c>
      <c r="AB54" s="2">
        <v>6.7</v>
      </c>
      <c r="AC54" s="2">
        <f t="shared" si="22"/>
        <v>3.0000000000000001E-3</v>
      </c>
      <c r="AD54" s="2">
        <v>28.056249999999999</v>
      </c>
      <c r="AE54" s="1"/>
      <c r="AF54" s="1"/>
      <c r="AG54" s="1"/>
      <c r="AJ54" s="1" t="s">
        <v>3</v>
      </c>
      <c r="AK54" s="1">
        <f t="shared" si="23"/>
        <v>1</v>
      </c>
      <c r="AL54" s="1"/>
      <c r="AM54" s="13" t="s">
        <v>42</v>
      </c>
      <c r="AN54" s="12">
        <v>4.0000000000000001E-3</v>
      </c>
      <c r="AO54" s="12">
        <v>43.056250000000006</v>
      </c>
      <c r="AP54" s="1"/>
      <c r="AQ54" s="1"/>
      <c r="AR54" s="1"/>
    </row>
    <row r="55" spans="9:44" x14ac:dyDescent="0.2"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A55" s="1" t="s">
        <v>37</v>
      </c>
      <c r="AB55" s="2">
        <v>7.5</v>
      </c>
      <c r="AC55" s="2">
        <f t="shared" si="22"/>
        <v>4.0000000000000001E-3</v>
      </c>
      <c r="AD55" s="2">
        <v>35.15625</v>
      </c>
      <c r="AE55" s="1"/>
      <c r="AF55" s="1"/>
      <c r="AG55" s="1"/>
      <c r="AJ55" s="1" t="s">
        <v>14</v>
      </c>
      <c r="AK55" s="1">
        <f t="shared" si="23"/>
        <v>1.3</v>
      </c>
      <c r="AL55" s="1"/>
      <c r="AM55" s="13" t="s">
        <v>47</v>
      </c>
      <c r="AN55" s="12">
        <v>6.0000000000000001E-3</v>
      </c>
      <c r="AO55" s="12">
        <v>60.025000000000013</v>
      </c>
      <c r="AP55" s="1"/>
      <c r="AQ55" s="1"/>
      <c r="AR55" s="1"/>
    </row>
    <row r="56" spans="9:44" x14ac:dyDescent="0.2"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A56" s="1" t="s">
        <v>40</v>
      </c>
      <c r="AB56" s="2">
        <v>7.9</v>
      </c>
      <c r="AC56" s="2">
        <f t="shared" si="22"/>
        <v>7.0000000000000001E-3</v>
      </c>
      <c r="AD56" s="2">
        <v>39.006250000000001</v>
      </c>
      <c r="AE56" s="1"/>
      <c r="AF56" s="1"/>
      <c r="AG56" s="1" t="s">
        <v>81</v>
      </c>
      <c r="AJ56" s="1" t="s">
        <v>20</v>
      </c>
      <c r="AK56" s="1">
        <f t="shared" si="23"/>
        <v>1.3250000000000002</v>
      </c>
      <c r="AL56" s="1"/>
      <c r="AM56" s="13" t="s">
        <v>51</v>
      </c>
      <c r="AN56" s="12">
        <v>8.0000000000000002E-3</v>
      </c>
      <c r="AO56" s="12">
        <v>65.024999999999991</v>
      </c>
      <c r="AP56" s="1"/>
      <c r="AQ56" s="1"/>
      <c r="AR56" s="1"/>
    </row>
    <row r="57" spans="9:44" x14ac:dyDescent="0.2"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A57" s="1" t="s">
        <v>42</v>
      </c>
      <c r="AB57" s="2">
        <v>8.3000000000000007</v>
      </c>
      <c r="AC57" s="2">
        <f t="shared" si="22"/>
        <v>8.9999999999999993E-3</v>
      </c>
      <c r="AD57" s="2">
        <v>43.056250000000006</v>
      </c>
      <c r="AE57" s="1"/>
      <c r="AF57" s="1"/>
      <c r="AG57" s="1"/>
      <c r="AJ57" s="1" t="s">
        <v>28</v>
      </c>
      <c r="AK57" s="1">
        <f t="shared" si="23"/>
        <v>1.5250000000000001</v>
      </c>
      <c r="AL57" s="1"/>
      <c r="AM57" s="13" t="s">
        <v>52</v>
      </c>
      <c r="AN57" s="12">
        <v>1.0999999999999999E-2</v>
      </c>
      <c r="AO57" s="12">
        <v>68.90625</v>
      </c>
      <c r="AP57" s="1"/>
      <c r="AQ57" s="1"/>
      <c r="AR57" s="1"/>
    </row>
    <row r="58" spans="9:44" x14ac:dyDescent="0.2"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AA58" s="1" t="s">
        <v>47</v>
      </c>
      <c r="AB58" s="2">
        <v>9.8000000000000007</v>
      </c>
      <c r="AC58" s="2">
        <f t="shared" si="22"/>
        <v>1.2E-2</v>
      </c>
      <c r="AD58" s="2">
        <v>60.025000000000013</v>
      </c>
      <c r="AE58" s="1"/>
      <c r="AF58" s="1"/>
      <c r="AG58" s="1" t="s">
        <v>82</v>
      </c>
      <c r="AJ58" s="1" t="s">
        <v>33</v>
      </c>
      <c r="AK58" s="1">
        <f t="shared" si="23"/>
        <v>1.675</v>
      </c>
      <c r="AL58" s="1"/>
      <c r="AM58" s="13" t="s">
        <v>53</v>
      </c>
      <c r="AN58" s="12">
        <v>1.2999999999999999E-2</v>
      </c>
      <c r="AO58" s="12">
        <v>74.256249999999994</v>
      </c>
      <c r="AP58" s="1"/>
      <c r="AQ58" s="1"/>
      <c r="AR58" s="1"/>
    </row>
    <row r="59" spans="9:44" x14ac:dyDescent="0.2">
      <c r="I59" s="9" t="s">
        <v>6</v>
      </c>
      <c r="J59" s="9" t="s">
        <v>7</v>
      </c>
      <c r="K59" s="9" t="s">
        <v>8</v>
      </c>
      <c r="L59" s="9" t="s">
        <v>9</v>
      </c>
      <c r="M59" s="1"/>
      <c r="N59" s="1"/>
      <c r="O59" s="1"/>
      <c r="P59" s="1"/>
      <c r="Q59" s="1"/>
      <c r="R59" s="1"/>
      <c r="V59" s="1"/>
      <c r="W59" s="1"/>
      <c r="X59" s="1"/>
      <c r="Y59" s="1"/>
      <c r="AA59" s="1" t="s">
        <v>51</v>
      </c>
      <c r="AB59" s="2">
        <v>10.199999999999999</v>
      </c>
      <c r="AC59" s="2">
        <f t="shared" si="22"/>
        <v>1.4999999999999999E-2</v>
      </c>
      <c r="AD59" s="2">
        <v>65.024999999999991</v>
      </c>
      <c r="AE59" s="1"/>
      <c r="AF59" s="1"/>
      <c r="AG59" s="1"/>
      <c r="AJ59" s="1" t="s">
        <v>37</v>
      </c>
      <c r="AK59" s="1">
        <f t="shared" si="23"/>
        <v>1.875</v>
      </c>
      <c r="AL59" s="1"/>
      <c r="AM59" s="12">
        <v>14</v>
      </c>
      <c r="AN59" s="12"/>
      <c r="AO59" s="12">
        <v>0</v>
      </c>
      <c r="AP59" s="1"/>
      <c r="AQ59" s="1"/>
      <c r="AR59" s="1"/>
    </row>
    <row r="60" spans="9:44" x14ac:dyDescent="0.2">
      <c r="I60" s="9" t="s">
        <v>67</v>
      </c>
      <c r="J60" s="9">
        <v>2.5000000000000001E-2</v>
      </c>
      <c r="K60" s="9">
        <v>3.5000000000000003E-2</v>
      </c>
      <c r="L60" s="9">
        <v>0.05</v>
      </c>
      <c r="M60" s="1"/>
      <c r="N60" s="1"/>
      <c r="O60" s="1"/>
      <c r="P60" s="1"/>
      <c r="Q60" s="1"/>
      <c r="R60" s="1"/>
      <c r="V60" s="1"/>
      <c r="W60" s="1"/>
      <c r="X60" s="1"/>
      <c r="Y60" s="1"/>
      <c r="AA60" s="1" t="s">
        <v>52</v>
      </c>
      <c r="AB60" s="2">
        <v>10.5</v>
      </c>
      <c r="AC60" s="2">
        <f t="shared" si="22"/>
        <v>1.7999999999999999E-2</v>
      </c>
      <c r="AD60" s="2">
        <v>68.90625</v>
      </c>
      <c r="AE60" s="1"/>
      <c r="AF60" s="1"/>
      <c r="AG60" s="1" t="s">
        <v>83</v>
      </c>
      <c r="AJ60" s="1" t="s">
        <v>40</v>
      </c>
      <c r="AK60" s="1">
        <f t="shared" si="23"/>
        <v>1.9750000000000001</v>
      </c>
      <c r="AL60" s="1"/>
      <c r="AM60" s="12">
        <v>15</v>
      </c>
      <c r="AN60" s="12"/>
      <c r="AO60" s="12">
        <v>0</v>
      </c>
      <c r="AP60" s="1"/>
      <c r="AQ60" s="1"/>
      <c r="AR60" s="1"/>
    </row>
    <row r="61" spans="9:44" x14ac:dyDescent="0.2">
      <c r="I61" s="9" t="s">
        <v>69</v>
      </c>
      <c r="J61" s="10">
        <f>(3.14159*(J60/2)^2)</f>
        <v>4.9087343750000006E-4</v>
      </c>
      <c r="K61" s="9">
        <f>(3.14159*(K60/2)^2)</f>
        <v>9.6211193750000013E-4</v>
      </c>
      <c r="L61" s="9">
        <f>(3.14159*(L60/2)^2)</f>
        <v>1.9634937500000002E-3</v>
      </c>
      <c r="M61" s="1"/>
      <c r="N61" s="18" t="s">
        <v>84</v>
      </c>
      <c r="O61" s="1"/>
      <c r="P61" s="1"/>
      <c r="Q61" s="1"/>
      <c r="R61" s="1"/>
      <c r="S61" s="18" t="s">
        <v>85</v>
      </c>
      <c r="T61" s="1"/>
      <c r="U61" s="1"/>
      <c r="V61" s="1"/>
      <c r="W61" s="18" t="s">
        <v>86</v>
      </c>
      <c r="X61" s="1"/>
      <c r="Y61" s="1"/>
      <c r="AA61" s="1" t="s">
        <v>53</v>
      </c>
      <c r="AB61" s="2">
        <v>10.9</v>
      </c>
      <c r="AC61" s="2">
        <f t="shared" si="22"/>
        <v>0.02</v>
      </c>
      <c r="AD61" s="2">
        <v>74.256249999999994</v>
      </c>
      <c r="AE61" s="1"/>
      <c r="AF61" s="1"/>
      <c r="AG61" s="1"/>
      <c r="AJ61" s="1" t="s">
        <v>42</v>
      </c>
      <c r="AK61" s="1">
        <f t="shared" si="23"/>
        <v>2.0750000000000002</v>
      </c>
      <c r="AL61" s="1"/>
      <c r="AM61" s="1"/>
      <c r="AN61" s="1"/>
      <c r="AO61" s="1"/>
      <c r="AP61" s="1"/>
      <c r="AQ61" s="1"/>
      <c r="AR61" s="1"/>
    </row>
    <row r="62" spans="9:44" x14ac:dyDescent="0.2">
      <c r="L62" s="1"/>
      <c r="M62" s="1"/>
      <c r="N62" s="18" t="s">
        <v>87</v>
      </c>
      <c r="O62" s="18" t="s">
        <v>88</v>
      </c>
      <c r="P62" s="18" t="s">
        <v>89</v>
      </c>
      <c r="Q62" s="18" t="s">
        <v>90</v>
      </c>
      <c r="R62" s="1"/>
      <c r="S62" s="18" t="s">
        <v>87</v>
      </c>
      <c r="T62" s="18" t="s">
        <v>88</v>
      </c>
      <c r="U62" s="18" t="s">
        <v>89</v>
      </c>
      <c r="V62" s="1"/>
      <c r="W62" s="18" t="s">
        <v>87</v>
      </c>
      <c r="X62" s="18" t="s">
        <v>88</v>
      </c>
      <c r="Y62" s="18" t="s">
        <v>89</v>
      </c>
      <c r="AA62" s="1"/>
      <c r="AB62" s="1"/>
      <c r="AC62" s="1"/>
      <c r="AD62" s="1"/>
      <c r="AE62" s="1"/>
      <c r="AF62" s="1"/>
      <c r="AG62" s="1"/>
      <c r="AH62" s="1"/>
      <c r="AI62" s="1"/>
      <c r="AJ62" s="1" t="s">
        <v>47</v>
      </c>
      <c r="AK62" s="1">
        <f t="shared" si="23"/>
        <v>2.4500000000000002</v>
      </c>
      <c r="AL62" s="1"/>
      <c r="AM62" s="1"/>
      <c r="AN62" s="1"/>
      <c r="AO62" s="1"/>
      <c r="AP62" s="1"/>
      <c r="AQ62" s="1"/>
      <c r="AR62" s="1"/>
    </row>
    <row r="63" spans="9:44" x14ac:dyDescent="0.2">
      <c r="L63" s="1"/>
      <c r="M63" s="1"/>
      <c r="N63" s="1">
        <v>0</v>
      </c>
      <c r="O63" s="1">
        <v>0</v>
      </c>
      <c r="P63" s="1">
        <v>4.9087343750000006E-4</v>
      </c>
      <c r="Q63" s="1">
        <v>2.5000000000000001E-2</v>
      </c>
      <c r="R63" s="1"/>
      <c r="S63" s="1">
        <v>1E-3</v>
      </c>
      <c r="T63" s="1">
        <f>P32/O32</f>
        <v>5.9171597633136087E-5</v>
      </c>
      <c r="U63" s="1">
        <v>4.9087343750000006E-4</v>
      </c>
      <c r="V63" s="1"/>
      <c r="W63" s="1">
        <v>6.0000000000000001E-3</v>
      </c>
      <c r="X63" s="1">
        <f>P33/O33</f>
        <v>3.4175863296546818E-4</v>
      </c>
      <c r="Y63" s="1">
        <v>4.9087343750000006E-4</v>
      </c>
      <c r="AA63" s="1"/>
      <c r="AB63" s="1"/>
      <c r="AC63" s="1"/>
      <c r="AD63" s="1"/>
      <c r="AE63" s="1"/>
      <c r="AF63" s="1"/>
      <c r="AG63" s="1"/>
      <c r="AH63" s="1"/>
      <c r="AI63" s="1"/>
      <c r="AJ63" s="1" t="s">
        <v>51</v>
      </c>
      <c r="AK63" s="1">
        <f t="shared" si="23"/>
        <v>2.5500000000000003</v>
      </c>
      <c r="AL63" s="1"/>
      <c r="AM63" s="1"/>
      <c r="AN63" s="1"/>
      <c r="AO63" s="1"/>
      <c r="AP63" s="1"/>
      <c r="AQ63" s="1"/>
      <c r="AR63" s="1"/>
    </row>
    <row r="64" spans="9:44" x14ac:dyDescent="0.2">
      <c r="I64" s="7" t="s">
        <v>48</v>
      </c>
      <c r="J64" s="7" t="s">
        <v>49</v>
      </c>
      <c r="K64" s="7" t="s">
        <v>31</v>
      </c>
      <c r="L64" s="1" t="s">
        <v>91</v>
      </c>
      <c r="M64" s="1"/>
      <c r="N64">
        <v>8.9999999999999993E-3</v>
      </c>
      <c r="O64" s="1">
        <f>T31/S31</f>
        <v>8.9999999999999998E-4</v>
      </c>
      <c r="P64" s="1">
        <v>9.6211193750000013E-4</v>
      </c>
      <c r="Q64" s="1">
        <v>3.5000000000000003E-2</v>
      </c>
      <c r="R64" s="1"/>
      <c r="S64" s="1">
        <v>1.7000000000000001E-2</v>
      </c>
      <c r="T64" s="1">
        <f>T32/S32</f>
        <v>1.0059171597633135E-3</v>
      </c>
      <c r="U64" s="1">
        <v>9.6211193750000013E-4</v>
      </c>
      <c r="V64" s="1"/>
      <c r="W64" s="1">
        <v>2.5999999999999999E-2</v>
      </c>
      <c r="X64" s="1">
        <f>T33/S33</f>
        <v>1.4809540761836952E-3</v>
      </c>
      <c r="Y64" s="1">
        <v>9.6211193750000013E-4</v>
      </c>
      <c r="AA64" s="1"/>
      <c r="AB64" s="1" t="s">
        <v>92</v>
      </c>
      <c r="AC64" s="1"/>
      <c r="AD64" s="1"/>
      <c r="AE64" s="1"/>
      <c r="AF64" s="1"/>
      <c r="AG64" s="1" t="s">
        <v>93</v>
      </c>
      <c r="AH64" s="1"/>
      <c r="AI64" s="1"/>
      <c r="AJ64" s="1" t="s">
        <v>52</v>
      </c>
      <c r="AK64" s="1">
        <f t="shared" si="23"/>
        <v>2.625</v>
      </c>
      <c r="AL64" s="1"/>
      <c r="AM64" s="1"/>
      <c r="AN64" s="1"/>
      <c r="AO64" s="1"/>
      <c r="AP64" s="1"/>
      <c r="AQ64" s="1"/>
      <c r="AR64" s="1"/>
    </row>
    <row r="65" spans="9:45" x14ac:dyDescent="0.2">
      <c r="I65" s="13" t="s">
        <v>2</v>
      </c>
      <c r="J65" s="13">
        <v>2.2999999999999998</v>
      </c>
      <c r="K65" s="5">
        <f t="shared" ref="K65:K76" si="24">(0.5*$N$6*J65^2)</f>
        <v>3.3062499999999995</v>
      </c>
      <c r="L65" s="1">
        <f>$N$6*J65*$X$4</f>
        <v>0.57500000000000007</v>
      </c>
      <c r="M65" s="1"/>
      <c r="N65" s="1">
        <v>2.5999999999999999E-2</v>
      </c>
      <c r="O65" s="1">
        <f>X31/W31</f>
        <v>2.5999999999999999E-3</v>
      </c>
      <c r="P65" s="1">
        <v>1.9634937500000002E-3</v>
      </c>
      <c r="Q65" s="1">
        <v>0.05</v>
      </c>
      <c r="R65" s="1"/>
      <c r="S65" s="1">
        <v>0.04</v>
      </c>
      <c r="T65" s="1">
        <f>X32/W32</f>
        <v>2.3668639053254434E-3</v>
      </c>
      <c r="U65" s="1">
        <v>1.9634937500000002E-3</v>
      </c>
      <c r="V65" s="1"/>
      <c r="W65" s="1">
        <v>0.06</v>
      </c>
      <c r="X65" s="1">
        <f>X33/W33</f>
        <v>3.4175863296546814E-3</v>
      </c>
      <c r="Y65" s="1">
        <v>1.9634937500000002E-3</v>
      </c>
      <c r="AA65" s="1"/>
      <c r="AB65" s="2" t="s">
        <v>76</v>
      </c>
      <c r="AC65" s="2" t="s">
        <v>77</v>
      </c>
      <c r="AD65" s="2" t="s">
        <v>78</v>
      </c>
      <c r="AE65" s="1"/>
      <c r="AF65" s="1"/>
      <c r="AG65" s="2" t="s">
        <v>76</v>
      </c>
      <c r="AH65" s="2" t="s">
        <v>77</v>
      </c>
      <c r="AI65" s="2" t="s">
        <v>78</v>
      </c>
      <c r="AJ65" s="1" t="s">
        <v>53</v>
      </c>
      <c r="AK65" s="1">
        <f t="shared" si="23"/>
        <v>2.7250000000000001</v>
      </c>
      <c r="AL65" s="1"/>
      <c r="AM65" s="1"/>
      <c r="AN65" s="1"/>
      <c r="AO65" s="1"/>
      <c r="AP65" s="1"/>
      <c r="AQ65" s="1"/>
      <c r="AR65" s="1"/>
    </row>
    <row r="66" spans="9:45" x14ac:dyDescent="0.2">
      <c r="I66" s="13" t="s">
        <v>3</v>
      </c>
      <c r="J66" s="13">
        <v>4</v>
      </c>
      <c r="K66" s="5">
        <f t="shared" si="24"/>
        <v>10</v>
      </c>
      <c r="L66" s="1">
        <f t="shared" ref="L66:L77" si="25">$N$6*J66*$X$4</f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A66" s="1" t="s">
        <v>14</v>
      </c>
      <c r="AB66" s="2">
        <v>5.2</v>
      </c>
      <c r="AC66" s="2">
        <f t="shared" ref="AC66:AC75" si="26">AF8</f>
        <v>3.0000000000000001E-3</v>
      </c>
      <c r="AD66" s="2">
        <v>16.900000000000002</v>
      </c>
      <c r="AE66" s="1"/>
      <c r="AF66" s="1" t="s">
        <v>33</v>
      </c>
      <c r="AG66" s="2">
        <v>6.7</v>
      </c>
      <c r="AH66" s="2">
        <f t="shared" ref="AH66:AH72" si="27">AJ11</f>
        <v>1E-3</v>
      </c>
      <c r="AI66" s="2">
        <v>28.056249999999999</v>
      </c>
      <c r="AJ66" s="1"/>
      <c r="AK66" s="1"/>
      <c r="AL66" s="1"/>
      <c r="AM66" s="1"/>
      <c r="AN66" s="1"/>
      <c r="AO66" s="1"/>
      <c r="AP66" s="1"/>
      <c r="AQ66" s="1"/>
      <c r="AR66" s="1"/>
    </row>
    <row r="67" spans="9:45" x14ac:dyDescent="0.2">
      <c r="I67" s="13" t="s">
        <v>14</v>
      </c>
      <c r="J67" s="13">
        <v>5.2</v>
      </c>
      <c r="K67" s="5">
        <f t="shared" si="24"/>
        <v>16.900000000000002</v>
      </c>
      <c r="L67" s="1">
        <f t="shared" si="25"/>
        <v>1.3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AA67" s="1" t="s">
        <v>20</v>
      </c>
      <c r="AB67" s="2">
        <v>5.3</v>
      </c>
      <c r="AC67" s="2">
        <f t="shared" si="26"/>
        <v>7.0000000000000001E-3</v>
      </c>
      <c r="AD67" s="2">
        <v>17.556249999999999</v>
      </c>
      <c r="AE67" s="1"/>
      <c r="AF67" s="1" t="s">
        <v>37</v>
      </c>
      <c r="AG67" s="2">
        <v>7.5</v>
      </c>
      <c r="AH67" s="2">
        <f t="shared" si="27"/>
        <v>3.0000000000000001E-3</v>
      </c>
      <c r="AI67" s="2">
        <v>35.15625</v>
      </c>
      <c r="AJ67" s="1"/>
      <c r="AK67" s="1"/>
      <c r="AL67" s="1"/>
      <c r="AM67" s="1"/>
      <c r="AN67" s="1"/>
      <c r="AO67" s="1"/>
      <c r="AP67" s="1"/>
      <c r="AQ67" s="1"/>
      <c r="AR67" s="1"/>
    </row>
    <row r="68" spans="9:45" x14ac:dyDescent="0.2">
      <c r="I68" s="13" t="s">
        <v>20</v>
      </c>
      <c r="J68" s="13">
        <v>5.3</v>
      </c>
      <c r="K68" s="5">
        <f t="shared" si="24"/>
        <v>17.556249999999999</v>
      </c>
      <c r="L68" s="1">
        <f t="shared" si="25"/>
        <v>1.3250000000000002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AA68" s="1" t="s">
        <v>28</v>
      </c>
      <c r="AB68" s="2">
        <v>6.1</v>
      </c>
      <c r="AC68" s="2">
        <f t="shared" si="26"/>
        <v>0.01</v>
      </c>
      <c r="AD68" s="2">
        <v>23.256249999999994</v>
      </c>
      <c r="AE68" s="1"/>
      <c r="AF68" s="1" t="s">
        <v>40</v>
      </c>
      <c r="AG68" s="2">
        <v>7.9</v>
      </c>
      <c r="AH68" s="2">
        <f t="shared" si="27"/>
        <v>5.0000000000000001E-3</v>
      </c>
      <c r="AI68" s="2">
        <v>39.006250000000001</v>
      </c>
      <c r="AJ68" s="1"/>
      <c r="AK68" s="1"/>
      <c r="AL68" s="1"/>
      <c r="AM68" s="1"/>
      <c r="AN68" s="1"/>
      <c r="AO68" s="1"/>
      <c r="AP68" s="1"/>
      <c r="AQ68" s="1"/>
      <c r="AR68" s="1"/>
    </row>
    <row r="69" spans="9:45" x14ac:dyDescent="0.2">
      <c r="I69" s="13" t="s">
        <v>28</v>
      </c>
      <c r="J69" s="13">
        <v>6.1</v>
      </c>
      <c r="K69" s="5">
        <f t="shared" si="24"/>
        <v>23.256249999999994</v>
      </c>
      <c r="L69" s="1">
        <f t="shared" si="25"/>
        <v>1.5250000000000001</v>
      </c>
      <c r="M69" s="1"/>
      <c r="R69" s="1"/>
      <c r="S69" s="1"/>
      <c r="T69" s="1"/>
      <c r="U69" s="1"/>
      <c r="V69" s="1"/>
      <c r="W69" s="1"/>
      <c r="X69" s="1"/>
      <c r="AA69" s="1" t="s">
        <v>33</v>
      </c>
      <c r="AB69" s="2">
        <v>6.7</v>
      </c>
      <c r="AC69" s="2">
        <f t="shared" si="26"/>
        <v>1.4999999999999999E-2</v>
      </c>
      <c r="AD69" s="2">
        <v>28.056249999999999</v>
      </c>
      <c r="AE69" s="1"/>
      <c r="AF69" s="1" t="s">
        <v>42</v>
      </c>
      <c r="AG69" s="2">
        <v>8.3000000000000007</v>
      </c>
      <c r="AH69" s="2">
        <f t="shared" si="27"/>
        <v>7.0000000000000001E-3</v>
      </c>
      <c r="AI69" s="2">
        <v>43.056250000000006</v>
      </c>
      <c r="AJ69" s="1"/>
      <c r="AK69" s="1"/>
      <c r="AL69" s="1"/>
      <c r="AM69" s="1"/>
      <c r="AN69" s="1"/>
      <c r="AO69" s="1"/>
      <c r="AP69" s="1"/>
      <c r="AQ69" s="1"/>
      <c r="AR69" s="1"/>
    </row>
    <row r="70" spans="9:45" x14ac:dyDescent="0.2">
      <c r="I70" s="13" t="s">
        <v>33</v>
      </c>
      <c r="J70" s="13">
        <v>6.7</v>
      </c>
      <c r="K70" s="5">
        <f t="shared" si="24"/>
        <v>28.056249999999999</v>
      </c>
      <c r="L70" s="1">
        <f t="shared" si="25"/>
        <v>1.675</v>
      </c>
      <c r="M70" s="1"/>
      <c r="R70" s="1"/>
      <c r="S70" s="1"/>
      <c r="T70" s="1"/>
      <c r="U70" s="1"/>
      <c r="V70" s="1"/>
      <c r="W70" s="1"/>
      <c r="X70" s="1"/>
      <c r="AA70" s="1" t="s">
        <v>37</v>
      </c>
      <c r="AB70" s="2">
        <v>7.5</v>
      </c>
      <c r="AC70" s="2">
        <f t="shared" si="26"/>
        <v>2.1000000000000001E-2</v>
      </c>
      <c r="AD70" s="2">
        <v>35.15625</v>
      </c>
      <c r="AE70" s="1"/>
      <c r="AF70" s="1" t="s">
        <v>47</v>
      </c>
      <c r="AG70" s="2">
        <v>9.8000000000000007</v>
      </c>
      <c r="AH70" s="2">
        <f t="shared" si="27"/>
        <v>0.01</v>
      </c>
      <c r="AI70" s="2">
        <v>60.025000000000013</v>
      </c>
      <c r="AJ70" s="1"/>
      <c r="AK70" s="1"/>
      <c r="AL70" s="1"/>
      <c r="AM70" s="1"/>
      <c r="AN70" s="1"/>
      <c r="AO70" s="1"/>
      <c r="AP70" s="1"/>
      <c r="AQ70" s="1"/>
      <c r="AR70" s="1"/>
    </row>
    <row r="71" spans="9:45" x14ac:dyDescent="0.2">
      <c r="I71" s="13" t="s">
        <v>37</v>
      </c>
      <c r="J71" s="13">
        <v>7.5</v>
      </c>
      <c r="K71" s="5">
        <f t="shared" si="24"/>
        <v>35.15625</v>
      </c>
      <c r="L71" s="1">
        <f t="shared" si="25"/>
        <v>1.875</v>
      </c>
      <c r="M71" s="1"/>
      <c r="R71" s="1"/>
      <c r="S71" s="1"/>
      <c r="T71" s="1"/>
      <c r="U71" s="1"/>
      <c r="V71" s="1"/>
      <c r="W71" s="1"/>
      <c r="X71" s="1"/>
      <c r="AA71" s="1" t="s">
        <v>40</v>
      </c>
      <c r="AB71" s="2">
        <v>7.9</v>
      </c>
      <c r="AC71" s="2">
        <f t="shared" si="26"/>
        <v>2.5999999999999999E-2</v>
      </c>
      <c r="AD71" s="2">
        <v>39.006250000000001</v>
      </c>
      <c r="AE71" s="1"/>
      <c r="AF71" s="1" t="s">
        <v>51</v>
      </c>
      <c r="AG71" s="2">
        <v>10.199999999999999</v>
      </c>
      <c r="AH71" s="2">
        <f t="shared" si="27"/>
        <v>1.4E-2</v>
      </c>
      <c r="AI71" s="2">
        <v>65.024999999999991</v>
      </c>
      <c r="AJ71" s="1"/>
      <c r="AK71" s="1"/>
      <c r="AL71" s="1"/>
      <c r="AM71" s="1"/>
      <c r="AN71" s="1"/>
      <c r="AO71" s="1"/>
      <c r="AP71" s="1"/>
      <c r="AQ71" s="1"/>
      <c r="AR71" s="1"/>
    </row>
    <row r="72" spans="9:45" x14ac:dyDescent="0.2">
      <c r="I72" s="13" t="s">
        <v>40</v>
      </c>
      <c r="J72" s="13">
        <v>7.9</v>
      </c>
      <c r="K72" s="5">
        <f t="shared" si="24"/>
        <v>39.006250000000001</v>
      </c>
      <c r="L72" s="1">
        <f t="shared" si="25"/>
        <v>1.9750000000000001</v>
      </c>
      <c r="M72" s="1"/>
      <c r="R72" s="1"/>
      <c r="S72" s="1"/>
      <c r="T72" s="1"/>
      <c r="U72" s="1"/>
      <c r="V72" s="1"/>
      <c r="W72" s="1"/>
      <c r="X72" s="1"/>
      <c r="AA72" s="1" t="s">
        <v>42</v>
      </c>
      <c r="AB72" s="2">
        <v>8.3000000000000007</v>
      </c>
      <c r="AC72" s="2">
        <f t="shared" si="26"/>
        <v>3.1E-2</v>
      </c>
      <c r="AD72" s="2">
        <v>43.056250000000006</v>
      </c>
      <c r="AE72" s="1"/>
      <c r="AF72" s="1" t="s">
        <v>52</v>
      </c>
      <c r="AG72" s="2">
        <v>10.5</v>
      </c>
      <c r="AH72" s="2">
        <f t="shared" si="27"/>
        <v>1.7999999999999999E-2</v>
      </c>
      <c r="AI72" s="2">
        <v>68.90625</v>
      </c>
      <c r="AJ72" s="1"/>
      <c r="AK72" s="1"/>
      <c r="AL72" s="28" t="s">
        <v>94</v>
      </c>
      <c r="AM72" s="28" t="s">
        <v>94</v>
      </c>
      <c r="AN72" s="1"/>
      <c r="AO72" s="1"/>
      <c r="AP72" s="1"/>
      <c r="AQ72" s="1"/>
      <c r="AR72" s="1"/>
    </row>
    <row r="73" spans="9:45" x14ac:dyDescent="0.2">
      <c r="I73" s="13" t="s">
        <v>42</v>
      </c>
      <c r="J73" s="13">
        <v>8.3000000000000007</v>
      </c>
      <c r="K73" s="5">
        <f t="shared" si="24"/>
        <v>43.056250000000006</v>
      </c>
      <c r="L73" s="1">
        <f t="shared" si="25"/>
        <v>2.0750000000000002</v>
      </c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AA73" s="1" t="s">
        <v>47</v>
      </c>
      <c r="AB73" s="2">
        <v>9.8000000000000007</v>
      </c>
      <c r="AC73" s="2">
        <f t="shared" si="26"/>
        <v>3.4000000000000002E-2</v>
      </c>
      <c r="AD73" s="2">
        <v>60.025000000000013</v>
      </c>
      <c r="AE73" s="1"/>
      <c r="AF73" s="1"/>
      <c r="AG73" s="1"/>
      <c r="AH73" s="1"/>
      <c r="AI73" s="1"/>
      <c r="AJ73" s="1"/>
      <c r="AK73" s="1"/>
      <c r="AL73" s="28" t="s">
        <v>94</v>
      </c>
      <c r="AM73" s="28" t="s">
        <v>94</v>
      </c>
      <c r="AN73" s="1"/>
      <c r="AO73" s="1"/>
      <c r="AP73" s="1"/>
      <c r="AQ73" s="1"/>
      <c r="AR73" s="1"/>
    </row>
    <row r="74" spans="9:45" x14ac:dyDescent="0.2">
      <c r="I74" s="13" t="s">
        <v>47</v>
      </c>
      <c r="J74" s="13">
        <v>9.8000000000000007</v>
      </c>
      <c r="K74" s="5">
        <f t="shared" si="24"/>
        <v>60.025000000000013</v>
      </c>
      <c r="L74" s="1">
        <f t="shared" si="25"/>
        <v>2.4500000000000002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AA74" s="1" t="s">
        <v>51</v>
      </c>
      <c r="AB74" s="2">
        <v>10.199999999999999</v>
      </c>
      <c r="AC74" s="2">
        <f t="shared" si="26"/>
        <v>4.1000000000000002E-2</v>
      </c>
      <c r="AD74" s="2">
        <v>65.024999999999991</v>
      </c>
      <c r="AE74" s="1"/>
      <c r="AF74" s="1"/>
      <c r="AG74" s="1"/>
      <c r="AH74" s="1"/>
      <c r="AI74" s="1"/>
      <c r="AJ74" s="1"/>
      <c r="AK74" s="1"/>
      <c r="AL74" s="28" t="s">
        <v>94</v>
      </c>
      <c r="AM74" s="28" t="s">
        <v>94</v>
      </c>
      <c r="AN74" s="1"/>
      <c r="AO74" s="1"/>
      <c r="AP74" s="1"/>
      <c r="AQ74" s="1"/>
      <c r="AR74" s="1"/>
    </row>
    <row r="75" spans="9:45" x14ac:dyDescent="0.2">
      <c r="I75" s="13" t="s">
        <v>51</v>
      </c>
      <c r="J75" s="13">
        <v>10.199999999999999</v>
      </c>
      <c r="K75" s="5">
        <f t="shared" si="24"/>
        <v>65.024999999999991</v>
      </c>
      <c r="L75" s="1">
        <f t="shared" si="25"/>
        <v>2.5500000000000003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AA75" s="1" t="s">
        <v>52</v>
      </c>
      <c r="AB75" s="2">
        <v>10.5</v>
      </c>
      <c r="AC75" s="2">
        <f t="shared" si="26"/>
        <v>4.5999999999999999E-2</v>
      </c>
      <c r="AD75" s="2">
        <v>68.90625</v>
      </c>
      <c r="AE75" s="1"/>
      <c r="AF75" s="1"/>
      <c r="AG75" s="1"/>
      <c r="AH75" s="1"/>
      <c r="AI75" s="1"/>
      <c r="AJ75" s="1"/>
      <c r="AK75" s="1"/>
      <c r="AL75" s="28" t="s">
        <v>94</v>
      </c>
      <c r="AM75" s="28" t="s">
        <v>94</v>
      </c>
      <c r="AN75" s="1"/>
      <c r="AO75" s="1"/>
      <c r="AP75" s="1"/>
      <c r="AQ75" s="1"/>
      <c r="AR75" s="1"/>
    </row>
    <row r="76" spans="9:45" x14ac:dyDescent="0.2">
      <c r="I76" s="13" t="s">
        <v>52</v>
      </c>
      <c r="J76" s="13">
        <v>10.5</v>
      </c>
      <c r="K76" s="5">
        <f t="shared" si="24"/>
        <v>68.90625</v>
      </c>
      <c r="L76" s="1">
        <f t="shared" si="25"/>
        <v>2.625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AA76" s="1"/>
      <c r="AB76" s="1"/>
      <c r="AC76" s="21"/>
      <c r="AD76" s="1"/>
      <c r="AE76" s="1"/>
      <c r="AF76" s="1"/>
      <c r="AG76" s="1"/>
      <c r="AH76" s="1"/>
      <c r="AI76" s="1"/>
      <c r="AJ76" s="1"/>
      <c r="AK76" s="1"/>
      <c r="AL76" s="28" t="s">
        <v>94</v>
      </c>
      <c r="AM76" s="28" t="s">
        <v>94</v>
      </c>
      <c r="AN76" s="1"/>
      <c r="AO76" s="1"/>
      <c r="AP76" s="1"/>
      <c r="AQ76" s="1"/>
      <c r="AR76" s="1"/>
    </row>
    <row r="77" spans="9:45" x14ac:dyDescent="0.2">
      <c r="I77" s="13" t="s">
        <v>53</v>
      </c>
      <c r="J77" s="13">
        <v>10.9</v>
      </c>
      <c r="K77" s="5">
        <f>(0.5*$N$6*J77^2)</f>
        <v>74.256249999999994</v>
      </c>
      <c r="L77" s="1">
        <f t="shared" si="25"/>
        <v>2.7250000000000001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8" t="s">
        <v>94</v>
      </c>
      <c r="AM77" s="28" t="s">
        <v>94</v>
      </c>
      <c r="AN77" s="1"/>
      <c r="AO77" s="1"/>
      <c r="AP77" s="1"/>
      <c r="AQ77" s="1"/>
      <c r="AR77" s="1"/>
      <c r="AS77" s="1"/>
    </row>
    <row r="78" spans="9:45" x14ac:dyDescent="0.2"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AA78" s="1"/>
      <c r="AB78" s="1" t="s">
        <v>95</v>
      </c>
      <c r="AC78" s="1"/>
      <c r="AD78" s="1"/>
      <c r="AE78" s="1"/>
      <c r="AF78" s="1"/>
      <c r="AG78" s="1" t="s">
        <v>96</v>
      </c>
      <c r="AH78" s="1"/>
      <c r="AI78" s="1"/>
      <c r="AJ78" s="1"/>
      <c r="AK78" s="1"/>
      <c r="AL78" s="28" t="s">
        <v>94</v>
      </c>
      <c r="AM78" s="28" t="s">
        <v>94</v>
      </c>
      <c r="AN78" s="1"/>
      <c r="AO78" s="1"/>
      <c r="AP78" s="1"/>
      <c r="AQ78" s="1"/>
      <c r="AR78" s="1"/>
      <c r="AS78" s="1"/>
    </row>
    <row r="79" spans="9:45" x14ac:dyDescent="0.2"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AA79" s="1"/>
      <c r="AB79" s="2" t="s">
        <v>76</v>
      </c>
      <c r="AC79" s="2" t="s">
        <v>77</v>
      </c>
      <c r="AD79" s="2" t="s">
        <v>78</v>
      </c>
      <c r="AE79" s="1"/>
      <c r="AF79" s="1"/>
      <c r="AG79" s="25" t="s">
        <v>76</v>
      </c>
      <c r="AH79" s="2" t="s">
        <v>77</v>
      </c>
      <c r="AI79" s="25" t="s">
        <v>78</v>
      </c>
      <c r="AJ79" s="1"/>
      <c r="AK79" s="1"/>
      <c r="AL79" s="28" t="s">
        <v>94</v>
      </c>
      <c r="AM79" s="28" t="s">
        <v>94</v>
      </c>
      <c r="AN79" s="1"/>
      <c r="AO79" s="1"/>
      <c r="AP79" s="1"/>
      <c r="AQ79" s="1"/>
      <c r="AR79" s="1"/>
      <c r="AS79" s="1"/>
    </row>
    <row r="80" spans="9:45" x14ac:dyDescent="0.2"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AA80" s="1" t="s">
        <v>14</v>
      </c>
      <c r="AB80" s="2">
        <v>5.2</v>
      </c>
      <c r="AC80" s="2">
        <f t="shared" ref="AC80:AC89" si="28">AJ29</f>
        <v>2E-3</v>
      </c>
      <c r="AD80" s="2">
        <v>16.900000000000002</v>
      </c>
      <c r="AE80" s="1"/>
      <c r="AF80" s="1" t="s">
        <v>37</v>
      </c>
      <c r="AG80" s="2">
        <v>7.5</v>
      </c>
      <c r="AH80" s="2">
        <f t="shared" ref="AH80:AH86" si="29">AN33</f>
        <v>1E-3</v>
      </c>
      <c r="AI80" s="2">
        <v>35.15625</v>
      </c>
      <c r="AJ80" s="1"/>
      <c r="AK80" s="1"/>
      <c r="AL80" s="28" t="s">
        <v>94</v>
      </c>
      <c r="AM80" s="28" t="s">
        <v>94</v>
      </c>
      <c r="AN80" s="1"/>
      <c r="AO80" s="1"/>
      <c r="AP80" s="1"/>
      <c r="AQ80" s="1"/>
      <c r="AR80" s="1"/>
      <c r="AS80" s="1"/>
    </row>
    <row r="81" spans="9:45" x14ac:dyDescent="0.2"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AA81" s="1" t="s">
        <v>20</v>
      </c>
      <c r="AB81" s="2">
        <v>5.3</v>
      </c>
      <c r="AC81" s="2">
        <f t="shared" si="28"/>
        <v>5.0000000000000001E-3</v>
      </c>
      <c r="AD81" s="2">
        <v>17.556249999999999</v>
      </c>
      <c r="AE81" s="1"/>
      <c r="AF81" s="1" t="s">
        <v>40</v>
      </c>
      <c r="AG81" s="2">
        <v>7.9</v>
      </c>
      <c r="AH81" s="2">
        <f t="shared" si="29"/>
        <v>2E-3</v>
      </c>
      <c r="AI81" s="2">
        <v>39.006250000000001</v>
      </c>
      <c r="AJ81" s="1"/>
      <c r="AK81" s="1"/>
      <c r="AL81" s="28" t="s">
        <v>94</v>
      </c>
      <c r="AM81" s="28" t="s">
        <v>94</v>
      </c>
      <c r="AN81" s="1"/>
      <c r="AO81" s="1"/>
      <c r="AP81" s="1"/>
      <c r="AQ81" s="1"/>
      <c r="AR81" s="1"/>
      <c r="AS81" s="1"/>
    </row>
    <row r="82" spans="9:45" x14ac:dyDescent="0.2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AA82" s="1" t="s">
        <v>28</v>
      </c>
      <c r="AB82" s="2">
        <v>6.1</v>
      </c>
      <c r="AC82" s="2">
        <f t="shared" si="28"/>
        <v>8.0000000000000002E-3</v>
      </c>
      <c r="AD82" s="2">
        <v>23.256249999999994</v>
      </c>
      <c r="AE82" s="1"/>
      <c r="AF82" s="1" t="s">
        <v>42</v>
      </c>
      <c r="AG82" s="2">
        <v>8.3000000000000007</v>
      </c>
      <c r="AH82" s="2">
        <f t="shared" si="29"/>
        <v>4.0000000000000001E-3</v>
      </c>
      <c r="AI82" s="2">
        <v>43.056250000000006</v>
      </c>
      <c r="AJ82" s="1"/>
      <c r="AK82" s="1"/>
      <c r="AL82" s="28" t="s">
        <v>94</v>
      </c>
      <c r="AM82" s="28" t="s">
        <v>94</v>
      </c>
      <c r="AN82" s="1"/>
      <c r="AO82" s="1"/>
      <c r="AP82" s="1"/>
      <c r="AQ82" s="1"/>
      <c r="AR82" s="1"/>
      <c r="AS82" s="1"/>
    </row>
    <row r="83" spans="9:45" x14ac:dyDescent="0.2">
      <c r="I83" s="18" t="s">
        <v>61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AA83" s="1" t="s">
        <v>33</v>
      </c>
      <c r="AB83" s="2">
        <v>6.7</v>
      </c>
      <c r="AC83" s="2">
        <f t="shared" si="28"/>
        <v>0.01</v>
      </c>
      <c r="AD83" s="2">
        <v>28.056249999999999</v>
      </c>
      <c r="AE83" s="1"/>
      <c r="AF83" s="1" t="s">
        <v>47</v>
      </c>
      <c r="AG83" s="2">
        <v>9.8000000000000007</v>
      </c>
      <c r="AH83" s="2">
        <f t="shared" si="29"/>
        <v>7.0000000000000001E-3</v>
      </c>
      <c r="AI83" s="2">
        <v>60.025000000000013</v>
      </c>
      <c r="AJ83" s="1"/>
      <c r="AK83" s="1"/>
      <c r="AL83" s="28" t="s">
        <v>94</v>
      </c>
      <c r="AM83" s="28" t="s">
        <v>94</v>
      </c>
      <c r="AN83" s="1"/>
      <c r="AO83" s="1"/>
      <c r="AP83" s="1"/>
      <c r="AQ83" s="1"/>
      <c r="AR83" s="1"/>
      <c r="AS83" s="1"/>
    </row>
    <row r="84" spans="9:45" x14ac:dyDescent="0.2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AA84" s="1" t="s">
        <v>37</v>
      </c>
      <c r="AB84" s="2">
        <v>7.5</v>
      </c>
      <c r="AC84" s="2">
        <f t="shared" si="28"/>
        <v>1.6E-2</v>
      </c>
      <c r="AD84" s="2">
        <v>35.15625</v>
      </c>
      <c r="AE84" s="1"/>
      <c r="AF84" s="1" t="s">
        <v>51</v>
      </c>
      <c r="AG84" s="2">
        <v>10.199999999999999</v>
      </c>
      <c r="AH84" s="2">
        <f t="shared" si="29"/>
        <v>8.9999999999999993E-3</v>
      </c>
      <c r="AI84" s="2">
        <v>65.024999999999991</v>
      </c>
      <c r="AJ84" s="1"/>
      <c r="AK84" s="1"/>
      <c r="AL84" s="28" t="s">
        <v>94</v>
      </c>
      <c r="AM84" s="28" t="s">
        <v>94</v>
      </c>
      <c r="AN84" s="1"/>
      <c r="AO84" s="1"/>
      <c r="AP84" s="1"/>
      <c r="AQ84" s="1"/>
      <c r="AR84" s="1"/>
      <c r="AS84" s="1"/>
    </row>
    <row r="85" spans="9:45" x14ac:dyDescent="0.2">
      <c r="I85" s="18" t="s">
        <v>87</v>
      </c>
      <c r="J85" s="29" t="s">
        <v>97</v>
      </c>
      <c r="K85" s="18" t="s">
        <v>98</v>
      </c>
      <c r="L85" s="18" t="s">
        <v>99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AA85" s="1" t="s">
        <v>40</v>
      </c>
      <c r="AB85" s="2">
        <v>7.9</v>
      </c>
      <c r="AC85" s="2">
        <f t="shared" si="28"/>
        <v>0.02</v>
      </c>
      <c r="AD85" s="2">
        <v>39.006250000000001</v>
      </c>
      <c r="AE85" s="1"/>
      <c r="AF85" s="1" t="s">
        <v>52</v>
      </c>
      <c r="AG85" s="2">
        <v>10.5</v>
      </c>
      <c r="AH85" s="2">
        <f t="shared" si="29"/>
        <v>1.0999999999999999E-2</v>
      </c>
      <c r="AI85" s="2">
        <v>68.90625</v>
      </c>
      <c r="AJ85" s="1"/>
      <c r="AK85" s="1"/>
      <c r="AL85" s="28" t="s">
        <v>94</v>
      </c>
      <c r="AM85" s="28" t="s">
        <v>94</v>
      </c>
      <c r="AN85" s="1"/>
      <c r="AO85" s="1"/>
      <c r="AP85" s="1"/>
      <c r="AQ85" s="1"/>
      <c r="AR85" s="1"/>
      <c r="AS85" s="1"/>
    </row>
    <row r="86" spans="9:45" x14ac:dyDescent="0.2">
      <c r="I86">
        <v>0</v>
      </c>
      <c r="J86">
        <v>1E-3</v>
      </c>
      <c r="K86">
        <v>10</v>
      </c>
      <c r="L86" s="1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 t="s">
        <v>100</v>
      </c>
      <c r="AA86" s="1" t="s">
        <v>42</v>
      </c>
      <c r="AB86" s="2">
        <v>8.3000000000000007</v>
      </c>
      <c r="AC86" s="2">
        <f t="shared" si="28"/>
        <v>2.5999999999999999E-2</v>
      </c>
      <c r="AD86" s="2">
        <v>43.056250000000006</v>
      </c>
      <c r="AE86" s="1"/>
      <c r="AF86" s="1" t="s">
        <v>53</v>
      </c>
      <c r="AG86" s="2">
        <v>10.9</v>
      </c>
      <c r="AH86" s="2">
        <f t="shared" si="29"/>
        <v>1.2E-2</v>
      </c>
      <c r="AI86" s="2">
        <v>74.256249999999994</v>
      </c>
      <c r="AJ86" s="1"/>
      <c r="AK86" s="1"/>
      <c r="AL86" s="28" t="s">
        <v>94</v>
      </c>
      <c r="AM86" s="28" t="s">
        <v>94</v>
      </c>
      <c r="AN86" s="1"/>
      <c r="AO86" s="1"/>
      <c r="AP86" s="1"/>
      <c r="AQ86" s="1"/>
      <c r="AR86" s="1"/>
      <c r="AS86" s="1"/>
    </row>
    <row r="87" spans="9:45" x14ac:dyDescent="0.2">
      <c r="I87">
        <v>1E-3</v>
      </c>
      <c r="J87">
        <v>1E-3</v>
      </c>
      <c r="K87">
        <v>16.900000000000002</v>
      </c>
      <c r="L87" s="1">
        <v>1.3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4" t="s">
        <v>2</v>
      </c>
      <c r="Z87" s="24">
        <v>2.2999999999999998</v>
      </c>
      <c r="AA87" s="1" t="s">
        <v>47</v>
      </c>
      <c r="AB87" s="2">
        <v>9.8000000000000007</v>
      </c>
      <c r="AC87" s="2">
        <f t="shared" si="28"/>
        <v>3.1E-2</v>
      </c>
      <c r="AD87" s="2">
        <v>60.025000000000013</v>
      </c>
      <c r="AE87" s="1"/>
      <c r="AF87" s="1"/>
      <c r="AG87" s="1"/>
      <c r="AH87" s="1"/>
      <c r="AI87" s="1"/>
      <c r="AJ87" s="1"/>
      <c r="AK87" s="1"/>
      <c r="AL87" s="28" t="s">
        <v>94</v>
      </c>
      <c r="AM87" s="28" t="s">
        <v>94</v>
      </c>
      <c r="AN87" s="1"/>
      <c r="AO87" s="1"/>
      <c r="AP87" s="1"/>
      <c r="AQ87" s="1"/>
      <c r="AR87" s="1"/>
      <c r="AS87" s="1"/>
    </row>
    <row r="88" spans="9:45" x14ac:dyDescent="0.2">
      <c r="I88">
        <v>6.0000000000000001E-3</v>
      </c>
      <c r="J88">
        <v>1E-3</v>
      </c>
      <c r="K88">
        <v>17.556249999999999</v>
      </c>
      <c r="L88" s="1">
        <v>1.3250000000000002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4" t="s">
        <v>3</v>
      </c>
      <c r="Z88" s="24">
        <v>4</v>
      </c>
      <c r="AA88" s="1" t="s">
        <v>51</v>
      </c>
      <c r="AB88" s="2">
        <v>10.199999999999999</v>
      </c>
      <c r="AC88" s="2">
        <f t="shared" si="28"/>
        <v>3.5000000000000003E-2</v>
      </c>
      <c r="AD88" s="2">
        <v>65.024999999999991</v>
      </c>
      <c r="AE88" s="1"/>
      <c r="AF88" s="1"/>
      <c r="AG88" s="1"/>
      <c r="AH88" s="1"/>
      <c r="AI88" s="1"/>
      <c r="AJ88" s="1"/>
      <c r="AK88" s="1"/>
      <c r="AL88" s="28" t="s">
        <v>94</v>
      </c>
      <c r="AM88" s="28" t="s">
        <v>94</v>
      </c>
      <c r="AN88" s="1"/>
      <c r="AO88" s="1"/>
      <c r="AP88" s="1"/>
      <c r="AQ88" s="1"/>
      <c r="AR88" s="1"/>
      <c r="AS88" s="1"/>
    </row>
    <row r="89" spans="9:45" x14ac:dyDescent="0.2"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4" t="s">
        <v>14</v>
      </c>
      <c r="Z89" s="24">
        <v>5.2</v>
      </c>
      <c r="AA89" s="1" t="s">
        <v>52</v>
      </c>
      <c r="AB89" s="2">
        <v>10.5</v>
      </c>
      <c r="AC89" s="2">
        <f t="shared" si="28"/>
        <v>4.1000000000000002E-2</v>
      </c>
      <c r="AD89" s="2">
        <v>68.90625</v>
      </c>
      <c r="AE89" s="1"/>
      <c r="AF89" s="1"/>
      <c r="AG89" s="1"/>
      <c r="AH89" s="1"/>
      <c r="AI89" s="1"/>
      <c r="AJ89" s="1"/>
      <c r="AK89" s="1"/>
      <c r="AL89" s="28" t="s">
        <v>94</v>
      </c>
      <c r="AM89" s="28" t="s">
        <v>94</v>
      </c>
      <c r="AN89" s="1"/>
      <c r="AO89" s="1"/>
      <c r="AP89" s="1"/>
      <c r="AQ89" s="1"/>
      <c r="AR89" s="1"/>
      <c r="AS89" s="1"/>
    </row>
    <row r="90" spans="9:45" x14ac:dyDescent="0.2"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4" t="s">
        <v>20</v>
      </c>
      <c r="Z90" s="24">
        <v>5.3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28" t="s">
        <v>94</v>
      </c>
      <c r="AM90" s="28" t="s">
        <v>94</v>
      </c>
      <c r="AN90" s="1"/>
      <c r="AO90" s="1"/>
      <c r="AP90" s="1"/>
      <c r="AQ90" s="1"/>
      <c r="AR90" s="1"/>
      <c r="AS90" s="1"/>
    </row>
    <row r="91" spans="9:45" x14ac:dyDescent="0.2"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4" t="s">
        <v>28</v>
      </c>
      <c r="Z91" s="24">
        <v>6.1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28" t="s">
        <v>94</v>
      </c>
      <c r="AM91" s="28" t="s">
        <v>94</v>
      </c>
      <c r="AN91" s="1"/>
      <c r="AO91" s="1"/>
      <c r="AP91" s="1"/>
      <c r="AQ91" s="1"/>
      <c r="AR91" s="1"/>
      <c r="AS91" s="1"/>
    </row>
    <row r="92" spans="9:45" x14ac:dyDescent="0.2">
      <c r="I92" s="18" t="s">
        <v>101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4" t="s">
        <v>33</v>
      </c>
      <c r="Z92" s="24">
        <v>6.7</v>
      </c>
      <c r="AA92" s="1"/>
      <c r="AB92" s="1" t="s">
        <v>102</v>
      </c>
      <c r="AC92" s="1"/>
      <c r="AD92" s="1"/>
      <c r="AE92" s="1"/>
      <c r="AF92" s="1"/>
      <c r="AG92" s="1" t="s">
        <v>103</v>
      </c>
      <c r="AH92" s="1"/>
      <c r="AI92" s="1"/>
      <c r="AJ92" s="1"/>
      <c r="AK92" s="1"/>
      <c r="AL92" s="28" t="s">
        <v>94</v>
      </c>
      <c r="AM92" s="28" t="s">
        <v>94</v>
      </c>
      <c r="AN92" s="1"/>
      <c r="AO92" s="1"/>
      <c r="AP92" s="1"/>
      <c r="AQ92" s="1"/>
      <c r="AR92" s="1"/>
      <c r="AS92" s="1"/>
    </row>
    <row r="93" spans="9:45" x14ac:dyDescent="0.2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4" t="s">
        <v>37</v>
      </c>
      <c r="Z93" s="24">
        <v>7.5</v>
      </c>
      <c r="AA93" s="1"/>
      <c r="AB93" s="25" t="s">
        <v>76</v>
      </c>
      <c r="AC93" s="2" t="s">
        <v>77</v>
      </c>
      <c r="AD93" s="25" t="s">
        <v>78</v>
      </c>
      <c r="AE93" s="1"/>
      <c r="AF93" s="1"/>
      <c r="AG93" s="2" t="s">
        <v>76</v>
      </c>
      <c r="AH93" s="2" t="s">
        <v>77</v>
      </c>
      <c r="AI93" s="2" t="s">
        <v>78</v>
      </c>
      <c r="AJ93" s="1"/>
      <c r="AK93" s="1"/>
      <c r="AL93" s="28" t="s">
        <v>94</v>
      </c>
      <c r="AM93" s="28" t="s">
        <v>94</v>
      </c>
      <c r="AN93" s="1"/>
      <c r="AO93" s="1"/>
      <c r="AP93" s="1"/>
      <c r="AQ93" s="1"/>
      <c r="AR93" s="1"/>
      <c r="AS93" s="1"/>
    </row>
    <row r="94" spans="9:45" x14ac:dyDescent="0.2">
      <c r="I94" s="18" t="s">
        <v>87</v>
      </c>
      <c r="J94" s="29" t="s">
        <v>97</v>
      </c>
      <c r="K94" s="18" t="s">
        <v>98</v>
      </c>
      <c r="L94" s="18" t="s">
        <v>99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4" t="s">
        <v>40</v>
      </c>
      <c r="Z94" s="24">
        <v>7.9</v>
      </c>
      <c r="AA94" s="1" t="s">
        <v>14</v>
      </c>
      <c r="AB94" s="2">
        <v>5.2</v>
      </c>
      <c r="AC94" s="2">
        <f t="shared" ref="AC94:AC104" si="30">AN8</f>
        <v>1E-3</v>
      </c>
      <c r="AD94" s="2">
        <v>16.900000000000002</v>
      </c>
      <c r="AE94" s="1"/>
      <c r="AF94" s="1" t="s">
        <v>33</v>
      </c>
      <c r="AG94" s="2">
        <v>6.7</v>
      </c>
      <c r="AH94" s="2">
        <f t="shared" ref="AH94:AH101" si="31">AN51</f>
        <v>1E-3</v>
      </c>
      <c r="AI94" s="2">
        <v>28.056249999999999</v>
      </c>
      <c r="AJ94" s="1"/>
      <c r="AK94" s="1"/>
      <c r="AL94" s="28" t="s">
        <v>94</v>
      </c>
      <c r="AM94" s="28" t="s">
        <v>94</v>
      </c>
      <c r="AN94" s="1"/>
      <c r="AO94" s="1"/>
      <c r="AP94" s="1"/>
      <c r="AQ94" s="1"/>
      <c r="AR94" s="1"/>
      <c r="AS94" s="1"/>
    </row>
    <row r="95" spans="9:45" x14ac:dyDescent="0.2">
      <c r="I95">
        <v>8.9999999999999993E-3</v>
      </c>
      <c r="J95">
        <v>1E-3</v>
      </c>
      <c r="K95">
        <v>10</v>
      </c>
      <c r="L95" s="1">
        <v>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4" t="s">
        <v>42</v>
      </c>
      <c r="Z95" s="24">
        <v>8.3000000000000007</v>
      </c>
      <c r="AA95" s="1" t="s">
        <v>53</v>
      </c>
      <c r="AB95" s="2">
        <v>5.3</v>
      </c>
      <c r="AC95" s="2">
        <f t="shared" si="30"/>
        <v>2E-3</v>
      </c>
      <c r="AD95" s="2">
        <v>17.556249999999999</v>
      </c>
      <c r="AE95" s="1"/>
      <c r="AF95" s="1" t="s">
        <v>37</v>
      </c>
      <c r="AG95" s="2">
        <v>7.5</v>
      </c>
      <c r="AH95" s="2">
        <f t="shared" si="31"/>
        <v>1E-3</v>
      </c>
      <c r="AI95" s="2">
        <v>35.15625</v>
      </c>
      <c r="AJ95" s="1"/>
      <c r="AK95" s="1"/>
      <c r="AL95" s="28" t="s">
        <v>94</v>
      </c>
      <c r="AM95" s="28" t="s">
        <v>94</v>
      </c>
      <c r="AN95" s="1"/>
      <c r="AO95" s="1"/>
      <c r="AP95" s="1"/>
      <c r="AQ95" s="1"/>
      <c r="AR95" s="1"/>
      <c r="AS95" s="1"/>
    </row>
    <row r="96" spans="9:45" x14ac:dyDescent="0.2">
      <c r="I96">
        <v>1.7000000000000001E-2</v>
      </c>
      <c r="J96">
        <v>1E-3</v>
      </c>
      <c r="K96">
        <v>16.900000000000002</v>
      </c>
      <c r="L96" s="1">
        <v>1.3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4" t="s">
        <v>47</v>
      </c>
      <c r="Z96" s="24">
        <v>9.8000000000000007</v>
      </c>
      <c r="AA96" s="1" t="s">
        <v>28</v>
      </c>
      <c r="AB96" s="2">
        <v>6.1</v>
      </c>
      <c r="AC96" s="2">
        <f t="shared" si="30"/>
        <v>5.0000000000000001E-3</v>
      </c>
      <c r="AD96" s="2">
        <v>23.256249999999994</v>
      </c>
      <c r="AE96" s="1"/>
      <c r="AF96" s="1" t="s">
        <v>40</v>
      </c>
      <c r="AG96" s="2">
        <v>7.9</v>
      </c>
      <c r="AH96" s="2">
        <f t="shared" si="31"/>
        <v>2E-3</v>
      </c>
      <c r="AI96" s="2">
        <v>39.006250000000001</v>
      </c>
      <c r="AJ96" s="1"/>
      <c r="AK96" s="1"/>
      <c r="AL96" s="28" t="s">
        <v>94</v>
      </c>
      <c r="AM96" s="28" t="s">
        <v>94</v>
      </c>
      <c r="AN96" s="1"/>
      <c r="AO96" s="1"/>
      <c r="AP96" s="1"/>
      <c r="AQ96" s="1"/>
      <c r="AR96" s="1"/>
      <c r="AS96" s="1"/>
    </row>
    <row r="97" spans="9:45" x14ac:dyDescent="0.2">
      <c r="I97">
        <v>2.5999999999999999E-2</v>
      </c>
      <c r="J97">
        <v>1E-3</v>
      </c>
      <c r="K97">
        <v>17.556249999999999</v>
      </c>
      <c r="L97" s="1">
        <v>1.3250000000000002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4" t="s">
        <v>51</v>
      </c>
      <c r="Z97" s="24">
        <v>10.199999999999999</v>
      </c>
      <c r="AA97" s="1" t="s">
        <v>33</v>
      </c>
      <c r="AB97" s="2">
        <v>6.7</v>
      </c>
      <c r="AC97" s="2">
        <f t="shared" si="30"/>
        <v>8.0000000000000002E-3</v>
      </c>
      <c r="AD97" s="2">
        <v>28.056249999999999</v>
      </c>
      <c r="AE97" s="1"/>
      <c r="AF97" s="1" t="s">
        <v>42</v>
      </c>
      <c r="AG97" s="2">
        <v>8.3000000000000007</v>
      </c>
      <c r="AH97" s="2">
        <f t="shared" si="31"/>
        <v>4.0000000000000001E-3</v>
      </c>
      <c r="AI97" s="2">
        <v>43.056250000000006</v>
      </c>
      <c r="AJ97" s="1"/>
      <c r="AK97" s="1"/>
      <c r="AL97" s="28" t="s">
        <v>94</v>
      </c>
      <c r="AM97" s="28" t="s">
        <v>94</v>
      </c>
      <c r="AN97" s="1"/>
      <c r="AO97" s="1"/>
      <c r="AP97" s="1"/>
      <c r="AQ97" s="1"/>
      <c r="AR97" s="1"/>
      <c r="AS97" s="1"/>
    </row>
    <row r="98" spans="9:45" x14ac:dyDescent="0.2"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4" t="s">
        <v>52</v>
      </c>
      <c r="Z98" s="24">
        <v>10.5</v>
      </c>
      <c r="AA98" s="1" t="s">
        <v>37</v>
      </c>
      <c r="AB98" s="2">
        <v>7.5</v>
      </c>
      <c r="AC98" s="2">
        <f t="shared" si="30"/>
        <v>1.0999999999999999E-2</v>
      </c>
      <c r="AD98" s="2">
        <v>35.15625</v>
      </c>
      <c r="AE98" s="1"/>
      <c r="AF98" s="1" t="s">
        <v>47</v>
      </c>
      <c r="AG98" s="2">
        <v>9.8000000000000007</v>
      </c>
      <c r="AH98" s="2">
        <f t="shared" si="31"/>
        <v>6.0000000000000001E-3</v>
      </c>
      <c r="AI98" s="2">
        <v>60.025000000000013</v>
      </c>
      <c r="AJ98" s="1"/>
      <c r="AK98" s="1"/>
      <c r="AL98" s="28" t="s">
        <v>94</v>
      </c>
      <c r="AM98" s="28" t="s">
        <v>94</v>
      </c>
      <c r="AN98" s="1"/>
      <c r="AO98" s="1"/>
      <c r="AP98" s="1"/>
      <c r="AQ98" s="1"/>
      <c r="AR98" s="1"/>
      <c r="AS98" s="1"/>
    </row>
    <row r="99" spans="9:45" x14ac:dyDescent="0.2"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4" t="s">
        <v>53</v>
      </c>
      <c r="Z99" s="24">
        <v>10.9</v>
      </c>
      <c r="AA99" s="1" t="s">
        <v>40</v>
      </c>
      <c r="AB99" s="2">
        <v>7.9</v>
      </c>
      <c r="AC99" s="2">
        <f t="shared" si="30"/>
        <v>1.4999999999999999E-2</v>
      </c>
      <c r="AD99" s="2">
        <v>39.006250000000001</v>
      </c>
      <c r="AE99" s="1"/>
      <c r="AF99" s="1" t="s">
        <v>51</v>
      </c>
      <c r="AG99" s="2">
        <v>10.199999999999999</v>
      </c>
      <c r="AH99" s="2">
        <f t="shared" si="31"/>
        <v>8.0000000000000002E-3</v>
      </c>
      <c r="AI99" s="2">
        <v>65.024999999999991</v>
      </c>
      <c r="AJ99" s="1"/>
      <c r="AK99" s="1"/>
      <c r="AL99" s="28" t="s">
        <v>94</v>
      </c>
      <c r="AM99" s="28" t="s">
        <v>94</v>
      </c>
      <c r="AN99" s="1"/>
      <c r="AO99" s="1"/>
      <c r="AP99" s="1"/>
      <c r="AQ99" s="1"/>
      <c r="AR99" s="1"/>
      <c r="AS99" s="1"/>
    </row>
    <row r="100" spans="9:45" x14ac:dyDescent="0.2">
      <c r="AA100" s="1" t="s">
        <v>42</v>
      </c>
      <c r="AB100" s="2">
        <v>8.3000000000000007</v>
      </c>
      <c r="AC100" s="2">
        <f t="shared" si="30"/>
        <v>1.7999999999999999E-2</v>
      </c>
      <c r="AD100" s="2">
        <v>43.056250000000006</v>
      </c>
      <c r="AE100" s="1"/>
      <c r="AF100" s="1" t="s">
        <v>52</v>
      </c>
      <c r="AG100" s="2">
        <v>10.5</v>
      </c>
      <c r="AH100" s="2">
        <f t="shared" si="31"/>
        <v>1.0999999999999999E-2</v>
      </c>
      <c r="AI100" s="2">
        <v>68.90625</v>
      </c>
      <c r="AJ100" s="1"/>
      <c r="AK100" s="1"/>
      <c r="AL100" s="28" t="s">
        <v>94</v>
      </c>
      <c r="AM100" s="28" t="s">
        <v>94</v>
      </c>
      <c r="AN100" s="1"/>
      <c r="AO100" s="1"/>
      <c r="AP100" s="1"/>
      <c r="AQ100" s="1"/>
      <c r="AR100" s="1"/>
      <c r="AS100" s="1"/>
    </row>
    <row r="101" spans="9:45" x14ac:dyDescent="0.2">
      <c r="I101" s="18" t="s">
        <v>104</v>
      </c>
      <c r="J101" s="1"/>
      <c r="K101" s="1"/>
      <c r="L101" s="1"/>
      <c r="AA101" s="1" t="s">
        <v>47</v>
      </c>
      <c r="AB101" s="2">
        <v>9.8000000000000007</v>
      </c>
      <c r="AC101" s="2">
        <f t="shared" si="30"/>
        <v>2.1999999999999999E-2</v>
      </c>
      <c r="AD101" s="2">
        <v>60.025000000000013</v>
      </c>
      <c r="AE101" s="1"/>
      <c r="AF101" s="1" t="s">
        <v>53</v>
      </c>
      <c r="AG101" s="2">
        <v>10.9</v>
      </c>
      <c r="AH101" s="2">
        <f t="shared" si="31"/>
        <v>1.2999999999999999E-2</v>
      </c>
      <c r="AI101" s="2">
        <v>74.256249999999994</v>
      </c>
      <c r="AJ101" s="1"/>
      <c r="AK101" s="1"/>
      <c r="AL101" s="28" t="s">
        <v>94</v>
      </c>
      <c r="AM101" s="28" t="s">
        <v>94</v>
      </c>
      <c r="AN101" s="1"/>
      <c r="AO101" s="1"/>
      <c r="AP101" s="1"/>
      <c r="AQ101" s="1"/>
      <c r="AR101" s="1"/>
      <c r="AS101" s="1"/>
    </row>
    <row r="102" spans="9:45" x14ac:dyDescent="0.2">
      <c r="I102" s="1"/>
      <c r="J102" s="1"/>
      <c r="K102" s="1"/>
      <c r="L102" s="1"/>
      <c r="AA102" s="1" t="s">
        <v>51</v>
      </c>
      <c r="AB102" s="2">
        <v>10.199999999999999</v>
      </c>
      <c r="AC102" s="2">
        <f t="shared" si="30"/>
        <v>2.5999999999999999E-2</v>
      </c>
      <c r="AD102" s="2">
        <v>65.024999999999991</v>
      </c>
      <c r="AE102" s="1"/>
      <c r="AF102" s="1"/>
      <c r="AG102" s="1"/>
      <c r="AH102" s="1"/>
      <c r="AI102" s="1"/>
      <c r="AJ102" s="1"/>
      <c r="AK102" s="1"/>
      <c r="AL102" s="28" t="s">
        <v>94</v>
      </c>
      <c r="AM102" s="28" t="s">
        <v>94</v>
      </c>
      <c r="AN102" s="1"/>
      <c r="AO102" s="1"/>
      <c r="AP102" s="1"/>
      <c r="AQ102" s="1"/>
      <c r="AR102" s="1"/>
      <c r="AS102" s="1"/>
    </row>
    <row r="103" spans="9:45" x14ac:dyDescent="0.2">
      <c r="I103" s="18" t="s">
        <v>87</v>
      </c>
      <c r="J103" s="29" t="s">
        <v>97</v>
      </c>
      <c r="K103" s="18" t="s">
        <v>98</v>
      </c>
      <c r="L103" s="18" t="s">
        <v>99</v>
      </c>
      <c r="AA103" s="1" t="s">
        <v>52</v>
      </c>
      <c r="AB103" s="27">
        <v>10.5</v>
      </c>
      <c r="AC103" s="2">
        <f t="shared" si="30"/>
        <v>3.1E-2</v>
      </c>
      <c r="AD103" s="27">
        <v>68.90625</v>
      </c>
      <c r="AE103" s="26"/>
      <c r="AF103" s="1"/>
      <c r="AG103" s="26"/>
      <c r="AH103" s="26"/>
      <c r="AI103" s="26"/>
      <c r="AJ103" s="26"/>
      <c r="AK103" s="26"/>
      <c r="AL103" s="28" t="s">
        <v>94</v>
      </c>
      <c r="AM103" s="28" t="s">
        <v>94</v>
      </c>
      <c r="AN103" s="1"/>
      <c r="AO103" s="1"/>
      <c r="AP103" s="1"/>
      <c r="AQ103" s="1"/>
      <c r="AR103" s="1"/>
      <c r="AS103" s="1"/>
    </row>
    <row r="104" spans="9:45" x14ac:dyDescent="0.2">
      <c r="I104">
        <v>2.5999999999999999E-2</v>
      </c>
      <c r="J104">
        <v>1E-3</v>
      </c>
      <c r="K104">
        <v>10</v>
      </c>
      <c r="L104" s="1">
        <v>1</v>
      </c>
      <c r="AA104" s="26"/>
      <c r="AB104" s="27">
        <v>10.9</v>
      </c>
      <c r="AC104" s="2">
        <f t="shared" si="30"/>
        <v>3.5000000000000003E-2</v>
      </c>
      <c r="AD104" s="27">
        <v>74.256249999999994</v>
      </c>
      <c r="AE104" s="26"/>
      <c r="AF104" s="1"/>
      <c r="AG104" s="26"/>
      <c r="AH104" s="26"/>
      <c r="AI104" s="26"/>
      <c r="AJ104" s="26"/>
      <c r="AK104" s="26"/>
      <c r="AL104" s="28" t="s">
        <v>94</v>
      </c>
      <c r="AM104" s="28" t="s">
        <v>94</v>
      </c>
      <c r="AN104" s="1"/>
      <c r="AO104" s="1"/>
      <c r="AP104" s="1"/>
      <c r="AQ104" s="1"/>
      <c r="AR104" s="1"/>
      <c r="AS104" s="1"/>
    </row>
    <row r="105" spans="9:45" x14ac:dyDescent="0.2">
      <c r="I105">
        <v>0.04</v>
      </c>
      <c r="J105">
        <v>1E-3</v>
      </c>
      <c r="K105">
        <v>16.900000000000002</v>
      </c>
      <c r="L105" s="1">
        <v>1.3</v>
      </c>
      <c r="AA105" s="26"/>
      <c r="AB105" s="26"/>
      <c r="AC105" s="26"/>
      <c r="AD105" s="26"/>
      <c r="AE105" s="26"/>
      <c r="AF105" s="1"/>
      <c r="AG105" s="26"/>
      <c r="AH105" s="26"/>
      <c r="AI105" s="26"/>
      <c r="AJ105" s="26"/>
      <c r="AK105" s="26"/>
      <c r="AL105" s="28" t="s">
        <v>94</v>
      </c>
      <c r="AM105" s="28" t="s">
        <v>94</v>
      </c>
      <c r="AN105" s="1"/>
      <c r="AO105" s="1"/>
      <c r="AP105" s="1"/>
      <c r="AQ105" s="1"/>
      <c r="AR105" s="1"/>
      <c r="AS105" s="1"/>
    </row>
    <row r="106" spans="9:45" x14ac:dyDescent="0.2">
      <c r="I106">
        <v>0.06</v>
      </c>
      <c r="J106">
        <v>1E-3</v>
      </c>
      <c r="K106">
        <v>17.556249999999999</v>
      </c>
      <c r="L106" s="1">
        <v>1.3250000000000002</v>
      </c>
      <c r="AA106" s="26"/>
      <c r="AB106" s="26"/>
      <c r="AC106" s="26"/>
      <c r="AD106" s="26"/>
      <c r="AE106" s="26"/>
      <c r="AF106" s="1"/>
      <c r="AG106" s="26"/>
      <c r="AH106" s="26"/>
      <c r="AI106" s="26"/>
      <c r="AJ106" s="26"/>
      <c r="AK106" s="26"/>
      <c r="AL106" s="28" t="s">
        <v>94</v>
      </c>
      <c r="AM106" s="28" t="s">
        <v>94</v>
      </c>
      <c r="AN106" s="1"/>
      <c r="AO106" s="1"/>
      <c r="AP106" s="1"/>
      <c r="AQ106" s="1"/>
      <c r="AR106" s="1"/>
      <c r="AS106" s="1"/>
    </row>
    <row r="107" spans="9:45" ht="17.25" customHeight="1" x14ac:dyDescent="0.2">
      <c r="AA107" s="26"/>
      <c r="AB107" s="26" t="s">
        <v>105</v>
      </c>
      <c r="AC107" s="26"/>
      <c r="AD107" s="26"/>
      <c r="AE107" s="26"/>
      <c r="AF107" s="1"/>
      <c r="AG107" s="26" t="s">
        <v>106</v>
      </c>
      <c r="AH107" s="26"/>
      <c r="AI107" s="26"/>
      <c r="AJ107" s="26"/>
      <c r="AK107" s="26"/>
      <c r="AL107" s="28" t="s">
        <v>94</v>
      </c>
      <c r="AM107" s="28" t="s">
        <v>94</v>
      </c>
      <c r="AN107" s="1"/>
      <c r="AO107" s="1"/>
      <c r="AP107" s="1"/>
      <c r="AQ107" s="1"/>
      <c r="AR107" s="1"/>
      <c r="AS107" s="1"/>
    </row>
    <row r="108" spans="9:45" x14ac:dyDescent="0.2">
      <c r="AA108" s="26"/>
      <c r="AB108" s="25" t="s">
        <v>76</v>
      </c>
      <c r="AC108" s="2" t="s">
        <v>77</v>
      </c>
      <c r="AD108" s="25" t="s">
        <v>78</v>
      </c>
      <c r="AE108" s="26"/>
      <c r="AF108" s="1"/>
      <c r="AG108" s="25" t="s">
        <v>76</v>
      </c>
      <c r="AH108" s="2" t="s">
        <v>77</v>
      </c>
      <c r="AI108" s="25" t="s">
        <v>78</v>
      </c>
      <c r="AJ108" s="26"/>
      <c r="AK108" s="26"/>
      <c r="AL108" s="1"/>
      <c r="AM108" s="1"/>
      <c r="AN108" s="1"/>
      <c r="AO108" s="1"/>
      <c r="AP108" s="1"/>
      <c r="AQ108" s="1"/>
      <c r="AR108" s="1"/>
      <c r="AS108" s="1"/>
    </row>
    <row r="109" spans="9:45" x14ac:dyDescent="0.2">
      <c r="AA109" s="1" t="s">
        <v>40</v>
      </c>
      <c r="AB109" s="27">
        <v>7.9</v>
      </c>
      <c r="AC109" s="27">
        <f t="shared" ref="AC109:AC114" si="32">AB34</f>
        <v>1E-3</v>
      </c>
      <c r="AD109" s="27">
        <v>39.006250000000001</v>
      </c>
      <c r="AE109" s="26"/>
      <c r="AF109" s="1" t="s">
        <v>37</v>
      </c>
      <c r="AG109" s="27">
        <v>7.5</v>
      </c>
      <c r="AH109" s="27">
        <f t="shared" ref="AH109:AH115" si="33">AF33</f>
        <v>1E-3</v>
      </c>
      <c r="AI109" s="27">
        <v>35.15625</v>
      </c>
      <c r="AJ109" s="26"/>
      <c r="AK109" s="26"/>
      <c r="AL109" s="1"/>
      <c r="AM109" s="1"/>
      <c r="AN109" s="1"/>
      <c r="AO109" s="1"/>
      <c r="AP109" s="1"/>
      <c r="AQ109" s="1"/>
      <c r="AR109" s="1"/>
      <c r="AS109" s="1"/>
    </row>
    <row r="110" spans="9:45" x14ac:dyDescent="0.2">
      <c r="AA110" s="1" t="s">
        <v>42</v>
      </c>
      <c r="AB110" s="27">
        <v>8.3000000000000007</v>
      </c>
      <c r="AC110" s="27">
        <f t="shared" si="32"/>
        <v>1E-3</v>
      </c>
      <c r="AD110" s="27">
        <v>43.056250000000006</v>
      </c>
      <c r="AE110" s="26"/>
      <c r="AF110" s="1" t="s">
        <v>40</v>
      </c>
      <c r="AG110" s="27">
        <v>7.9</v>
      </c>
      <c r="AH110" s="27">
        <f t="shared" si="33"/>
        <v>2E-3</v>
      </c>
      <c r="AI110" s="27">
        <v>39.006250000000001</v>
      </c>
      <c r="AJ110" s="26"/>
      <c r="AK110" s="26"/>
      <c r="AL110" s="1"/>
      <c r="AM110" s="1"/>
      <c r="AN110" s="1"/>
      <c r="AO110" s="1"/>
      <c r="AP110" s="1"/>
      <c r="AQ110" s="1"/>
      <c r="AR110" s="1"/>
      <c r="AS110" s="1"/>
    </row>
    <row r="111" spans="9:45" x14ac:dyDescent="0.2">
      <c r="AA111" s="1" t="s">
        <v>47</v>
      </c>
      <c r="AB111" s="27">
        <v>9.8000000000000007</v>
      </c>
      <c r="AC111" s="27">
        <f t="shared" si="32"/>
        <v>2E-3</v>
      </c>
      <c r="AD111" s="27">
        <v>60.025000000000013</v>
      </c>
      <c r="AE111" s="26"/>
      <c r="AF111" s="1" t="s">
        <v>42</v>
      </c>
      <c r="AG111" s="27">
        <v>8.3000000000000007</v>
      </c>
      <c r="AH111" s="27">
        <f t="shared" si="33"/>
        <v>3.0000000000000001E-3</v>
      </c>
      <c r="AI111" s="27">
        <v>43.056250000000006</v>
      </c>
      <c r="AJ111" s="26"/>
      <c r="AK111" s="26"/>
    </row>
    <row r="112" spans="9:45" x14ac:dyDescent="0.2">
      <c r="AA112" s="1" t="s">
        <v>51</v>
      </c>
      <c r="AB112" s="27">
        <v>10.199999999999999</v>
      </c>
      <c r="AC112" s="27">
        <f t="shared" si="32"/>
        <v>3.0000000000000001E-3</v>
      </c>
      <c r="AD112" s="27">
        <v>65.024999999999991</v>
      </c>
      <c r="AE112" s="26"/>
      <c r="AF112" s="1" t="s">
        <v>47</v>
      </c>
      <c r="AG112" s="27">
        <v>9.8000000000000007</v>
      </c>
      <c r="AH112" s="27">
        <f t="shared" si="33"/>
        <v>4.0000000000000001E-3</v>
      </c>
      <c r="AI112" s="27">
        <v>60.025000000000013</v>
      </c>
      <c r="AJ112" s="26"/>
      <c r="AK112" s="26"/>
    </row>
    <row r="113" spans="27:37" x14ac:dyDescent="0.2">
      <c r="AA113" s="1" t="s">
        <v>52</v>
      </c>
      <c r="AB113" s="27">
        <v>10.5</v>
      </c>
      <c r="AC113" s="27">
        <f t="shared" si="32"/>
        <v>5.0000000000000001E-3</v>
      </c>
      <c r="AD113" s="27">
        <v>68.90625</v>
      </c>
      <c r="AE113" s="26"/>
      <c r="AF113" s="1" t="s">
        <v>51</v>
      </c>
      <c r="AG113" s="27">
        <v>10.199999999999999</v>
      </c>
      <c r="AH113" s="27">
        <f t="shared" si="33"/>
        <v>6.0000000000000001E-3</v>
      </c>
      <c r="AI113" s="27">
        <v>65.024999999999991</v>
      </c>
      <c r="AJ113" s="26"/>
      <c r="AK113" s="26"/>
    </row>
    <row r="114" spans="27:37" x14ac:dyDescent="0.2">
      <c r="AA114" s="1" t="s">
        <v>53</v>
      </c>
      <c r="AB114" s="27">
        <v>10.9</v>
      </c>
      <c r="AC114" s="27">
        <f t="shared" si="32"/>
        <v>7.0000000000000001E-3</v>
      </c>
      <c r="AD114" s="27">
        <v>74.256249999999994</v>
      </c>
      <c r="AE114" s="26"/>
      <c r="AF114" s="1" t="s">
        <v>52</v>
      </c>
      <c r="AG114" s="27">
        <v>10.5</v>
      </c>
      <c r="AH114" s="27">
        <f t="shared" si="33"/>
        <v>8.0000000000000002E-3</v>
      </c>
      <c r="AI114" s="27">
        <v>68.90625</v>
      </c>
      <c r="AJ114" s="26"/>
      <c r="AK114" s="26"/>
    </row>
    <row r="115" spans="27:37" x14ac:dyDescent="0.2">
      <c r="AA115" s="26"/>
      <c r="AB115" s="26"/>
      <c r="AC115" s="26"/>
      <c r="AD115" s="26"/>
      <c r="AE115" s="26"/>
      <c r="AF115" s="1" t="s">
        <v>53</v>
      </c>
      <c r="AG115" s="27">
        <v>10.9</v>
      </c>
      <c r="AH115" s="27">
        <f t="shared" si="33"/>
        <v>0.01</v>
      </c>
      <c r="AI115" s="27">
        <v>74.256249999999994</v>
      </c>
      <c r="AJ115" s="26"/>
      <c r="AK115" s="26"/>
    </row>
    <row r="116" spans="27:37" x14ac:dyDescent="0.2">
      <c r="AA116" s="26"/>
      <c r="AB116" s="26"/>
      <c r="AC116" s="26"/>
      <c r="AD116" s="26"/>
      <c r="AE116" s="26"/>
      <c r="AF116" s="1"/>
      <c r="AG116" s="26"/>
      <c r="AH116" s="26"/>
      <c r="AI116" s="26"/>
      <c r="AJ116" s="26"/>
      <c r="AK116" s="26"/>
    </row>
    <row r="1048576" spans="37:37" x14ac:dyDescent="0.2">
      <c r="AK1048576" s="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Joan Ribot Oliver</cp:lastModifiedBy>
  <cp:revision/>
  <dcterms:created xsi:type="dcterms:W3CDTF">2023-02-10T10:59:18Z</dcterms:created>
  <dcterms:modified xsi:type="dcterms:W3CDTF">2023-02-17T11:57:13Z</dcterms:modified>
  <cp:category/>
  <cp:contentStatus/>
</cp:coreProperties>
</file>