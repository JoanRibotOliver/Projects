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284" documentId="8_{A7509479-9353-6C40-ADBD-6ADA01EDD6FB}" xr6:coauthVersionLast="47" xr6:coauthVersionMax="47" xr10:uidLastSave="{236C16B4-2252-B547-8B6F-12AED0290250}"/>
  <bookViews>
    <workbookView xWindow="380" yWindow="500" windowWidth="28040" windowHeight="16340" activeTab="1" xr2:uid="{39715BA6-3254-2F47-A63F-F1E80A2E0226}"/>
  </bookViews>
  <sheets>
    <sheet name="Càlcul de la C" sheetId="1" r:id="rId1"/>
    <sheet name="Dependència viscositat-temp" sheetId="2" r:id="rId2"/>
    <sheet name="No newtonia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H24" i="2"/>
  <c r="H25" i="2"/>
  <c r="H26" i="2"/>
  <c r="H27" i="2"/>
  <c r="H28" i="2"/>
  <c r="H18" i="2"/>
  <c r="H13" i="2"/>
  <c r="H14" i="2"/>
  <c r="H15" i="2"/>
  <c r="H16" i="2"/>
  <c r="H17" i="2"/>
  <c r="H19" i="2"/>
  <c r="H20" i="2"/>
  <c r="H21" i="2"/>
  <c r="H22" i="2"/>
  <c r="H12" i="2"/>
  <c r="D13" i="2"/>
  <c r="D14" i="2"/>
  <c r="D15" i="2"/>
  <c r="D16" i="2"/>
  <c r="D17" i="2"/>
  <c r="D18" i="2"/>
  <c r="D19" i="2"/>
  <c r="D20" i="2"/>
  <c r="D21" i="2"/>
  <c r="D22" i="2"/>
  <c r="D12" i="2"/>
  <c r="M30" i="1"/>
  <c r="M31" i="1"/>
  <c r="M32" i="1"/>
  <c r="M33" i="1"/>
  <c r="M34" i="1"/>
  <c r="M35" i="1"/>
  <c r="M36" i="1"/>
  <c r="M29" i="1"/>
  <c r="J16" i="1"/>
  <c r="P43" i="3" a="1"/>
  <c r="P43" i="3" s="1"/>
  <c r="X16" i="3" s="1"/>
  <c r="X24" i="3"/>
  <c r="X23" i="3"/>
  <c r="X22" i="3"/>
  <c r="X21" i="3"/>
  <c r="X20" i="3"/>
  <c r="X19" i="3"/>
  <c r="X18" i="3"/>
  <c r="X17" i="3"/>
  <c r="B43" i="3" a="1"/>
  <c r="B43" i="3" s="1"/>
  <c r="J16" i="3" s="1"/>
  <c r="J24" i="3"/>
  <c r="J23" i="3"/>
  <c r="J22" i="3"/>
  <c r="J21" i="3"/>
  <c r="J20" i="3"/>
  <c r="J19" i="3"/>
  <c r="J18" i="3"/>
  <c r="J17" i="3"/>
  <c r="F8" i="3"/>
  <c r="B42" i="1" a="1"/>
  <c r="B42" i="1" s="1"/>
  <c r="J15" i="1" s="1"/>
  <c r="F7" i="1"/>
  <c r="J18" i="1" l="1"/>
  <c r="J20" i="1"/>
  <c r="J17" i="1"/>
  <c r="J23" i="1"/>
  <c r="J22" i="1"/>
  <c r="J21" i="1"/>
  <c r="J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<sst xmlns="http://schemas.openxmlformats.org/spreadsheetml/2006/main" count="117" uniqueCount="51">
  <si>
    <t>Glicerina</t>
  </si>
  <si>
    <t>Torque</t>
  </si>
  <si>
    <t>viscositat</t>
  </si>
  <si>
    <t>Velocitat angular</t>
  </si>
  <si>
    <t>Tau</t>
  </si>
  <si>
    <t>w</t>
  </si>
  <si>
    <t>eta</t>
  </si>
  <si>
    <t>Constant de l'aparell</t>
  </si>
  <si>
    <t>l'error canvia cada vegada…</t>
  </si>
  <si>
    <t>Incerteses</t>
  </si>
  <si>
    <t>C</t>
  </si>
  <si>
    <t>h</t>
  </si>
  <si>
    <t>R1 (m)</t>
  </si>
  <si>
    <t>R2 (m)</t>
  </si>
  <si>
    <t>R</t>
  </si>
  <si>
    <t>0,001 m</t>
  </si>
  <si>
    <t>propagació</t>
  </si>
  <si>
    <t>h (m)</t>
  </si>
  <si>
    <t>y = Bx + A</t>
  </si>
  <si>
    <t>A = 0</t>
  </si>
  <si>
    <t>B = C*eta</t>
  </si>
  <si>
    <t>w_0</t>
  </si>
  <si>
    <t>T = C*eta*w_0</t>
  </si>
  <si>
    <t>R^2</t>
  </si>
  <si>
    <t>dB</t>
  </si>
  <si>
    <t>dA</t>
  </si>
  <si>
    <t>AJUST…</t>
  </si>
  <si>
    <t>CONVERSOR!</t>
  </si>
  <si>
    <t>w_0 Vs. Tau</t>
  </si>
  <si>
    <t>HISTÈRESI?</t>
  </si>
  <si>
    <t>AUGMENTANT W_0</t>
  </si>
  <si>
    <t>MINVANT W_0</t>
  </si>
  <si>
    <t>T</t>
  </si>
  <si>
    <t>T (K)</t>
  </si>
  <si>
    <t>1 K</t>
  </si>
  <si>
    <t>MESURA MÀQUINA</t>
  </si>
  <si>
    <t>taula màquina</t>
  </si>
  <si>
    <t>w_0 (rev/min)</t>
  </si>
  <si>
    <t xml:space="preserve"> mPa/s</t>
  </si>
  <si>
    <t>Dial reading</t>
  </si>
  <si>
    <t>rev/min</t>
  </si>
  <si>
    <t>incertesa</t>
  </si>
  <si>
    <t>FACTOR</t>
  </si>
  <si>
    <t>DIAL * FACTOR  = VISCOSITAT EN  CENTIPOSE</t>
  </si>
  <si>
    <t>T (ºC)</t>
  </si>
  <si>
    <t>mPa/s</t>
  </si>
  <si>
    <t>PROPAGACIÓ</t>
  </si>
  <si>
    <t>aprox 30</t>
  </si>
  <si>
    <t>incertesa GROSSA!! Quan ho tornam a encendre puja 2 graus</t>
  </si>
  <si>
    <t>S'HA ROMPUT</t>
  </si>
  <si>
    <t>KAPUT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</si>
</sst>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w_0 Vs. Tau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'Càlcul de la C'!$C$14</c:f>
              <c:strCache>
                <c:ptCount val="1"/>
                <c:pt idx="0">
                  <c:v>w_0 (rev/min)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'Càlcul de la C'!$B$15:$B$23</c:f>
              <c:numCache>
                <c:formatCode>General</c:formatCode>
                <c:ptCount val="9"/>
              </c:numCache>
            </c:numRef>
          </c:xVal>
          <c:yVal>
            <c:numRef>
              <c:f>'Càlcul de la C'!$C$15:$C$23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D-E24A-A93A-38423649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817248"/>
        <c:axId val="1983433136"/>
      </c:scatterChart>
      <c:valAx>
        <c:axId val="198381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3433136"/>
        <c:crosses val="autoZero"/>
        <c:crossBetween val="midCat"/>
      </c:valAx>
      <c:valAx>
        <c:axId val="1983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381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w_0 Vs. Tau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'Càlcul de la C'!$C$14</c:f>
              <c:strCache>
                <c:ptCount val="1"/>
                <c:pt idx="0">
                  <c:v>w_0 (rev/min)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'Càlcul de la C'!$B$15:$B$23</c:f>
              <c:numCache>
                <c:formatCode>General</c:formatCode>
                <c:ptCount val="9"/>
              </c:numCache>
            </c:numRef>
          </c:xVal>
          <c:yVal>
            <c:numRef>
              <c:f>'Càlcul de la C'!$C$15:$C$23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2-134D-9337-B98BA7580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817248"/>
        <c:axId val="1983433136"/>
      </c:scatterChart>
      <c:valAx>
        <c:axId val="198381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3433136"/>
        <c:crosses val="autoZero"/>
        <c:crossBetween val="midCat"/>
      </c:valAx>
      <c:valAx>
        <c:axId val="1983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381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w_0 Vs. Tau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'Càlcul de la C'!$C$14</c:f>
              <c:strCache>
                <c:ptCount val="1"/>
                <c:pt idx="0">
                  <c:v>w_0 (rev/min)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'Càlcul de la C'!$B$15:$B$23</c:f>
              <c:numCache>
                <c:formatCode>General</c:formatCode>
                <c:ptCount val="9"/>
              </c:numCache>
            </c:numRef>
          </c:xVal>
          <c:yVal>
            <c:numRef>
              <c:f>'Càlcul de la C'!$C$15:$C$23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6-6543-B2EF-CAB53BDC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817248"/>
        <c:axId val="1983433136"/>
      </c:scatterChart>
      <c:valAx>
        <c:axId val="198381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3433136"/>
        <c:crosses val="autoZero"/>
        <c:crossBetween val="midCat"/>
      </c:valAx>
      <c:valAx>
        <c:axId val="1983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98381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444500</xdr:colOff>
      <xdr:row>37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3F5EF5-87F8-E38B-5245-EE37CB21F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5</xdr:col>
      <xdr:colOff>444500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23595-A296-D74E-B71B-5C76C71DB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25</xdr:row>
      <xdr:rowOff>0</xdr:rowOff>
    </xdr:from>
    <xdr:to>
      <xdr:col>19</xdr:col>
      <xdr:colOff>444500</xdr:colOff>
      <xdr:row>38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BD3A2-818A-0746-8C41-7D0209205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8AAF-5B36-764A-9A0A-E66390390175}">
  <dimension ref="A2:T46"/>
  <sheetViews>
    <sheetView topLeftCell="A4" workbookViewId="0">
      <selection activeCell="M27" sqref="M27"/>
    </sheetView>
  </sheetViews>
  <sheetFormatPr baseColWidth="10" defaultRowHeight="16" x14ac:dyDescent="0.2"/>
  <sheetData>
    <row r="2" spans="2:20" ht="17" thickBot="1" x14ac:dyDescent="0.25"/>
    <row r="3" spans="2:20" ht="17" thickBot="1" x14ac:dyDescent="0.25">
      <c r="B3" s="3" t="s">
        <v>0</v>
      </c>
      <c r="D3" s="6" t="s">
        <v>7</v>
      </c>
      <c r="E3" s="7"/>
      <c r="H3" s="1" t="s">
        <v>9</v>
      </c>
    </row>
    <row r="4" spans="2:20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x14ac:dyDescent="0.2">
      <c r="F5" s="1"/>
      <c r="G5" s="1"/>
      <c r="H5" s="1" t="s">
        <v>14</v>
      </c>
      <c r="I5" s="1" t="s">
        <v>4</v>
      </c>
      <c r="J5" s="1" t="s">
        <v>5</v>
      </c>
      <c r="K5" s="1" t="s">
        <v>6</v>
      </c>
      <c r="L5" s="1" t="s">
        <v>11</v>
      </c>
      <c r="M5" s="1"/>
      <c r="N5" s="1"/>
      <c r="O5" s="1"/>
      <c r="P5" s="1"/>
      <c r="Q5" s="1"/>
      <c r="R5" s="1"/>
      <c r="S5" s="1"/>
      <c r="T5" s="1"/>
    </row>
    <row r="6" spans="2:20" x14ac:dyDescent="0.2">
      <c r="B6" s="4" t="s">
        <v>12</v>
      </c>
      <c r="C6" s="4" t="s">
        <v>13</v>
      </c>
      <c r="D6" s="4" t="s">
        <v>17</v>
      </c>
      <c r="E6" s="1"/>
      <c r="F6" s="4" t="s">
        <v>10</v>
      </c>
      <c r="G6" s="1"/>
      <c r="H6" s="1" t="s">
        <v>15</v>
      </c>
      <c r="I6" s="1"/>
      <c r="J6" s="1"/>
      <c r="K6" s="1" t="s">
        <v>16</v>
      </c>
      <c r="L6" s="1" t="s">
        <v>15</v>
      </c>
      <c r="M6" s="1"/>
      <c r="N6" s="1"/>
      <c r="O6" s="1"/>
      <c r="P6" s="1"/>
      <c r="Q6" s="1"/>
      <c r="R6" s="1"/>
      <c r="S6" s="1"/>
      <c r="T6" s="1"/>
    </row>
    <row r="7" spans="2:20" x14ac:dyDescent="0.2">
      <c r="B7" s="4"/>
      <c r="C7" s="4"/>
      <c r="D7" s="4"/>
      <c r="E7" s="1"/>
      <c r="F7" s="4" t="e">
        <f>4*PI()*D7*C7^2*B7^2/(C7^2-B7^2)</f>
        <v>#DIV/0!</v>
      </c>
      <c r="G7" s="1"/>
      <c r="H7" s="1"/>
      <c r="I7" s="1"/>
      <c r="J7" s="1"/>
      <c r="K7" s="1"/>
      <c r="L7" s="1"/>
      <c r="M7" s="1"/>
      <c r="N7" s="1"/>
      <c r="O7" s="1"/>
      <c r="P7" s="9" t="s">
        <v>36</v>
      </c>
      <c r="Q7" s="9" t="s">
        <v>42</v>
      </c>
      <c r="R7" s="1"/>
      <c r="S7" s="1"/>
      <c r="T7" s="1"/>
    </row>
    <row r="8" spans="2:20" x14ac:dyDescent="0.2">
      <c r="J8" s="1"/>
      <c r="K8" s="1"/>
      <c r="L8" s="1"/>
      <c r="M8" s="1"/>
      <c r="N8" s="1"/>
      <c r="O8" s="1"/>
      <c r="P8" s="9">
        <v>0.3</v>
      </c>
      <c r="Q8" s="9">
        <v>200</v>
      </c>
      <c r="R8" s="1"/>
      <c r="S8" s="1"/>
      <c r="T8" s="1"/>
    </row>
    <row r="9" spans="2:20" x14ac:dyDescent="0.2">
      <c r="J9" s="1"/>
      <c r="K9" s="1"/>
      <c r="L9" s="1"/>
      <c r="M9" s="1"/>
      <c r="N9" s="1"/>
      <c r="O9" s="1"/>
      <c r="P9" s="9">
        <v>0.6</v>
      </c>
      <c r="Q9" s="9">
        <v>100</v>
      </c>
      <c r="R9" s="1"/>
      <c r="S9" s="1"/>
      <c r="T9" s="1"/>
    </row>
    <row r="10" spans="2:20" x14ac:dyDescent="0.2">
      <c r="J10" s="1"/>
      <c r="K10" s="1"/>
      <c r="L10" s="1"/>
      <c r="M10" s="1"/>
      <c r="N10" s="1"/>
      <c r="O10" s="1"/>
      <c r="P10" s="9">
        <v>1.5</v>
      </c>
      <c r="Q10" s="9">
        <v>40</v>
      </c>
      <c r="R10" s="1"/>
      <c r="S10" s="1"/>
      <c r="T10" s="1"/>
    </row>
    <row r="11" spans="2:20" x14ac:dyDescent="0.2">
      <c r="J11" s="1"/>
      <c r="K11" s="1"/>
      <c r="L11" s="1"/>
      <c r="M11" s="1"/>
      <c r="N11" s="1"/>
      <c r="O11" s="1"/>
      <c r="P11" s="9">
        <v>3</v>
      </c>
      <c r="Q11" s="9">
        <v>20</v>
      </c>
      <c r="R11" s="1"/>
      <c r="S11" s="1"/>
      <c r="T11" s="1"/>
    </row>
    <row r="12" spans="2:20" x14ac:dyDescent="0.2">
      <c r="B12" s="1" t="s">
        <v>1</v>
      </c>
      <c r="C12" s="2" t="s">
        <v>3</v>
      </c>
      <c r="D12" s="1"/>
      <c r="H12" t="s">
        <v>26</v>
      </c>
      <c r="J12" s="1" t="s">
        <v>2</v>
      </c>
      <c r="K12" s="1"/>
      <c r="L12" s="1"/>
      <c r="M12" s="1"/>
      <c r="N12" s="1"/>
      <c r="O12" s="1"/>
      <c r="P12" s="9">
        <v>6</v>
      </c>
      <c r="Q12" s="9">
        <v>10</v>
      </c>
      <c r="R12" s="1"/>
      <c r="S12" s="1"/>
      <c r="T12" s="1"/>
    </row>
    <row r="13" spans="2:20" x14ac:dyDescent="0.2">
      <c r="D13" s="1"/>
      <c r="E13" t="s">
        <v>27</v>
      </c>
      <c r="F13" t="s">
        <v>38</v>
      </c>
      <c r="K13" s="1"/>
      <c r="L13" s="1"/>
      <c r="M13" s="1"/>
      <c r="N13" s="1"/>
      <c r="O13" s="1"/>
      <c r="P13" s="9">
        <v>12</v>
      </c>
      <c r="Q13" s="9">
        <v>5</v>
      </c>
      <c r="R13" s="1"/>
      <c r="S13" s="1"/>
      <c r="T13" s="1"/>
    </row>
    <row r="14" spans="2:20" x14ac:dyDescent="0.2">
      <c r="B14" s="4" t="s">
        <v>4</v>
      </c>
      <c r="C14" s="4" t="s">
        <v>37</v>
      </c>
      <c r="D14" s="1"/>
      <c r="E14" s="4" t="s">
        <v>6</v>
      </c>
      <c r="F14" s="8" t="s">
        <v>35</v>
      </c>
      <c r="I14" s="4" t="s">
        <v>10</v>
      </c>
      <c r="J14" s="4" t="s">
        <v>6</v>
      </c>
      <c r="K14" s="2" t="s">
        <v>8</v>
      </c>
      <c r="L14" s="1"/>
      <c r="M14" s="1"/>
      <c r="N14" s="1"/>
      <c r="O14" s="1"/>
      <c r="P14" s="9">
        <v>30</v>
      </c>
      <c r="Q14" s="9">
        <v>2</v>
      </c>
      <c r="R14" s="1"/>
      <c r="S14" s="1"/>
      <c r="T14" s="1"/>
    </row>
    <row r="15" spans="2:20" x14ac:dyDescent="0.2">
      <c r="B15" s="4"/>
      <c r="C15" s="4"/>
      <c r="D15" s="1"/>
      <c r="E15" s="4"/>
      <c r="F15" s="1"/>
      <c r="I15" s="4"/>
      <c r="J15" s="4" t="e">
        <f>B42/$F$7</f>
        <v>#VALUE!</v>
      </c>
      <c r="K15" s="1"/>
      <c r="L15" s="1"/>
      <c r="M15" s="1"/>
      <c r="N15" s="1"/>
      <c r="O15" s="1"/>
      <c r="P15" s="9">
        <v>60</v>
      </c>
      <c r="Q15" s="9">
        <v>1</v>
      </c>
      <c r="R15" s="1"/>
      <c r="S15" s="1"/>
      <c r="T15" s="1"/>
    </row>
    <row r="16" spans="2:20" x14ac:dyDescent="0.2">
      <c r="B16" s="4"/>
      <c r="C16" s="4"/>
      <c r="D16" s="1"/>
      <c r="E16" s="4"/>
      <c r="F16" s="1"/>
      <c r="I16" s="4"/>
      <c r="J16" s="4" t="e">
        <f>B43/$F$7</f>
        <v>#DIV/0!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x14ac:dyDescent="0.2">
      <c r="B17" s="4"/>
      <c r="C17" s="4"/>
      <c r="D17" s="1"/>
      <c r="E17" s="4"/>
      <c r="F17" s="1">
        <v>1</v>
      </c>
      <c r="I17" s="4"/>
      <c r="J17" s="4" t="e">
        <f t="shared" ref="J15:J23" si="0">B44/$F$7</f>
        <v>#DIV/0!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x14ac:dyDescent="0.2">
      <c r="B18" s="4"/>
      <c r="C18" s="4"/>
      <c r="D18" s="1"/>
      <c r="E18" s="4"/>
      <c r="F18" s="1">
        <v>3</v>
      </c>
      <c r="I18" s="4"/>
      <c r="J18" s="4" t="e">
        <f t="shared" si="0"/>
        <v>#DIV/0!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x14ac:dyDescent="0.2">
      <c r="B19" s="4"/>
      <c r="C19" s="4"/>
      <c r="D19" s="1"/>
      <c r="E19" s="4"/>
      <c r="F19" s="1">
        <v>6</v>
      </c>
      <c r="I19" s="4"/>
      <c r="J19" s="4" t="e">
        <f t="shared" si="0"/>
        <v>#DIV/0!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">
      <c r="B20" s="4"/>
      <c r="C20" s="4"/>
      <c r="D20" s="1"/>
      <c r="E20" s="4"/>
      <c r="F20" s="1"/>
      <c r="I20" s="4"/>
      <c r="J20" s="4" t="e">
        <f t="shared" si="0"/>
        <v>#DIV/0!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">
      <c r="B21" s="4"/>
      <c r="C21" s="4"/>
      <c r="D21" s="1"/>
      <c r="E21" s="4"/>
      <c r="F21" s="1"/>
      <c r="I21" s="4"/>
      <c r="J21" s="4" t="e">
        <f t="shared" si="0"/>
        <v>#DIV/0!</v>
      </c>
      <c r="K21" s="1"/>
      <c r="L21" s="1"/>
      <c r="M21" s="1"/>
      <c r="N21" s="1"/>
      <c r="O21" s="1" t="s">
        <v>43</v>
      </c>
      <c r="P21" s="1"/>
      <c r="Q21" s="1"/>
      <c r="R21" s="1"/>
      <c r="S21" s="1"/>
      <c r="T21" s="1"/>
    </row>
    <row r="22" spans="2:20" x14ac:dyDescent="0.2">
      <c r="B22" s="4"/>
      <c r="C22" s="4"/>
      <c r="D22" s="1"/>
      <c r="E22" s="4"/>
      <c r="F22" s="1"/>
      <c r="I22" s="4"/>
      <c r="J22" s="4" t="e">
        <f t="shared" si="0"/>
        <v>#DIV/0!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x14ac:dyDescent="0.2">
      <c r="B23" s="4"/>
      <c r="C23" s="4"/>
      <c r="D23" s="1"/>
      <c r="E23" s="4"/>
      <c r="F23" s="1"/>
      <c r="I23" s="4"/>
      <c r="J23" s="4" t="e">
        <f t="shared" si="0"/>
        <v>#DIV/0!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2">
      <c r="B24" s="1"/>
      <c r="C24" s="1"/>
      <c r="D24" s="1"/>
      <c r="E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2">
      <c r="B26" s="1"/>
      <c r="C26" s="1"/>
      <c r="D26" s="1"/>
      <c r="E26" s="1"/>
      <c r="F26" s="1"/>
      <c r="G26" s="1"/>
      <c r="I26" s="1"/>
      <c r="J26" s="1"/>
      <c r="K26" s="1" t="s">
        <v>41</v>
      </c>
      <c r="L26" s="1"/>
      <c r="M26" s="1" t="s">
        <v>46</v>
      </c>
      <c r="N26" s="1"/>
      <c r="O26" s="1"/>
      <c r="P26" s="1"/>
      <c r="Q26" s="1"/>
      <c r="R26" s="1"/>
      <c r="S26" s="1"/>
      <c r="T26" s="1"/>
    </row>
    <row r="27" spans="2:20" x14ac:dyDescent="0.2">
      <c r="B27" s="1"/>
      <c r="C27" s="1"/>
      <c r="D27" s="1"/>
      <c r="E27" s="1"/>
      <c r="F27" s="1"/>
      <c r="G27" s="1"/>
      <c r="I27" s="1"/>
      <c r="J27" s="1"/>
      <c r="K27" s="1">
        <v>0.5</v>
      </c>
      <c r="L27" s="1"/>
      <c r="M27" s="1"/>
      <c r="N27" s="1"/>
      <c r="O27" s="1"/>
      <c r="P27" s="1"/>
      <c r="Q27" s="1"/>
      <c r="R27" s="1"/>
      <c r="S27" s="1"/>
      <c r="T27" s="1"/>
    </row>
    <row r="28" spans="2:20" x14ac:dyDescent="0.2">
      <c r="B28" s="1"/>
      <c r="C28" s="1"/>
      <c r="D28" s="1"/>
      <c r="E28" s="1"/>
      <c r="F28" s="1"/>
      <c r="G28" s="1"/>
      <c r="H28" s="1"/>
      <c r="I28" s="1"/>
      <c r="J28" s="10" t="s">
        <v>40</v>
      </c>
      <c r="K28" s="10" t="s">
        <v>39</v>
      </c>
      <c r="L28" s="1"/>
      <c r="M28" s="11" t="s">
        <v>6</v>
      </c>
      <c r="N28" s="1"/>
      <c r="O28" s="1"/>
      <c r="P28" s="1"/>
      <c r="Q28" s="1"/>
      <c r="R28" s="1"/>
      <c r="S28" s="1"/>
      <c r="T28" s="1"/>
    </row>
    <row r="29" spans="2:20" x14ac:dyDescent="0.2">
      <c r="B29" s="1"/>
      <c r="C29" s="1"/>
      <c r="D29" s="1"/>
      <c r="E29" s="1"/>
      <c r="F29" s="1"/>
      <c r="G29" s="1"/>
      <c r="H29" s="1"/>
      <c r="I29" s="1"/>
      <c r="J29" s="10">
        <v>0.3</v>
      </c>
      <c r="K29" s="10">
        <v>0</v>
      </c>
      <c r="L29" s="1"/>
      <c r="M29" s="11">
        <f>K29*Q8</f>
        <v>0</v>
      </c>
      <c r="N29" s="1"/>
      <c r="O29" s="1"/>
      <c r="P29" s="1"/>
      <c r="Q29" s="1"/>
      <c r="R29" s="1"/>
      <c r="S29" s="1"/>
      <c r="T29" s="1"/>
    </row>
    <row r="30" spans="2:20" x14ac:dyDescent="0.2">
      <c r="B30" s="1"/>
      <c r="C30" s="1"/>
      <c r="D30" s="1"/>
      <c r="E30" s="1"/>
      <c r="F30" s="1"/>
      <c r="G30" s="1"/>
      <c r="H30" s="1"/>
      <c r="I30" s="1"/>
      <c r="J30" s="10">
        <v>0.6</v>
      </c>
      <c r="K30" s="10">
        <v>0</v>
      </c>
      <c r="L30" s="1"/>
      <c r="M30" s="11">
        <f t="shared" ref="M30:M36" si="1">K30*Q9</f>
        <v>0</v>
      </c>
      <c r="N30" s="1"/>
      <c r="O30" s="1"/>
      <c r="P30" s="1"/>
      <c r="Q30" s="1"/>
      <c r="R30" s="1"/>
      <c r="S30" s="1"/>
      <c r="T30" s="1"/>
    </row>
    <row r="31" spans="2:20" x14ac:dyDescent="0.2">
      <c r="B31" s="1"/>
      <c r="C31" s="1"/>
      <c r="D31" s="1"/>
      <c r="E31" s="1"/>
      <c r="F31" s="1"/>
      <c r="G31" s="1"/>
      <c r="H31" s="1"/>
      <c r="I31" s="1"/>
      <c r="J31" s="10">
        <v>1.5</v>
      </c>
      <c r="K31" s="10">
        <v>1</v>
      </c>
      <c r="L31" s="1"/>
      <c r="M31" s="11">
        <f t="shared" si="1"/>
        <v>40</v>
      </c>
      <c r="N31" s="1"/>
      <c r="O31" s="1"/>
      <c r="P31" s="1"/>
      <c r="Q31" s="1"/>
      <c r="R31" s="1"/>
      <c r="S31" s="1"/>
      <c r="T31" s="1"/>
    </row>
    <row r="32" spans="2:20" x14ac:dyDescent="0.2">
      <c r="B32" s="1"/>
      <c r="C32" s="1"/>
      <c r="D32" s="1"/>
      <c r="E32" s="1"/>
      <c r="F32" s="1"/>
      <c r="G32" s="1"/>
      <c r="H32" s="1"/>
      <c r="I32" s="1"/>
      <c r="J32" s="10">
        <v>3</v>
      </c>
      <c r="K32" s="10">
        <v>3</v>
      </c>
      <c r="L32" s="1"/>
      <c r="M32" s="11">
        <f t="shared" si="1"/>
        <v>60</v>
      </c>
      <c r="N32" s="1"/>
      <c r="O32" s="1"/>
      <c r="P32" s="1"/>
      <c r="Q32" s="1"/>
      <c r="R32" s="1"/>
      <c r="S32" s="1"/>
      <c r="T32" s="1"/>
    </row>
    <row r="33" spans="1:20" x14ac:dyDescent="0.2">
      <c r="B33" s="1"/>
      <c r="C33" s="1"/>
      <c r="D33" s="1"/>
      <c r="E33" s="1"/>
      <c r="F33" s="1"/>
      <c r="G33" s="1"/>
      <c r="H33" s="1"/>
      <c r="I33" s="1"/>
      <c r="J33" s="10">
        <v>6</v>
      </c>
      <c r="K33" s="10">
        <v>6</v>
      </c>
      <c r="L33" s="1"/>
      <c r="M33" s="11">
        <f t="shared" si="1"/>
        <v>60</v>
      </c>
      <c r="N33" s="1"/>
      <c r="O33" s="1"/>
      <c r="P33" s="1"/>
      <c r="Q33" s="1"/>
      <c r="R33" s="1"/>
      <c r="S33" s="1"/>
      <c r="T33" s="1"/>
    </row>
    <row r="34" spans="1:20" x14ac:dyDescent="0.2">
      <c r="J34" s="10">
        <v>12</v>
      </c>
      <c r="K34" s="10">
        <v>12.5</v>
      </c>
      <c r="M34" s="11">
        <f t="shared" si="1"/>
        <v>62.5</v>
      </c>
    </row>
    <row r="35" spans="1:20" x14ac:dyDescent="0.2">
      <c r="J35" s="10">
        <v>30</v>
      </c>
      <c r="K35" s="10">
        <v>32</v>
      </c>
      <c r="M35" s="11">
        <f t="shared" si="1"/>
        <v>64</v>
      </c>
    </row>
    <row r="36" spans="1:20" x14ac:dyDescent="0.2">
      <c r="J36" s="10">
        <v>60</v>
      </c>
      <c r="K36" s="10">
        <v>65.5</v>
      </c>
      <c r="M36" s="11">
        <f t="shared" si="1"/>
        <v>65.5</v>
      </c>
    </row>
    <row r="39" spans="1:20" x14ac:dyDescent="0.2">
      <c r="B39" t="s">
        <v>18</v>
      </c>
      <c r="C39" t="s">
        <v>22</v>
      </c>
    </row>
    <row r="42" spans="1:20" x14ac:dyDescent="0.2">
      <c r="A42" s="1" t="s">
        <v>20</v>
      </c>
      <c r="B42" s="1" t="e" cm="1">
        <f t="array" ref="B42">LINEST(B15:B23,C15:C23,1,1)</f>
        <v>#VALUE!</v>
      </c>
      <c r="C42" s="1"/>
      <c r="D42" s="1" t="s">
        <v>19</v>
      </c>
    </row>
    <row r="43" spans="1:20" x14ac:dyDescent="0.2">
      <c r="A43" s="1" t="s">
        <v>24</v>
      </c>
      <c r="B43" s="1"/>
      <c r="C43" s="1"/>
      <c r="D43" s="1" t="s">
        <v>25</v>
      </c>
    </row>
    <row r="44" spans="1:20" x14ac:dyDescent="0.2">
      <c r="A44" s="1" t="s">
        <v>23</v>
      </c>
      <c r="B44" s="1"/>
      <c r="C44" s="5"/>
      <c r="D44" s="1"/>
    </row>
    <row r="45" spans="1:20" x14ac:dyDescent="0.2">
      <c r="A45" s="1"/>
      <c r="B45" s="5"/>
      <c r="C45" s="5"/>
      <c r="D45" s="1"/>
    </row>
    <row r="46" spans="1:20" x14ac:dyDescent="0.2">
      <c r="A46" s="1"/>
      <c r="B46" s="5"/>
      <c r="C46" s="5"/>
      <c r="D46" s="1"/>
    </row>
  </sheetData>
  <mergeCells count="1">
    <mergeCell ref="D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B1A5-08C2-9045-8446-A754A6100003}">
  <dimension ref="B2:O28"/>
  <sheetViews>
    <sheetView tabSelected="1" topLeftCell="A4" zoomScale="125" workbookViewId="0">
      <selection activeCell="J19" sqref="J19"/>
    </sheetView>
  </sheetViews>
  <sheetFormatPr baseColWidth="10" defaultRowHeight="16" x14ac:dyDescent="0.2"/>
  <sheetData>
    <row r="2" spans="2:15" ht="17" thickBot="1" x14ac:dyDescent="0.25">
      <c r="G2" s="1" t="s">
        <v>9</v>
      </c>
      <c r="N2" s="9" t="s">
        <v>36</v>
      </c>
      <c r="O2" s="9" t="s">
        <v>42</v>
      </c>
    </row>
    <row r="3" spans="2:15" ht="17" thickBot="1" x14ac:dyDescent="0.25">
      <c r="B3" s="3" t="s">
        <v>0</v>
      </c>
      <c r="G3" s="1"/>
      <c r="H3" s="1"/>
      <c r="I3" s="1"/>
      <c r="J3" s="1"/>
      <c r="K3" s="1"/>
      <c r="N3" s="9">
        <v>0.3</v>
      </c>
      <c r="O3" s="9">
        <v>200</v>
      </c>
    </row>
    <row r="4" spans="2:15" x14ac:dyDescent="0.2">
      <c r="G4" s="1" t="s">
        <v>32</v>
      </c>
      <c r="H4" s="1" t="s">
        <v>4</v>
      </c>
      <c r="I4" s="1" t="s">
        <v>5</v>
      </c>
      <c r="J4" s="1" t="s">
        <v>6</v>
      </c>
      <c r="K4" s="1" t="s">
        <v>11</v>
      </c>
      <c r="L4" s="1"/>
      <c r="N4" s="9">
        <v>0.6</v>
      </c>
      <c r="O4" s="9">
        <v>100</v>
      </c>
    </row>
    <row r="5" spans="2:15" x14ac:dyDescent="0.2">
      <c r="G5" s="1" t="s">
        <v>34</v>
      </c>
      <c r="H5" s="1"/>
      <c r="I5" s="1"/>
      <c r="J5" s="1" t="s">
        <v>16</v>
      </c>
      <c r="K5" s="1" t="s">
        <v>15</v>
      </c>
      <c r="N5" s="9">
        <v>1.5</v>
      </c>
      <c r="O5" s="9">
        <v>40</v>
      </c>
    </row>
    <row r="6" spans="2:15" x14ac:dyDescent="0.2">
      <c r="N6" s="9">
        <v>3</v>
      </c>
      <c r="O6" s="9">
        <v>20</v>
      </c>
    </row>
    <row r="7" spans="2:15" x14ac:dyDescent="0.2">
      <c r="F7" t="s">
        <v>48</v>
      </c>
      <c r="N7" s="9">
        <v>6</v>
      </c>
      <c r="O7" s="9">
        <v>10</v>
      </c>
    </row>
    <row r="8" spans="2:15" x14ac:dyDescent="0.2">
      <c r="N8" s="11">
        <v>12</v>
      </c>
      <c r="O8" s="11">
        <v>5</v>
      </c>
    </row>
    <row r="9" spans="2:15" x14ac:dyDescent="0.2">
      <c r="N9" s="9">
        <v>30</v>
      </c>
      <c r="O9" s="9">
        <v>2</v>
      </c>
    </row>
    <row r="10" spans="2:15" x14ac:dyDescent="0.2">
      <c r="F10">
        <v>0.2</v>
      </c>
      <c r="G10">
        <v>0.05</v>
      </c>
      <c r="H10" t="s">
        <v>45</v>
      </c>
      <c r="N10" s="9">
        <v>60</v>
      </c>
      <c r="O10" s="9">
        <v>1</v>
      </c>
    </row>
    <row r="11" spans="2:15" x14ac:dyDescent="0.2">
      <c r="C11" s="4" t="s">
        <v>33</v>
      </c>
      <c r="D11" s="4" t="s">
        <v>44</v>
      </c>
      <c r="F11" s="12" t="s">
        <v>44</v>
      </c>
      <c r="G11" s="12" t="s">
        <v>39</v>
      </c>
      <c r="H11" s="12" t="s">
        <v>6</v>
      </c>
    </row>
    <row r="12" spans="2:15" x14ac:dyDescent="0.2">
      <c r="C12" s="4">
        <v>290</v>
      </c>
      <c r="D12" s="4">
        <f>C12-273.15</f>
        <v>16.850000000000023</v>
      </c>
      <c r="E12" t="s">
        <v>47</v>
      </c>
      <c r="F12" s="12">
        <v>29.8</v>
      </c>
      <c r="G12" s="12">
        <v>12</v>
      </c>
      <c r="H12" s="12">
        <f>G12*5</f>
        <v>60</v>
      </c>
    </row>
    <row r="13" spans="2:15" x14ac:dyDescent="0.2">
      <c r="C13" s="4">
        <v>295</v>
      </c>
      <c r="D13" s="4">
        <f t="shared" ref="D13:D22" si="0">C13-273.15</f>
        <v>21.850000000000023</v>
      </c>
      <c r="F13" s="12">
        <v>32.5</v>
      </c>
      <c r="G13" s="12">
        <v>9.5</v>
      </c>
      <c r="H13" s="12">
        <f t="shared" ref="H13:H28" si="1">G13*5</f>
        <v>47.5</v>
      </c>
    </row>
    <row r="14" spans="2:15" x14ac:dyDescent="0.2">
      <c r="C14" s="4">
        <v>300</v>
      </c>
      <c r="D14" s="4">
        <f t="shared" si="0"/>
        <v>26.850000000000023</v>
      </c>
      <c r="F14" s="12">
        <v>34.299999999999997</v>
      </c>
      <c r="G14" s="12">
        <v>8</v>
      </c>
      <c r="H14" s="12">
        <f t="shared" si="1"/>
        <v>40</v>
      </c>
    </row>
    <row r="15" spans="2:15" x14ac:dyDescent="0.2">
      <c r="C15" s="4">
        <v>305</v>
      </c>
      <c r="D15" s="4">
        <f t="shared" si="0"/>
        <v>31.850000000000023</v>
      </c>
      <c r="F15" s="12">
        <v>37.299999999999997</v>
      </c>
      <c r="G15" s="12">
        <v>6.5</v>
      </c>
      <c r="H15" s="12">
        <f t="shared" si="1"/>
        <v>32.5</v>
      </c>
    </row>
    <row r="16" spans="2:15" x14ac:dyDescent="0.2">
      <c r="C16" s="4">
        <v>310</v>
      </c>
      <c r="D16" s="4">
        <f t="shared" si="0"/>
        <v>36.850000000000023</v>
      </c>
      <c r="F16" s="12">
        <v>39.799999999999997</v>
      </c>
      <c r="G16" s="12">
        <v>5</v>
      </c>
      <c r="H16" s="12">
        <f t="shared" si="1"/>
        <v>25</v>
      </c>
      <c r="J16" t="s">
        <v>49</v>
      </c>
    </row>
    <row r="17" spans="3:10" x14ac:dyDescent="0.2">
      <c r="C17" s="4">
        <v>315</v>
      </c>
      <c r="D17" s="4">
        <f t="shared" si="0"/>
        <v>41.850000000000023</v>
      </c>
      <c r="F17" s="12">
        <v>42.1</v>
      </c>
      <c r="G17" s="12">
        <v>3.5</v>
      </c>
      <c r="H17" s="12">
        <f t="shared" si="1"/>
        <v>17.5</v>
      </c>
    </row>
    <row r="18" spans="3:10" x14ac:dyDescent="0.2">
      <c r="C18" s="4">
        <v>320</v>
      </c>
      <c r="D18" s="4">
        <f t="shared" si="0"/>
        <v>46.850000000000023</v>
      </c>
      <c r="F18" s="12">
        <v>44.4</v>
      </c>
      <c r="G18" s="12">
        <v>3</v>
      </c>
      <c r="H18" s="12">
        <f t="shared" si="1"/>
        <v>15</v>
      </c>
      <c r="J18" t="s">
        <v>50</v>
      </c>
    </row>
    <row r="19" spans="3:10" x14ac:dyDescent="0.2">
      <c r="C19" s="4">
        <v>325</v>
      </c>
      <c r="D19" s="4">
        <f t="shared" si="0"/>
        <v>51.850000000000023</v>
      </c>
      <c r="F19" s="12">
        <v>47.9</v>
      </c>
      <c r="G19" s="12">
        <v>2</v>
      </c>
      <c r="H19" s="12">
        <f t="shared" si="1"/>
        <v>10</v>
      </c>
    </row>
    <row r="20" spans="3:10" x14ac:dyDescent="0.2">
      <c r="C20" s="4">
        <v>330</v>
      </c>
      <c r="D20" s="4">
        <f t="shared" si="0"/>
        <v>56.850000000000023</v>
      </c>
      <c r="F20" s="12"/>
      <c r="G20" s="12"/>
      <c r="H20" s="12">
        <f t="shared" si="1"/>
        <v>0</v>
      </c>
    </row>
    <row r="21" spans="3:10" x14ac:dyDescent="0.2">
      <c r="C21" s="4">
        <v>335</v>
      </c>
      <c r="D21" s="4">
        <f t="shared" si="0"/>
        <v>61.850000000000023</v>
      </c>
      <c r="F21" s="12"/>
      <c r="G21" s="12"/>
      <c r="H21" s="12">
        <f t="shared" si="1"/>
        <v>0</v>
      </c>
    </row>
    <row r="22" spans="3:10" x14ac:dyDescent="0.2">
      <c r="C22" s="4">
        <v>340</v>
      </c>
      <c r="D22" s="4">
        <f t="shared" si="0"/>
        <v>66.850000000000023</v>
      </c>
      <c r="F22" s="12"/>
      <c r="G22" s="12"/>
      <c r="H22" s="12">
        <f t="shared" si="1"/>
        <v>0</v>
      </c>
    </row>
    <row r="23" spans="3:10" x14ac:dyDescent="0.2">
      <c r="H23" s="12">
        <f t="shared" si="1"/>
        <v>0</v>
      </c>
    </row>
    <row r="24" spans="3:10" x14ac:dyDescent="0.2">
      <c r="H24" s="12">
        <f t="shared" si="1"/>
        <v>0</v>
      </c>
    </row>
    <row r="25" spans="3:10" x14ac:dyDescent="0.2">
      <c r="H25" s="12">
        <f t="shared" si="1"/>
        <v>0</v>
      </c>
    </row>
    <row r="26" spans="3:10" x14ac:dyDescent="0.2">
      <c r="H26" s="12">
        <f t="shared" si="1"/>
        <v>0</v>
      </c>
    </row>
    <row r="27" spans="3:10" x14ac:dyDescent="0.2">
      <c r="H27" s="12">
        <f t="shared" si="1"/>
        <v>0</v>
      </c>
    </row>
    <row r="28" spans="3:10" x14ac:dyDescent="0.2">
      <c r="H28" s="12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82BB-12BE-9C4B-BC2A-E66EF4316AF7}">
  <dimension ref="A3:Z46"/>
  <sheetViews>
    <sheetView topLeftCell="A4" workbookViewId="0">
      <selection activeCell="Q11" sqref="Q11"/>
    </sheetView>
  </sheetViews>
  <sheetFormatPr baseColWidth="10" defaultRowHeight="16" x14ac:dyDescent="0.2"/>
  <sheetData>
    <row r="3" spans="2:26" x14ac:dyDescent="0.2">
      <c r="B3" t="s">
        <v>28</v>
      </c>
      <c r="D3" t="s">
        <v>29</v>
      </c>
    </row>
    <row r="6" spans="2:26" x14ac:dyDescent="0.2">
      <c r="F6" s="1"/>
      <c r="G6" s="1"/>
      <c r="H6" s="1" t="s">
        <v>14</v>
      </c>
      <c r="I6" s="1" t="s">
        <v>4</v>
      </c>
      <c r="J6" s="1" t="s">
        <v>5</v>
      </c>
      <c r="K6" s="1" t="s">
        <v>6</v>
      </c>
      <c r="L6" s="1" t="s">
        <v>11</v>
      </c>
      <c r="T6" s="1"/>
      <c r="U6" s="1"/>
      <c r="V6" s="1"/>
      <c r="W6" s="1"/>
      <c r="X6" s="1"/>
      <c r="Y6" s="1"/>
      <c r="Z6" s="1"/>
    </row>
    <row r="7" spans="2:26" x14ac:dyDescent="0.2">
      <c r="B7" s="4" t="s">
        <v>12</v>
      </c>
      <c r="C7" s="4" t="s">
        <v>13</v>
      </c>
      <c r="D7" s="4" t="s">
        <v>17</v>
      </c>
      <c r="E7" s="1"/>
      <c r="F7" s="4" t="s">
        <v>10</v>
      </c>
      <c r="G7" s="1"/>
      <c r="H7" s="1" t="s">
        <v>15</v>
      </c>
      <c r="I7" s="1"/>
      <c r="J7" s="1"/>
      <c r="K7" s="1" t="s">
        <v>16</v>
      </c>
      <c r="L7" s="1" t="s">
        <v>15</v>
      </c>
      <c r="P7" s="4"/>
      <c r="Q7" s="4"/>
      <c r="R7" s="4"/>
      <c r="S7" s="1"/>
      <c r="T7" s="4"/>
      <c r="U7" s="1"/>
      <c r="V7" s="1"/>
      <c r="W7" s="1"/>
      <c r="X7" s="1"/>
      <c r="Y7" s="1"/>
      <c r="Z7" s="1"/>
    </row>
    <row r="8" spans="2:26" x14ac:dyDescent="0.2">
      <c r="B8" s="4"/>
      <c r="C8" s="4"/>
      <c r="D8" s="4"/>
      <c r="E8" s="1"/>
      <c r="F8" s="4" t="e">
        <f>4*PI()*D8*C8^2*B8^2/(C8^2-B8^2)</f>
        <v>#DIV/0!</v>
      </c>
      <c r="G8" s="1"/>
      <c r="H8" s="1"/>
      <c r="I8" s="1"/>
      <c r="J8" s="1"/>
      <c r="K8" s="1"/>
      <c r="L8" s="1"/>
      <c r="P8" s="4"/>
      <c r="Q8" s="4"/>
      <c r="R8" s="4"/>
      <c r="S8" s="1"/>
      <c r="T8" s="4"/>
      <c r="U8" s="1"/>
      <c r="V8" s="1"/>
      <c r="W8" s="1"/>
      <c r="X8" s="1"/>
      <c r="Y8" s="1"/>
      <c r="Z8" s="1"/>
    </row>
    <row r="9" spans="2:26" x14ac:dyDescent="0.2">
      <c r="J9" s="1"/>
      <c r="K9" s="1"/>
      <c r="L9" s="1"/>
      <c r="X9" s="1"/>
      <c r="Y9" s="1"/>
      <c r="Z9" s="1"/>
    </row>
    <row r="10" spans="2:26" x14ac:dyDescent="0.2">
      <c r="J10" s="1"/>
      <c r="K10" s="1"/>
      <c r="L10" s="1"/>
      <c r="X10" s="1"/>
      <c r="Y10" s="1"/>
      <c r="Z10" s="1"/>
    </row>
    <row r="11" spans="2:26" x14ac:dyDescent="0.2">
      <c r="C11" s="1" t="s">
        <v>30</v>
      </c>
      <c r="J11" s="1"/>
      <c r="K11" s="1"/>
      <c r="L11" s="1"/>
      <c r="Q11" s="1" t="s">
        <v>31</v>
      </c>
      <c r="X11" s="1"/>
      <c r="Y11" s="1"/>
      <c r="Z11" s="1"/>
    </row>
    <row r="12" spans="2:26" x14ac:dyDescent="0.2">
      <c r="J12" s="1"/>
      <c r="K12" s="1"/>
      <c r="L12" s="1"/>
      <c r="X12" s="1"/>
      <c r="Y12" s="1"/>
      <c r="Z12" s="1"/>
    </row>
    <row r="13" spans="2:26" x14ac:dyDescent="0.2">
      <c r="B13" s="1" t="s">
        <v>1</v>
      </c>
      <c r="C13" s="2" t="s">
        <v>3</v>
      </c>
      <c r="D13" s="1"/>
      <c r="H13" t="s">
        <v>26</v>
      </c>
      <c r="J13" s="1" t="s">
        <v>2</v>
      </c>
      <c r="K13" s="1"/>
      <c r="L13" s="1"/>
      <c r="P13" s="1" t="s">
        <v>1</v>
      </c>
      <c r="Q13" s="2" t="s">
        <v>3</v>
      </c>
      <c r="R13" s="1"/>
      <c r="V13" t="s">
        <v>26</v>
      </c>
      <c r="X13" s="1" t="s">
        <v>2</v>
      </c>
      <c r="Y13" s="1"/>
      <c r="Z13" s="1"/>
    </row>
    <row r="14" spans="2:26" x14ac:dyDescent="0.2">
      <c r="D14" s="1"/>
      <c r="E14" t="s">
        <v>27</v>
      </c>
      <c r="K14" s="1"/>
      <c r="L14" s="1"/>
      <c r="R14" s="1"/>
      <c r="S14" t="s">
        <v>27</v>
      </c>
      <c r="Y14" s="1"/>
      <c r="Z14" s="1"/>
    </row>
    <row r="15" spans="2:26" x14ac:dyDescent="0.2">
      <c r="B15" s="4" t="s">
        <v>4</v>
      </c>
      <c r="C15" s="4" t="s">
        <v>21</v>
      </c>
      <c r="D15" s="1"/>
      <c r="E15" s="4" t="s">
        <v>6</v>
      </c>
      <c r="I15" s="4" t="s">
        <v>10</v>
      </c>
      <c r="J15" s="4" t="s">
        <v>6</v>
      </c>
      <c r="K15" s="2" t="s">
        <v>8</v>
      </c>
      <c r="L15" s="1"/>
      <c r="P15" s="4" t="s">
        <v>4</v>
      </c>
      <c r="Q15" s="4" t="s">
        <v>21</v>
      </c>
      <c r="R15" s="1"/>
      <c r="S15" s="4" t="s">
        <v>6</v>
      </c>
      <c r="W15" s="4" t="s">
        <v>10</v>
      </c>
      <c r="X15" s="4" t="s">
        <v>6</v>
      </c>
      <c r="Y15" s="2" t="s">
        <v>8</v>
      </c>
      <c r="Z15" s="1"/>
    </row>
    <row r="16" spans="2:26" x14ac:dyDescent="0.2">
      <c r="B16" s="4"/>
      <c r="C16" s="4"/>
      <c r="D16" s="1"/>
      <c r="E16" s="4"/>
      <c r="I16" s="4"/>
      <c r="J16" s="4" t="e">
        <f t="shared" ref="J16:J24" si="0">B43/$F$7</f>
        <v>#VALUE!</v>
      </c>
      <c r="K16" s="1"/>
      <c r="L16" s="1"/>
      <c r="P16" s="4"/>
      <c r="Q16" s="4"/>
      <c r="R16" s="1"/>
      <c r="S16" s="4"/>
      <c r="W16" s="4"/>
      <c r="X16" s="4" t="e">
        <f t="shared" ref="X16:X24" si="1">P43/$F$7</f>
        <v>#VALUE!</v>
      </c>
      <c r="Y16" s="1"/>
      <c r="Z16" s="1"/>
    </row>
    <row r="17" spans="2:26" x14ac:dyDescent="0.2">
      <c r="B17" s="4"/>
      <c r="C17" s="4"/>
      <c r="D17" s="1"/>
      <c r="E17" s="4"/>
      <c r="I17" s="4"/>
      <c r="J17" s="4" t="e">
        <f t="shared" si="0"/>
        <v>#VALUE!</v>
      </c>
      <c r="K17" s="1"/>
      <c r="L17" s="1"/>
      <c r="P17" s="4"/>
      <c r="Q17" s="4"/>
      <c r="R17" s="1"/>
      <c r="S17" s="4"/>
      <c r="W17" s="4"/>
      <c r="X17" s="4" t="e">
        <f t="shared" si="1"/>
        <v>#VALUE!</v>
      </c>
      <c r="Y17" s="1"/>
      <c r="Z17" s="1"/>
    </row>
    <row r="18" spans="2:26" x14ac:dyDescent="0.2">
      <c r="B18" s="4"/>
      <c r="C18" s="4"/>
      <c r="D18" s="1"/>
      <c r="E18" s="4"/>
      <c r="I18" s="4"/>
      <c r="J18" s="4" t="e">
        <f t="shared" si="0"/>
        <v>#VALUE!</v>
      </c>
      <c r="K18" s="1"/>
      <c r="L18" s="1"/>
      <c r="P18" s="4"/>
      <c r="Q18" s="4"/>
      <c r="R18" s="1"/>
      <c r="S18" s="4"/>
      <c r="W18" s="4"/>
      <c r="X18" s="4" t="e">
        <f t="shared" si="1"/>
        <v>#VALUE!</v>
      </c>
      <c r="Y18" s="1"/>
      <c r="Z18" s="1"/>
    </row>
    <row r="19" spans="2:26" x14ac:dyDescent="0.2">
      <c r="B19" s="4"/>
      <c r="C19" s="4"/>
      <c r="D19" s="1"/>
      <c r="E19" s="4"/>
      <c r="I19" s="4"/>
      <c r="J19" s="4" t="e">
        <f t="shared" si="0"/>
        <v>#VALUE!</v>
      </c>
      <c r="K19" s="1"/>
      <c r="L19" s="1"/>
      <c r="P19" s="4"/>
      <c r="Q19" s="4"/>
      <c r="R19" s="1"/>
      <c r="S19" s="4"/>
      <c r="W19" s="4"/>
      <c r="X19" s="4" t="e">
        <f t="shared" si="1"/>
        <v>#VALUE!</v>
      </c>
      <c r="Y19" s="1"/>
      <c r="Z19" s="1"/>
    </row>
    <row r="20" spans="2:26" x14ac:dyDescent="0.2">
      <c r="B20" s="4"/>
      <c r="C20" s="4"/>
      <c r="D20" s="1"/>
      <c r="E20" s="4"/>
      <c r="I20" s="4"/>
      <c r="J20" s="4" t="e">
        <f t="shared" si="0"/>
        <v>#VALUE!</v>
      </c>
      <c r="K20" s="1"/>
      <c r="L20" s="1"/>
      <c r="P20" s="4"/>
      <c r="Q20" s="4"/>
      <c r="R20" s="1"/>
      <c r="S20" s="4"/>
      <c r="W20" s="4"/>
      <c r="X20" s="4" t="e">
        <f t="shared" si="1"/>
        <v>#VALUE!</v>
      </c>
      <c r="Y20" s="1"/>
      <c r="Z20" s="1"/>
    </row>
    <row r="21" spans="2:26" x14ac:dyDescent="0.2">
      <c r="B21" s="4"/>
      <c r="C21" s="4"/>
      <c r="D21" s="1"/>
      <c r="E21" s="4"/>
      <c r="I21" s="4"/>
      <c r="J21" s="4" t="e">
        <f t="shared" si="0"/>
        <v>#VALUE!</v>
      </c>
      <c r="K21" s="1"/>
      <c r="L21" s="1"/>
      <c r="P21" s="4"/>
      <c r="Q21" s="4"/>
      <c r="R21" s="1"/>
      <c r="S21" s="4"/>
      <c r="W21" s="4"/>
      <c r="X21" s="4" t="e">
        <f t="shared" si="1"/>
        <v>#VALUE!</v>
      </c>
      <c r="Y21" s="1"/>
      <c r="Z21" s="1"/>
    </row>
    <row r="22" spans="2:26" x14ac:dyDescent="0.2">
      <c r="B22" s="4"/>
      <c r="C22" s="4"/>
      <c r="D22" s="1"/>
      <c r="E22" s="4"/>
      <c r="I22" s="4"/>
      <c r="J22" s="4" t="e">
        <f t="shared" si="0"/>
        <v>#VALUE!</v>
      </c>
      <c r="K22" s="1"/>
      <c r="L22" s="1"/>
      <c r="P22" s="4"/>
      <c r="Q22" s="4"/>
      <c r="R22" s="1"/>
      <c r="S22" s="4"/>
      <c r="W22" s="4"/>
      <c r="X22" s="4" t="e">
        <f t="shared" si="1"/>
        <v>#VALUE!</v>
      </c>
      <c r="Y22" s="1"/>
      <c r="Z22" s="1"/>
    </row>
    <row r="23" spans="2:26" x14ac:dyDescent="0.2">
      <c r="B23" s="4"/>
      <c r="C23" s="4"/>
      <c r="D23" s="1"/>
      <c r="E23" s="4"/>
      <c r="I23" s="4"/>
      <c r="J23" s="4" t="e">
        <f t="shared" si="0"/>
        <v>#VALUE!</v>
      </c>
      <c r="K23" s="1"/>
      <c r="L23" s="1"/>
      <c r="P23" s="4"/>
      <c r="Q23" s="4"/>
      <c r="R23" s="1"/>
      <c r="S23" s="4"/>
      <c r="W23" s="4"/>
      <c r="X23" s="4" t="e">
        <f t="shared" si="1"/>
        <v>#VALUE!</v>
      </c>
      <c r="Y23" s="1"/>
      <c r="Z23" s="1"/>
    </row>
    <row r="24" spans="2:26" x14ac:dyDescent="0.2">
      <c r="B24" s="4"/>
      <c r="C24" s="4"/>
      <c r="D24" s="1"/>
      <c r="E24" s="4"/>
      <c r="I24" s="4"/>
      <c r="J24" s="4" t="e">
        <f t="shared" si="0"/>
        <v>#VALUE!</v>
      </c>
      <c r="K24" s="1"/>
      <c r="L24" s="1"/>
      <c r="P24" s="4"/>
      <c r="Q24" s="4"/>
      <c r="R24" s="1"/>
      <c r="S24" s="4"/>
      <c r="W24" s="4"/>
      <c r="X24" s="4" t="e">
        <f t="shared" si="1"/>
        <v>#VALUE!</v>
      </c>
      <c r="Y24" s="1"/>
      <c r="Z24" s="1"/>
    </row>
    <row r="25" spans="2:26" x14ac:dyDescent="0.2">
      <c r="B25" s="1"/>
      <c r="C25" s="1"/>
      <c r="D25" s="1"/>
      <c r="E25" s="1"/>
      <c r="H25" s="1"/>
      <c r="I25" s="1"/>
      <c r="J25" s="1"/>
      <c r="K25" s="1"/>
      <c r="L25" s="1"/>
      <c r="P25" s="1"/>
      <c r="Q25" s="1"/>
      <c r="R25" s="1"/>
      <c r="S25" s="1"/>
      <c r="V25" s="1"/>
      <c r="W25" s="1"/>
      <c r="X25" s="1"/>
      <c r="Y25" s="1"/>
      <c r="Z25" s="1"/>
    </row>
    <row r="26" spans="2:26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2:26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2:26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2:26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2:26" x14ac:dyDescent="0.2">
      <c r="B30" s="1"/>
      <c r="C30" s="1"/>
      <c r="D30" s="1"/>
      <c r="E30" s="1"/>
      <c r="F30" s="1"/>
      <c r="G30" s="1"/>
      <c r="I30" s="1"/>
      <c r="J30" s="1"/>
      <c r="K30" s="1"/>
      <c r="L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2:26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2:26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40" spans="1:26" x14ac:dyDescent="0.2">
      <c r="B40" t="s">
        <v>18</v>
      </c>
      <c r="C40" t="s">
        <v>22</v>
      </c>
      <c r="P40" t="s">
        <v>18</v>
      </c>
      <c r="Q40" t="s">
        <v>22</v>
      </c>
    </row>
    <row r="43" spans="1:26" x14ac:dyDescent="0.2">
      <c r="A43" s="1" t="s">
        <v>20</v>
      </c>
      <c r="B43" s="1" t="e" cm="1">
        <f t="array" ref="B43">LINEST(B16:B24,C16:C24,1,1)</f>
        <v>#VALUE!</v>
      </c>
      <c r="C43" s="1"/>
      <c r="D43" s="1" t="s">
        <v>19</v>
      </c>
      <c r="O43" s="1" t="s">
        <v>20</v>
      </c>
      <c r="P43" s="1" t="e" cm="1">
        <f t="array" ref="P43">LINEST(P16:P24,Q16:Q24,1,1)</f>
        <v>#VALUE!</v>
      </c>
      <c r="Q43" s="1"/>
      <c r="R43" s="1" t="s">
        <v>19</v>
      </c>
    </row>
    <row r="44" spans="1:26" x14ac:dyDescent="0.2">
      <c r="A44" s="1" t="s">
        <v>24</v>
      </c>
      <c r="B44" s="1"/>
      <c r="C44" s="1"/>
      <c r="D44" s="1" t="s">
        <v>25</v>
      </c>
      <c r="O44" s="1" t="s">
        <v>24</v>
      </c>
      <c r="P44" s="1"/>
      <c r="Q44" s="1"/>
      <c r="R44" s="1" t="s">
        <v>25</v>
      </c>
    </row>
    <row r="45" spans="1:26" x14ac:dyDescent="0.2">
      <c r="A45" s="1" t="s">
        <v>23</v>
      </c>
      <c r="B45" s="1"/>
      <c r="C45" s="5"/>
      <c r="D45" s="1"/>
      <c r="O45" s="1" t="s">
        <v>23</v>
      </c>
      <c r="P45" s="1"/>
      <c r="Q45" s="5"/>
      <c r="R45" s="1"/>
    </row>
    <row r="46" spans="1:26" x14ac:dyDescent="0.2">
      <c r="A46" s="1"/>
      <c r="B46" s="5"/>
      <c r="C46" s="5"/>
      <c r="D46" s="1"/>
      <c r="O46" s="1"/>
      <c r="P46" s="5"/>
      <c r="Q46" s="5"/>
      <c r="R4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Càlcul de la C</vt:lpstr>
      <vt:lpstr>Dependència viscositat-temp</vt:lpstr>
      <vt:lpstr>No newtonians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Joan Ribot</cp:lastModifiedBy>
  <dcterms:created xsi:type="dcterms:W3CDTF">2023-05-09T12:40:27Z</dcterms:created>
  <dcterms:modified xsi:type="dcterms:W3CDTF">2023-05-12T12:54:28Z</dcterms:modified>
</cp:coreProperties>
</file>