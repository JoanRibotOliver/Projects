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bes-my.sharepoint.com/personal/jro754_id_uib_eu/Documents/"/>
    </mc:Choice>
  </mc:AlternateContent>
  <xr:revisionPtr revIDLastSave="877" documentId="8_{E6BA40E1-8A05-EE46-A1D4-336355AE3C72}" xr6:coauthVersionLast="47" xr6:coauthVersionMax="47" xr10:uidLastSave="{7E7613C5-F60F-4647-9762-D9AD109431A1}"/>
  <bookViews>
    <workbookView xWindow="0" yWindow="0" windowWidth="28800" windowHeight="18000" xr2:uid="{ECBB8359-5725-FC41-BEE6-C8150C0C0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" i="1" l="1"/>
  <c r="W34" i="1" s="1"/>
  <c r="K34" i="1"/>
  <c r="AF34" i="1"/>
  <c r="G20" i="1"/>
  <c r="U34" i="1"/>
  <c r="AA34" i="1" s="1"/>
  <c r="U62" i="1"/>
  <c r="AA62" i="1" s="1"/>
  <c r="AA61" i="1"/>
  <c r="AA60" i="1"/>
  <c r="AA59" i="1"/>
  <c r="AA58" i="1"/>
  <c r="AA57" i="1"/>
  <c r="W62" i="1"/>
  <c r="W61" i="1"/>
  <c r="W60" i="1"/>
  <c r="W59" i="1"/>
  <c r="W58" i="1"/>
  <c r="W57" i="1"/>
  <c r="W48" i="1"/>
  <c r="W47" i="1"/>
  <c r="W46" i="1"/>
  <c r="W45" i="1"/>
  <c r="W44" i="1"/>
  <c r="W43" i="1"/>
  <c r="AA43" i="1" s="1"/>
  <c r="W33" i="1"/>
  <c r="W32" i="1"/>
  <c r="W31" i="1"/>
  <c r="W30" i="1"/>
  <c r="W29" i="1"/>
  <c r="AA29" i="1"/>
  <c r="AA48" i="1"/>
  <c r="AA47" i="1"/>
  <c r="AA46" i="1"/>
  <c r="AA45" i="1"/>
  <c r="AA44" i="1"/>
  <c r="AA33" i="1"/>
  <c r="AA32" i="1"/>
  <c r="AA31" i="1"/>
  <c r="AA30" i="1"/>
  <c r="AA15" i="1"/>
  <c r="AA16" i="1"/>
  <c r="AA17" i="1"/>
  <c r="AA18" i="1"/>
  <c r="AA19" i="1"/>
  <c r="W16" i="1"/>
  <c r="W17" i="1"/>
  <c r="W18" i="1"/>
  <c r="W19" i="1"/>
  <c r="U16" i="1"/>
  <c r="U17" i="1"/>
  <c r="U18" i="1"/>
  <c r="U19" i="1"/>
  <c r="W15" i="1"/>
  <c r="Z29" i="1"/>
  <c r="AG29" i="1"/>
  <c r="AF29" i="1"/>
  <c r="T24" i="1"/>
  <c r="U15" i="1"/>
  <c r="O15" i="1"/>
  <c r="L15" i="1"/>
  <c r="T15" i="1"/>
  <c r="AE5" i="1"/>
  <c r="AD5" i="1"/>
  <c r="AC5" i="1"/>
  <c r="AB5" i="1"/>
  <c r="AA5" i="1"/>
  <c r="Z5" i="1"/>
  <c r="Q6" i="1"/>
  <c r="M6" i="1"/>
  <c r="N6" i="1"/>
  <c r="O6" i="1"/>
  <c r="P6" i="1"/>
  <c r="L30" i="1"/>
  <c r="L31" i="1"/>
  <c r="L32" i="1"/>
  <c r="L33" i="1"/>
  <c r="L34" i="1"/>
  <c r="L29" i="1"/>
  <c r="L62" i="1"/>
  <c r="L44" i="1"/>
  <c r="L45" i="1"/>
  <c r="L46" i="1"/>
  <c r="L47" i="1"/>
  <c r="L48" i="1"/>
  <c r="Z48" i="1" s="1"/>
  <c r="AG48" i="1" s="1"/>
  <c r="L43" i="1"/>
  <c r="L57" i="1"/>
  <c r="O62" i="1"/>
  <c r="O61" i="1"/>
  <c r="O60" i="1"/>
  <c r="O59" i="1"/>
  <c r="O58" i="1"/>
  <c r="O57" i="1"/>
  <c r="AD57" i="1" s="1"/>
  <c r="O43" i="1"/>
  <c r="O48" i="1"/>
  <c r="O47" i="1"/>
  <c r="O46" i="1"/>
  <c r="O45" i="1"/>
  <c r="O44" i="1"/>
  <c r="O30" i="1"/>
  <c r="O31" i="1"/>
  <c r="O32" i="1"/>
  <c r="O33" i="1"/>
  <c r="O34" i="1"/>
  <c r="O29" i="1"/>
  <c r="Z30" i="1"/>
  <c r="AG30" i="1" s="1"/>
  <c r="L16" i="1"/>
  <c r="L17" i="1"/>
  <c r="L18" i="1"/>
  <c r="L19" i="1"/>
  <c r="L6" i="1"/>
  <c r="J15" i="1"/>
  <c r="K15" i="1"/>
  <c r="J20" i="1"/>
  <c r="J19" i="1"/>
  <c r="J18" i="1"/>
  <c r="J17" i="1"/>
  <c r="J16" i="1"/>
  <c r="K45" i="1"/>
  <c r="K32" i="1"/>
  <c r="S20" i="1"/>
  <c r="W20" i="1" s="1"/>
  <c r="AF62" i="1"/>
  <c r="AE62" i="1"/>
  <c r="AF61" i="1"/>
  <c r="AE61" i="1"/>
  <c r="AF60" i="1"/>
  <c r="AE60" i="1"/>
  <c r="AF59" i="1"/>
  <c r="AE59" i="1"/>
  <c r="AF58" i="1"/>
  <c r="AE58" i="1"/>
  <c r="AF57" i="1"/>
  <c r="AE57" i="1"/>
  <c r="AF48" i="1"/>
  <c r="AE48" i="1"/>
  <c r="AF47" i="1"/>
  <c r="AE47" i="1"/>
  <c r="AF46" i="1"/>
  <c r="AE46" i="1"/>
  <c r="AF45" i="1"/>
  <c r="AE45" i="1"/>
  <c r="AF44" i="1"/>
  <c r="AE44" i="1"/>
  <c r="AF43" i="1"/>
  <c r="AE43" i="1"/>
  <c r="AD43" i="1"/>
  <c r="AE34" i="1"/>
  <c r="AF33" i="1"/>
  <c r="AE33" i="1"/>
  <c r="AF32" i="1"/>
  <c r="AE32" i="1"/>
  <c r="AF31" i="1"/>
  <c r="AE31" i="1"/>
  <c r="AF30" i="1"/>
  <c r="AE30" i="1"/>
  <c r="AE29" i="1"/>
  <c r="AD29" i="1"/>
  <c r="AE20" i="1"/>
  <c r="AE16" i="1"/>
  <c r="AE17" i="1"/>
  <c r="AE18" i="1"/>
  <c r="AE19" i="1"/>
  <c r="AF16" i="1"/>
  <c r="AF17" i="1"/>
  <c r="AF18" i="1"/>
  <c r="AF19" i="1"/>
  <c r="AF20" i="1"/>
  <c r="AF15" i="1"/>
  <c r="AD15" i="1"/>
  <c r="AE15" i="1"/>
  <c r="G58" i="1"/>
  <c r="G59" i="1"/>
  <c r="G60" i="1"/>
  <c r="G61" i="1"/>
  <c r="S61" i="1" s="1"/>
  <c r="G62" i="1"/>
  <c r="S62" i="1" s="1"/>
  <c r="G44" i="1"/>
  <c r="G45" i="1"/>
  <c r="G46" i="1"/>
  <c r="G47" i="1"/>
  <c r="G48" i="1"/>
  <c r="S48" i="1" s="1"/>
  <c r="G30" i="1"/>
  <c r="G31" i="1"/>
  <c r="G32" i="1"/>
  <c r="G33" i="1"/>
  <c r="G34" i="1"/>
  <c r="Z43" i="1"/>
  <c r="AG43" i="1" s="1"/>
  <c r="T37" i="1"/>
  <c r="T51" i="1"/>
  <c r="T65" i="1"/>
  <c r="S30" i="1"/>
  <c r="S29" i="1"/>
  <c r="S15" i="1"/>
  <c r="T58" i="1"/>
  <c r="T59" i="1"/>
  <c r="T60" i="1"/>
  <c r="T61" i="1"/>
  <c r="T62" i="1"/>
  <c r="T57" i="1"/>
  <c r="T44" i="1"/>
  <c r="T45" i="1"/>
  <c r="T46" i="1"/>
  <c r="T47" i="1"/>
  <c r="T48" i="1"/>
  <c r="T43" i="1"/>
  <c r="T30" i="1"/>
  <c r="T31" i="1"/>
  <c r="T32" i="1"/>
  <c r="T33" i="1"/>
  <c r="T34" i="1"/>
  <c r="T29" i="1"/>
  <c r="R62" i="1"/>
  <c r="R61" i="1"/>
  <c r="S60" i="1"/>
  <c r="R60" i="1"/>
  <c r="S59" i="1"/>
  <c r="R59" i="1"/>
  <c r="S58" i="1"/>
  <c r="R58" i="1"/>
  <c r="S57" i="1"/>
  <c r="R57" i="1"/>
  <c r="R48" i="1"/>
  <c r="S47" i="1"/>
  <c r="R47" i="1"/>
  <c r="S46" i="1"/>
  <c r="R46" i="1"/>
  <c r="S45" i="1"/>
  <c r="R45" i="1"/>
  <c r="S44" i="1"/>
  <c r="R44" i="1"/>
  <c r="S43" i="1"/>
  <c r="R43" i="1"/>
  <c r="R34" i="1"/>
  <c r="S33" i="1"/>
  <c r="R33" i="1"/>
  <c r="S32" i="1"/>
  <c r="R32" i="1"/>
  <c r="S31" i="1"/>
  <c r="R31" i="1"/>
  <c r="R30" i="1"/>
  <c r="R29" i="1"/>
  <c r="T16" i="1"/>
  <c r="T17" i="1"/>
  <c r="T18" i="1"/>
  <c r="T19" i="1"/>
  <c r="T20" i="1"/>
  <c r="S16" i="1"/>
  <c r="S17" i="1"/>
  <c r="S18" i="1"/>
  <c r="S19" i="1"/>
  <c r="R16" i="1"/>
  <c r="R17" i="1"/>
  <c r="R18" i="1"/>
  <c r="R19" i="1"/>
  <c r="R20" i="1"/>
  <c r="R15" i="1"/>
  <c r="Z34" i="1"/>
  <c r="AG34" i="1" s="1"/>
  <c r="K47" i="1"/>
  <c r="K43" i="1"/>
  <c r="K62" i="1"/>
  <c r="K61" i="1"/>
  <c r="K60" i="1"/>
  <c r="K59" i="1"/>
  <c r="K58" i="1"/>
  <c r="K57" i="1"/>
  <c r="K48" i="1"/>
  <c r="K46" i="1"/>
  <c r="K44" i="1"/>
  <c r="Z16" i="1"/>
  <c r="AG16" i="1" s="1"/>
  <c r="Z17" i="1"/>
  <c r="AG17" i="1" s="1"/>
  <c r="I24" i="1"/>
  <c r="O24" i="1"/>
  <c r="I65" i="1"/>
  <c r="O51" i="1"/>
  <c r="U48" i="1" s="1"/>
  <c r="I51" i="1"/>
  <c r="K20" i="1"/>
  <c r="U20" i="1" s="1"/>
  <c r="AA20" i="1" s="1"/>
  <c r="F62" i="1"/>
  <c r="F61" i="1"/>
  <c r="F60" i="1"/>
  <c r="F59" i="1"/>
  <c r="F58" i="1"/>
  <c r="F57" i="1"/>
  <c r="K29" i="1"/>
  <c r="O37" i="1"/>
  <c r="U29" i="1" s="1"/>
  <c r="I37" i="1"/>
  <c r="G57" i="1"/>
  <c r="G43" i="1"/>
  <c r="G29" i="1"/>
  <c r="G16" i="1"/>
  <c r="G17" i="1"/>
  <c r="G18" i="1"/>
  <c r="G19" i="1"/>
  <c r="G15" i="1"/>
  <c r="F48" i="1"/>
  <c r="F47" i="1"/>
  <c r="F46" i="1"/>
  <c r="F45" i="1"/>
  <c r="F44" i="1"/>
  <c r="F43" i="1"/>
  <c r="F34" i="1"/>
  <c r="F33" i="1"/>
  <c r="K33" i="1" s="1"/>
  <c r="F32" i="1"/>
  <c r="F31" i="1"/>
  <c r="F30" i="1"/>
  <c r="K30" i="1" s="1"/>
  <c r="F29" i="1"/>
  <c r="F16" i="1"/>
  <c r="K16" i="1" s="1"/>
  <c r="F17" i="1"/>
  <c r="K17" i="1" s="1"/>
  <c r="F18" i="1"/>
  <c r="K18" i="1" s="1"/>
  <c r="F19" i="1"/>
  <c r="F20" i="1"/>
  <c r="F21" i="1"/>
  <c r="G21" i="1" s="1"/>
  <c r="F15" i="1"/>
  <c r="L20" i="1" l="1"/>
  <c r="Q10" i="1"/>
  <c r="AE10" i="1" s="1"/>
  <c r="Z44" i="1"/>
  <c r="AG44" i="1" s="1"/>
  <c r="O65" i="1"/>
  <c r="U58" i="1"/>
  <c r="U59" i="1"/>
  <c r="U57" i="1"/>
  <c r="Z57" i="1"/>
  <c r="AG57" i="1" s="1"/>
  <c r="U60" i="1"/>
  <c r="U45" i="1"/>
  <c r="U47" i="1"/>
  <c r="U43" i="1"/>
  <c r="U46" i="1"/>
  <c r="U30" i="1"/>
  <c r="U33" i="1"/>
  <c r="U32" i="1"/>
  <c r="Z20" i="1"/>
  <c r="AG20" i="1" s="1"/>
  <c r="Z19" i="1"/>
  <c r="AG19" i="1" s="1"/>
  <c r="Z18" i="1"/>
  <c r="AG18" i="1" s="1"/>
  <c r="U61" i="1"/>
  <c r="U44" i="1"/>
  <c r="Z46" i="1"/>
  <c r="AG46" i="1" s="1"/>
  <c r="Z47" i="1"/>
  <c r="AG47" i="1" s="1"/>
  <c r="Z45" i="1"/>
  <c r="AG45" i="1" s="1"/>
  <c r="Z33" i="1"/>
  <c r="AG33" i="1" s="1"/>
  <c r="Z32" i="1"/>
  <c r="AG32" i="1" s="1"/>
  <c r="K31" i="1"/>
  <c r="K19" i="1"/>
  <c r="L10" i="1" l="1"/>
  <c r="Z10" i="1" s="1"/>
  <c r="O10" i="1"/>
  <c r="AC10" i="1" s="1"/>
  <c r="L9" i="1"/>
  <c r="L60" i="1"/>
  <c r="L58" i="1"/>
  <c r="L59" i="1"/>
  <c r="Z59" i="1" s="1"/>
  <c r="AG59" i="1" s="1"/>
  <c r="L61" i="1"/>
  <c r="M10" i="1"/>
  <c r="AA10" i="1" s="1"/>
  <c r="P10" i="1"/>
  <c r="AD10" i="1" s="1"/>
  <c r="Z15" i="1"/>
  <c r="AG15" i="1" s="1"/>
  <c r="Z9" i="1"/>
  <c r="U31" i="1"/>
  <c r="N10" i="1" s="1"/>
  <c r="AB10" i="1" s="1"/>
  <c r="Z61" i="1" l="1"/>
  <c r="P9" i="1"/>
  <c r="Z60" i="1"/>
  <c r="O9" i="1"/>
  <c r="Z62" i="1"/>
  <c r="Q9" i="1"/>
  <c r="Z58" i="1"/>
  <c r="M9" i="1"/>
  <c r="Z31" i="1"/>
  <c r="N9" i="1"/>
  <c r="AG58" i="1" l="1"/>
  <c r="AA9" i="1"/>
  <c r="AG62" i="1"/>
  <c r="AE9" i="1"/>
  <c r="AG60" i="1"/>
  <c r="AC9" i="1"/>
  <c r="AG61" i="1"/>
  <c r="AD9" i="1"/>
  <c r="AB9" i="1"/>
  <c r="AG31" i="1"/>
</calcChain>
</file>

<file path=xl/sharedStrings.xml><?xml version="1.0" encoding="utf-8"?>
<sst xmlns="http://schemas.openxmlformats.org/spreadsheetml/2006/main" count="219" uniqueCount="57">
  <si>
    <t>tub Pitot</t>
  </si>
  <si>
    <t>Taula incerteses</t>
  </si>
  <si>
    <t>Manòmetre</t>
  </si>
  <si>
    <t>tub manomètric de Pitot</t>
  </si>
  <si>
    <t>Cabdal 1</t>
  </si>
  <si>
    <t>Cabdal 2</t>
  </si>
  <si>
    <t>Cabdal 3</t>
  </si>
  <si>
    <t>Cabdal 4</t>
  </si>
  <si>
    <t>Cabdal 1 (L/s)</t>
  </si>
  <si>
    <t>Cabdal 2 (L/s)</t>
  </si>
  <si>
    <t>Cabdal 3 (L/s)</t>
  </si>
  <si>
    <t>Cabdal 4 (L/s)</t>
  </si>
  <si>
    <t>v (m/s)</t>
  </si>
  <si>
    <t>S0</t>
  </si>
  <si>
    <t>S1</t>
  </si>
  <si>
    <t>S2</t>
  </si>
  <si>
    <t>S3</t>
  </si>
  <si>
    <t>S4</t>
  </si>
  <si>
    <t>S5</t>
  </si>
  <si>
    <t>S6</t>
  </si>
  <si>
    <t>velocitat</t>
  </si>
  <si>
    <t>secció</t>
  </si>
  <si>
    <t>Q (L/s)</t>
  </si>
  <si>
    <t>s (m^2)</t>
  </si>
  <si>
    <t>Taua teòrica per comparar</t>
  </si>
  <si>
    <t>Taula promitjos</t>
  </si>
  <si>
    <t>mm^2</t>
  </si>
  <si>
    <t>h_i (mm)</t>
  </si>
  <si>
    <t>h_TP (mm)</t>
  </si>
  <si>
    <t>t (s)</t>
  </si>
  <si>
    <t>Q promig</t>
  </si>
  <si>
    <t>t promig</t>
  </si>
  <si>
    <t>h_i (m)</t>
  </si>
  <si>
    <t>h_TP (m)</t>
  </si>
  <si>
    <t>-</t>
  </si>
  <si>
    <t>dS</t>
  </si>
  <si>
    <t>dQ promig</t>
  </si>
  <si>
    <t>dt (s)</t>
  </si>
  <si>
    <t>d ∆h (m)</t>
  </si>
  <si>
    <t>dv (m/s)</t>
  </si>
  <si>
    <t>dS (m^2)</t>
  </si>
  <si>
    <t>dt promig (s)</t>
  </si>
  <si>
    <t>s (mm^2)</t>
  </si>
  <si>
    <t>mm</t>
  </si>
  <si>
    <t>dS promig</t>
  </si>
  <si>
    <t>TAULES PER ENTREGAR</t>
  </si>
  <si>
    <t>∆h (m)</t>
  </si>
  <si>
    <t>∆h (mm)</t>
  </si>
  <si>
    <t>passar de L a dm^3 a m^3…</t>
  </si>
  <si>
    <t>v (mm/s)</t>
  </si>
  <si>
    <t>Q (m^3/s)</t>
  </si>
  <si>
    <t>dV (m^3)</t>
  </si>
  <si>
    <t>dQ (m^3/s)</t>
  </si>
  <si>
    <t>V (m^3)</t>
  </si>
  <si>
    <t>D (mm)</t>
  </si>
  <si>
    <t>S (mm^2)</t>
  </si>
  <si>
    <t>dS mm^2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</si>
</sst>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6EB5-D3C8-2248-BDC4-9AB932E9A449}">
  <dimension ref="B2:AG65"/>
  <sheetViews>
    <sheetView tabSelected="1" topLeftCell="E9" workbookViewId="0">
      <selection activeCell="S35" sqref="S35"/>
    </sheetView>
  </sheetViews>
  <sheetFormatPr baseColWidth="10" defaultRowHeight="16" x14ac:dyDescent="0.2"/>
  <cols>
    <col min="12" max="12" width="12.1640625" bestFit="1" customWidth="1"/>
    <col min="15" max="15" width="12.1640625" bestFit="1" customWidth="1"/>
    <col min="18" max="18" width="11.33203125" customWidth="1"/>
    <col min="23" max="23" width="12.1640625" bestFit="1" customWidth="1"/>
    <col min="25" max="25" width="12.1640625" bestFit="1" customWidth="1"/>
  </cols>
  <sheetData>
    <row r="2" spans="2:33" x14ac:dyDescent="0.2">
      <c r="K2" t="s">
        <v>24</v>
      </c>
    </row>
    <row r="3" spans="2:33" x14ac:dyDescent="0.2">
      <c r="D3" t="s">
        <v>1</v>
      </c>
      <c r="Y3" s="2" t="s">
        <v>13</v>
      </c>
      <c r="Z3" s="2" t="s">
        <v>14</v>
      </c>
      <c r="AA3" s="2" t="s">
        <v>15</v>
      </c>
      <c r="AB3" s="2" t="s">
        <v>16</v>
      </c>
      <c r="AC3" s="2" t="s">
        <v>17</v>
      </c>
      <c r="AD3" s="2" t="s">
        <v>18</v>
      </c>
      <c r="AE3" s="2" t="s">
        <v>19</v>
      </c>
    </row>
    <row r="4" spans="2:33" x14ac:dyDescent="0.2"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X4" s="2" t="s">
        <v>54</v>
      </c>
      <c r="Y4" s="2">
        <v>25</v>
      </c>
      <c r="Z4" s="2">
        <v>10</v>
      </c>
      <c r="AA4" s="2">
        <v>10.6</v>
      </c>
      <c r="AB4" s="2">
        <v>11.2</v>
      </c>
      <c r="AC4" s="2">
        <v>12.5</v>
      </c>
      <c r="AD4" s="2">
        <v>14.9</v>
      </c>
      <c r="AE4" s="2">
        <v>25</v>
      </c>
    </row>
    <row r="5" spans="2:33" x14ac:dyDescent="0.2">
      <c r="D5" s="1" t="s">
        <v>32</v>
      </c>
      <c r="E5" s="1" t="s">
        <v>33</v>
      </c>
      <c r="J5" t="s">
        <v>43</v>
      </c>
      <c r="K5" s="2">
        <v>25</v>
      </c>
      <c r="L5" s="2">
        <v>10</v>
      </c>
      <c r="M5" s="2">
        <v>10.6</v>
      </c>
      <c r="N5" s="2">
        <v>11.2</v>
      </c>
      <c r="O5" s="2">
        <v>12.5</v>
      </c>
      <c r="P5" s="2">
        <v>14.9</v>
      </c>
      <c r="Q5" s="2">
        <v>25</v>
      </c>
      <c r="X5" s="2" t="s">
        <v>55</v>
      </c>
      <c r="Y5" s="2" t="s">
        <v>34</v>
      </c>
      <c r="Z5" s="18">
        <f>PI()*(Z4/2)^2</f>
        <v>78.539816339744831</v>
      </c>
      <c r="AA5" s="18">
        <f t="shared" ref="AA5" si="0">PI()*(AA4/2)^2</f>
        <v>88.247337639337289</v>
      </c>
      <c r="AB5" s="18">
        <f t="shared" ref="AB5" si="1">PI()*(AB4/2)^2</f>
        <v>98.520345616575895</v>
      </c>
      <c r="AC5" s="18">
        <f t="shared" ref="AC5" si="2">PI()*(AC4/2)^2</f>
        <v>122.7184630308513</v>
      </c>
      <c r="AD5" s="18">
        <f t="shared" ref="AD5" si="3">PI()*(AD4/2)^2</f>
        <v>174.36624625586751</v>
      </c>
      <c r="AE5" s="18">
        <f>PI()*(AE4/2)^2</f>
        <v>490.87385212340519</v>
      </c>
    </row>
    <row r="6" spans="2:33" x14ac:dyDescent="0.2">
      <c r="D6" s="1">
        <v>1E-3</v>
      </c>
      <c r="E6" s="1">
        <v>1E-3</v>
      </c>
      <c r="J6" t="s">
        <v>26</v>
      </c>
      <c r="L6">
        <f>PI()*(L5/2)^2</f>
        <v>78.539816339744831</v>
      </c>
      <c r="M6">
        <f t="shared" ref="M6:Q6" si="4">PI()*(M5/2)^2</f>
        <v>88.247337639337289</v>
      </c>
      <c r="N6">
        <f t="shared" si="4"/>
        <v>98.520345616575895</v>
      </c>
      <c r="O6">
        <f t="shared" si="4"/>
        <v>122.7184630308513</v>
      </c>
      <c r="P6">
        <f t="shared" si="4"/>
        <v>174.36624625586751</v>
      </c>
      <c r="Q6">
        <f>PI()*(Q5/2)^2</f>
        <v>490.87385212340519</v>
      </c>
    </row>
    <row r="7" spans="2:33" x14ac:dyDescent="0.2">
      <c r="K7" t="s">
        <v>25</v>
      </c>
      <c r="Y7" t="s">
        <v>25</v>
      </c>
    </row>
    <row r="8" spans="2:33" x14ac:dyDescent="0.2">
      <c r="K8" s="2" t="s">
        <v>13</v>
      </c>
      <c r="L8" s="2" t="s">
        <v>14</v>
      </c>
      <c r="M8" s="2" t="s">
        <v>15</v>
      </c>
      <c r="N8" s="2" t="s">
        <v>16</v>
      </c>
      <c r="O8" s="2" t="s">
        <v>17</v>
      </c>
      <c r="P8" s="2" t="s">
        <v>18</v>
      </c>
      <c r="Q8" s="2" t="s">
        <v>19</v>
      </c>
      <c r="S8" s="15" t="s">
        <v>53</v>
      </c>
      <c r="U8" s="15" t="s">
        <v>38</v>
      </c>
      <c r="V8" s="15" t="s">
        <v>51</v>
      </c>
      <c r="Y8" s="2" t="s">
        <v>13</v>
      </c>
      <c r="Z8" s="2" t="s">
        <v>14</v>
      </c>
      <c r="AA8" s="2" t="s">
        <v>15</v>
      </c>
      <c r="AB8" s="2" t="s">
        <v>16</v>
      </c>
      <c r="AC8" s="2" t="s">
        <v>17</v>
      </c>
      <c r="AD8" s="2" t="s">
        <v>18</v>
      </c>
      <c r="AE8" s="2" t="s">
        <v>19</v>
      </c>
    </row>
    <row r="9" spans="2:33" x14ac:dyDescent="0.2">
      <c r="J9" t="s">
        <v>43</v>
      </c>
      <c r="K9" s="14" t="s">
        <v>34</v>
      </c>
      <c r="L9" s="4">
        <f>(L15+L29+L43+L57)/4</f>
        <v>6.817503974150855E-5</v>
      </c>
      <c r="M9" s="4">
        <f>(L16+L30+L44+L58)/4</f>
        <v>7.430302257684798E-5</v>
      </c>
      <c r="N9" s="4">
        <f>(L17+L31+L45+L59)/4</f>
        <v>8.7027598536221676E-5</v>
      </c>
      <c r="O9" s="4">
        <f>(L18+L32+L46+L60)/4</f>
        <v>1.1678125480004896E-4</v>
      </c>
      <c r="P9" s="4">
        <f>(L19+L33+L47+L61)/4</f>
        <v>1.9532609968134955E-4</v>
      </c>
      <c r="Q9" s="4">
        <f>(L20+L34+L48+L62)/4</f>
        <v>4.2596123565462568E-4</v>
      </c>
      <c r="S9" s="2">
        <v>2E-3</v>
      </c>
      <c r="U9" s="2">
        <v>2E-3</v>
      </c>
      <c r="V9" s="2">
        <v>1E-4</v>
      </c>
      <c r="X9" s="2" t="s">
        <v>55</v>
      </c>
      <c r="Y9" s="15" t="s">
        <v>34</v>
      </c>
      <c r="Z9" s="2">
        <f>(Z15+Z29+Z43+Z57)/4</f>
        <v>68.175039741508556</v>
      </c>
      <c r="AA9" s="2">
        <f>(Z16+Z30+Z44+Z58)/4</f>
        <v>74.30302257684798</v>
      </c>
      <c r="AB9" s="2">
        <f>(Z17+Z31+Z45+Z59)/4</f>
        <v>87.027598536221674</v>
      </c>
      <c r="AC9" s="2">
        <f>(Z18+Z32+Z46+Z60)/4</f>
        <v>116.78125480004896</v>
      </c>
      <c r="AD9" s="2">
        <f>(Z19+Z33+Z47+Z61)/4</f>
        <v>195.32609968134958</v>
      </c>
      <c r="AE9" s="2">
        <f>(Z20+Z34+Z48+Z62)/4</f>
        <v>425.96123565462574</v>
      </c>
    </row>
    <row r="10" spans="2:33" x14ac:dyDescent="0.2">
      <c r="K10" s="14" t="s">
        <v>44</v>
      </c>
      <c r="L10">
        <f>AVERAGE(U15,U29,U43,U57)</f>
        <v>4.5686458709691238E-6</v>
      </c>
      <c r="M10">
        <f>AVERAGE(U16,U30,U44,U58)</f>
        <v>5.0743570808528709E-6</v>
      </c>
      <c r="N10">
        <f>AVERAGE(U17,U31,U45,U59)</f>
        <v>6.2196290071210313E-6</v>
      </c>
      <c r="O10">
        <f>AVERAGE(U18,U32,U46,U60)</f>
        <v>9.5073293350132423E-6</v>
      </c>
      <c r="P10">
        <f>AVERAGE(U19,U33,U47,U61)</f>
        <v>2.36720579760768E-5</v>
      </c>
      <c r="Q10">
        <f>AVERAGE(U20,U34,U48,U62)</f>
        <v>2.5761185581207017E-4</v>
      </c>
      <c r="Y10" s="14" t="s">
        <v>44</v>
      </c>
      <c r="Z10" s="1">
        <f>L10*1000000</f>
        <v>4.5686458709691236</v>
      </c>
      <c r="AA10" s="1">
        <f t="shared" ref="AA10:AE10" si="5">M10*1000000</f>
        <v>5.0743570808528711</v>
      </c>
      <c r="AB10" s="1">
        <f t="shared" si="5"/>
        <v>6.2196290071210312</v>
      </c>
      <c r="AC10" s="1">
        <f t="shared" si="5"/>
        <v>9.5073293350132424</v>
      </c>
      <c r="AD10" s="1">
        <f t="shared" si="5"/>
        <v>23.6720579760768</v>
      </c>
      <c r="AE10" s="1">
        <f t="shared" si="5"/>
        <v>257.61185581207019</v>
      </c>
    </row>
    <row r="11" spans="2:33" x14ac:dyDescent="0.2">
      <c r="C11" t="s">
        <v>8</v>
      </c>
    </row>
    <row r="12" spans="2:33" x14ac:dyDescent="0.2">
      <c r="T12" s="16" t="s">
        <v>48</v>
      </c>
      <c r="U12" s="16"/>
      <c r="AD12" t="s">
        <v>45</v>
      </c>
    </row>
    <row r="13" spans="2:33" x14ac:dyDescent="0.2">
      <c r="D13" s="1" t="s">
        <v>0</v>
      </c>
      <c r="E13" s="3" t="s">
        <v>3</v>
      </c>
      <c r="I13" t="s">
        <v>4</v>
      </c>
      <c r="K13" s="1" t="s">
        <v>20</v>
      </c>
      <c r="L13" s="1" t="s">
        <v>21</v>
      </c>
    </row>
    <row r="14" spans="2:33" x14ac:dyDescent="0.2">
      <c r="C14" s="2" t="s">
        <v>2</v>
      </c>
      <c r="D14" s="2" t="s">
        <v>27</v>
      </c>
      <c r="E14" s="2" t="s">
        <v>28</v>
      </c>
      <c r="F14" s="2" t="s">
        <v>47</v>
      </c>
      <c r="G14" s="2" t="s">
        <v>46</v>
      </c>
      <c r="I14" s="2" t="s">
        <v>29</v>
      </c>
      <c r="J14" s="17" t="s">
        <v>49</v>
      </c>
      <c r="K14" s="2" t="s">
        <v>12</v>
      </c>
      <c r="L14" s="2" t="s">
        <v>23</v>
      </c>
      <c r="O14" s="2" t="s">
        <v>50</v>
      </c>
      <c r="P14" s="2"/>
      <c r="R14" s="2" t="s">
        <v>37</v>
      </c>
      <c r="S14" s="2" t="s">
        <v>39</v>
      </c>
      <c r="T14" s="2" t="s">
        <v>52</v>
      </c>
      <c r="U14" s="2" t="s">
        <v>40</v>
      </c>
      <c r="V14" s="13"/>
      <c r="W14" s="14" t="s">
        <v>35</v>
      </c>
      <c r="X14" s="14"/>
      <c r="Z14" t="s">
        <v>42</v>
      </c>
      <c r="AA14" t="s">
        <v>56</v>
      </c>
      <c r="AD14" s="2" t="s">
        <v>22</v>
      </c>
      <c r="AE14" s="2" t="s">
        <v>46</v>
      </c>
      <c r="AF14" s="2" t="s">
        <v>12</v>
      </c>
      <c r="AG14" s="2" t="s">
        <v>42</v>
      </c>
    </row>
    <row r="15" spans="2:33" x14ac:dyDescent="0.2">
      <c r="B15" s="1" t="s">
        <v>14</v>
      </c>
      <c r="C15" s="2">
        <v>1</v>
      </c>
      <c r="D15" s="2">
        <v>121</v>
      </c>
      <c r="E15" s="2">
        <v>242</v>
      </c>
      <c r="F15" s="2">
        <f>ABS(D15-E15)</f>
        <v>121</v>
      </c>
      <c r="G15" s="2">
        <f>F15/1000</f>
        <v>0.121</v>
      </c>
      <c r="I15" s="2">
        <v>18.91</v>
      </c>
      <c r="J15" s="17">
        <f>SQRT(2*9.81*F15)</f>
        <v>48.723916098770225</v>
      </c>
      <c r="K15" s="2">
        <f>SQRT(2*9.81*G15)</f>
        <v>1.5407855139505953</v>
      </c>
      <c r="L15" s="2">
        <f>$O$24/K15</f>
        <v>6.8643003842462603E-5</v>
      </c>
      <c r="M15" s="1" t="s">
        <v>14</v>
      </c>
      <c r="O15" s="4">
        <f>0.002/I15</f>
        <v>1.0576414595452142E-4</v>
      </c>
      <c r="R15" s="2">
        <f>0.16</f>
        <v>0.16</v>
      </c>
      <c r="S15" s="2">
        <f>SQRT(9.81/(2*G15))*$U$9</f>
        <v>1.2733764578104094E-2</v>
      </c>
      <c r="T15" s="2">
        <f>($S$9/$I$24^2)*$R$24 + (1/$I$24)*$V$9</f>
        <v>6.1830916632852156E-6</v>
      </c>
      <c r="U15" s="2">
        <f>(1/K15)*(($S$9/$I$24^2)*$R$24+(1/$I$24)*$V$9)+($O$24/K15^2)*SQRT(9.81/(2*G15))*$U$9</f>
        <v>4.5802452387122554E-6</v>
      </c>
      <c r="V15" s="13"/>
      <c r="W15" s="12">
        <f>(1/K15)*T15+(O15/K15^2)*S15</f>
        <v>4.5802452387122554E-6</v>
      </c>
      <c r="X15" s="13"/>
      <c r="Y15" s="13"/>
      <c r="Z15" s="14">
        <f>L15*1000000</f>
        <v>68.643003842462605</v>
      </c>
      <c r="AA15">
        <f>W15*1000000</f>
        <v>4.580245238712255</v>
      </c>
      <c r="AD15" s="2">
        <f>O15</f>
        <v>1.0576414595452142E-4</v>
      </c>
      <c r="AE15" s="2">
        <f>G15</f>
        <v>0.121</v>
      </c>
      <c r="AF15" s="2">
        <f>K15</f>
        <v>1.5407855139505953</v>
      </c>
      <c r="AG15" s="15">
        <f>Z15</f>
        <v>68.643003842462605</v>
      </c>
    </row>
    <row r="16" spans="2:33" x14ac:dyDescent="0.2">
      <c r="B16" s="1" t="s">
        <v>15</v>
      </c>
      <c r="C16" s="2">
        <v>2</v>
      </c>
      <c r="D16" s="2">
        <v>131</v>
      </c>
      <c r="E16" s="2">
        <v>240</v>
      </c>
      <c r="F16" s="2">
        <f t="shared" ref="F16:F21" si="6">ABS(D16-E16)</f>
        <v>109</v>
      </c>
      <c r="G16" s="2">
        <f t="shared" ref="G16:G20" si="7">F16/1000</f>
        <v>0.109</v>
      </c>
      <c r="I16" s="2"/>
      <c r="J16" s="17">
        <f t="shared" ref="J15:K20" si="8">SQRT(2*9.81*F16)</f>
        <v>46.244783489600209</v>
      </c>
      <c r="K16" s="2">
        <f t="shared" si="8"/>
        <v>1.4623884572848624</v>
      </c>
      <c r="L16" s="2">
        <f t="shared" ref="L16:L20" si="9">$O$24/K16</f>
        <v>7.2322880714531892E-5</v>
      </c>
      <c r="M16" s="1" t="s">
        <v>15</v>
      </c>
      <c r="R16" s="2">
        <f t="shared" ref="R16:R20" si="10">0.16</f>
        <v>0.16</v>
      </c>
      <c r="S16" s="2">
        <f>SQRT(9.81/(2*G16))*$U$9</f>
        <v>1.3416407864998739E-2</v>
      </c>
      <c r="T16" s="2">
        <f t="shared" ref="T16:T20" si="11">($S$9/$I$24^2)*$R$24 + (1/$I$24)*$V$9</f>
        <v>6.1830916632852156E-6</v>
      </c>
      <c r="U16" s="2">
        <f t="shared" ref="U16:U19" si="12">(1/K16)*(($S$9/$I$24^2)*$R$24+(1/$I$24)*$V$9)+($O$24/K16^2)*SQRT(9.81/(2*G16))*$U$9</f>
        <v>4.8915901197718471E-6</v>
      </c>
      <c r="W16" s="12">
        <f t="shared" ref="W16:W19" si="13">(1/K16)*T16+(O16/K16^2)*S16</f>
        <v>4.2280774526660501E-6</v>
      </c>
      <c r="Z16" s="14">
        <f t="shared" ref="Z15:Z20" si="14">L16*1000000</f>
        <v>72.322880714531891</v>
      </c>
      <c r="AA16">
        <f t="shared" ref="AA16:AA20" si="15">U16*1000000</f>
        <v>4.8915901197718474</v>
      </c>
      <c r="AE16" s="2">
        <f t="shared" ref="AE16:AE19" si="16">G16</f>
        <v>0.109</v>
      </c>
      <c r="AF16" s="2">
        <f t="shared" ref="AF16:AF20" si="17">K16</f>
        <v>1.4623884572848624</v>
      </c>
      <c r="AG16" s="15">
        <f t="shared" ref="AG16:AG19" si="18">Z16</f>
        <v>72.322880714531891</v>
      </c>
    </row>
    <row r="17" spans="2:33" x14ac:dyDescent="0.2">
      <c r="B17" s="1" t="s">
        <v>16</v>
      </c>
      <c r="C17" s="2">
        <v>3</v>
      </c>
      <c r="D17" s="2">
        <v>149</v>
      </c>
      <c r="E17" s="2">
        <v>224</v>
      </c>
      <c r="F17" s="2">
        <f t="shared" si="6"/>
        <v>75</v>
      </c>
      <c r="G17" s="2">
        <f t="shared" si="7"/>
        <v>7.4999999999999997E-2</v>
      </c>
      <c r="I17" s="2"/>
      <c r="J17" s="17">
        <f t="shared" si="8"/>
        <v>38.360135557633264</v>
      </c>
      <c r="K17" s="2">
        <f t="shared" si="8"/>
        <v>1.2130539971493437</v>
      </c>
      <c r="L17" s="2">
        <f t="shared" si="9"/>
        <v>8.718832484214665E-5</v>
      </c>
      <c r="M17" s="1" t="s">
        <v>16</v>
      </c>
      <c r="R17" s="2">
        <f t="shared" si="10"/>
        <v>0.16</v>
      </c>
      <c r="S17" s="2">
        <f>SQRT(9.81/(2*G17))*$U$9</f>
        <v>1.6174053295324585E-2</v>
      </c>
      <c r="T17" s="2">
        <f t="shared" si="11"/>
        <v>6.1830916632852156E-6</v>
      </c>
      <c r="U17" s="2">
        <f t="shared" si="12"/>
        <v>6.2596391371334231E-6</v>
      </c>
      <c r="W17" s="12">
        <f t="shared" si="13"/>
        <v>5.0971281392381344E-6</v>
      </c>
      <c r="Z17" s="14">
        <f t="shared" si="14"/>
        <v>87.188324842146656</v>
      </c>
      <c r="AA17">
        <f t="shared" si="15"/>
        <v>6.2596391371334228</v>
      </c>
      <c r="AE17" s="2">
        <f t="shared" si="16"/>
        <v>7.4999999999999997E-2</v>
      </c>
      <c r="AF17" s="2">
        <f t="shared" si="17"/>
        <v>1.2130539971493437</v>
      </c>
      <c r="AG17" s="15">
        <f t="shared" si="18"/>
        <v>87.188324842146656</v>
      </c>
    </row>
    <row r="18" spans="2:33" x14ac:dyDescent="0.2">
      <c r="B18" s="1" t="s">
        <v>17</v>
      </c>
      <c r="C18" s="2">
        <v>4</v>
      </c>
      <c r="D18" s="2">
        <v>174</v>
      </c>
      <c r="E18" s="2">
        <v>216</v>
      </c>
      <c r="F18" s="2">
        <f t="shared" si="6"/>
        <v>42</v>
      </c>
      <c r="G18" s="2">
        <f t="shared" si="7"/>
        <v>4.2000000000000003E-2</v>
      </c>
      <c r="I18" s="2"/>
      <c r="J18" s="17">
        <f t="shared" si="8"/>
        <v>28.706096913373649</v>
      </c>
      <c r="K18" s="2">
        <f t="shared" si="8"/>
        <v>0.90776648979789953</v>
      </c>
      <c r="L18" s="2">
        <f t="shared" si="9"/>
        <v>1.1651029988787999E-4</v>
      </c>
      <c r="M18" s="1" t="s">
        <v>17</v>
      </c>
      <c r="R18" s="2">
        <f t="shared" si="10"/>
        <v>0.16</v>
      </c>
      <c r="S18" s="2">
        <f>SQRT(9.81/(2*G18))*$U$9</f>
        <v>2.1613487852330943E-2</v>
      </c>
      <c r="T18" s="2">
        <f t="shared" si="11"/>
        <v>6.1830916632852156E-6</v>
      </c>
      <c r="U18" s="2">
        <f t="shared" si="12"/>
        <v>9.58537874263298E-6</v>
      </c>
      <c r="W18" s="12">
        <f t="shared" si="13"/>
        <v>6.8113239833977427E-6</v>
      </c>
      <c r="Z18" s="14">
        <f t="shared" si="14"/>
        <v>116.51029988787998</v>
      </c>
      <c r="AA18">
        <f t="shared" si="15"/>
        <v>9.5853787426329795</v>
      </c>
      <c r="AE18" s="2">
        <f t="shared" si="16"/>
        <v>4.2000000000000003E-2</v>
      </c>
      <c r="AF18" s="2">
        <f t="shared" si="17"/>
        <v>0.90776648979789953</v>
      </c>
      <c r="AG18" s="15">
        <f t="shared" si="18"/>
        <v>116.51029988787998</v>
      </c>
    </row>
    <row r="19" spans="2:33" x14ac:dyDescent="0.2">
      <c r="B19" s="1" t="s">
        <v>18</v>
      </c>
      <c r="C19" s="2">
        <v>5</v>
      </c>
      <c r="D19" s="2">
        <v>193</v>
      </c>
      <c r="E19" s="2">
        <v>212</v>
      </c>
      <c r="F19" s="2">
        <f t="shared" si="6"/>
        <v>19</v>
      </c>
      <c r="G19" s="2">
        <f t="shared" si="7"/>
        <v>1.9E-2</v>
      </c>
      <c r="I19" s="2"/>
      <c r="J19" s="17">
        <f t="shared" si="8"/>
        <v>19.307511491644902</v>
      </c>
      <c r="K19" s="2">
        <f t="shared" si="8"/>
        <v>0.61055712263472939</v>
      </c>
      <c r="L19" s="2">
        <f t="shared" si="9"/>
        <v>1.7322563611758184E-4</v>
      </c>
      <c r="M19" s="1" t="s">
        <v>18</v>
      </c>
      <c r="R19" s="2">
        <f t="shared" si="10"/>
        <v>0.16</v>
      </c>
      <c r="S19" s="2">
        <f>SQRT(9.81/(2*G19))*$U$9</f>
        <v>3.2134585401827863E-2</v>
      </c>
      <c r="T19" s="2">
        <f t="shared" si="11"/>
        <v>6.1830916632852156E-6</v>
      </c>
      <c r="U19" s="2">
        <f t="shared" si="12"/>
        <v>1.9244105465822091E-5</v>
      </c>
      <c r="W19" s="12">
        <f t="shared" si="13"/>
        <v>1.0126966722791471E-5</v>
      </c>
      <c r="Z19" s="14">
        <f t="shared" si="14"/>
        <v>173.22563611758184</v>
      </c>
      <c r="AA19">
        <f t="shared" si="15"/>
        <v>19.244105465822091</v>
      </c>
      <c r="AE19" s="2">
        <f t="shared" si="16"/>
        <v>1.9E-2</v>
      </c>
      <c r="AF19" s="2">
        <f t="shared" si="17"/>
        <v>0.61055712263472939</v>
      </c>
      <c r="AG19" s="15">
        <f t="shared" si="18"/>
        <v>173.22563611758184</v>
      </c>
    </row>
    <row r="20" spans="2:33" x14ac:dyDescent="0.2">
      <c r="B20" s="1" t="s">
        <v>19</v>
      </c>
      <c r="C20" s="2">
        <v>6</v>
      </c>
      <c r="D20" s="2">
        <v>212</v>
      </c>
      <c r="E20" s="2">
        <v>214</v>
      </c>
      <c r="F20" s="2">
        <f t="shared" si="6"/>
        <v>2</v>
      </c>
      <c r="G20" s="2">
        <f t="shared" si="7"/>
        <v>2E-3</v>
      </c>
      <c r="I20" s="2"/>
      <c r="J20" s="17">
        <f>SQRT(2*9.81*F20)</f>
        <v>6.2641839053463304</v>
      </c>
      <c r="K20" s="2">
        <f>SQRT(2*9.81*G20)</f>
        <v>0.19809088823063015</v>
      </c>
      <c r="L20" s="2">
        <f t="shared" si="9"/>
        <v>5.3391726847821488E-4</v>
      </c>
      <c r="M20" s="1" t="s">
        <v>19</v>
      </c>
      <c r="R20" s="2">
        <f t="shared" si="10"/>
        <v>0.16</v>
      </c>
      <c r="S20" s="2">
        <f>SQRT(9.81/(2*G20))*$U$9</f>
        <v>9.9045444115315059E-2</v>
      </c>
      <c r="T20" s="2">
        <f t="shared" si="11"/>
        <v>6.1830916632852156E-6</v>
      </c>
      <c r="U20" s="2">
        <f>(1/K20)*(($S$9/$I$24^2)*$R$24+(1/$I$24)*$V$9)+($O$24/K20^2)*SQRT(9.81/(2*G20))*$U$9</f>
        <v>2.9817204197589572E-4</v>
      </c>
      <c r="W20" s="12">
        <f>(1/K20)*T20+(O20/K20^2)*S20</f>
        <v>3.121340773678829E-5</v>
      </c>
      <c r="Z20" s="14">
        <f t="shared" si="14"/>
        <v>533.91726847821485</v>
      </c>
      <c r="AA20">
        <f t="shared" si="15"/>
        <v>298.1720419758957</v>
      </c>
      <c r="AE20" s="2">
        <f>G20</f>
        <v>2E-3</v>
      </c>
      <c r="AF20" s="2">
        <f t="shared" si="17"/>
        <v>0.19809088823063015</v>
      </c>
      <c r="AG20" s="15">
        <f>Z20</f>
        <v>533.91726847821485</v>
      </c>
    </row>
    <row r="21" spans="2:33" x14ac:dyDescent="0.2">
      <c r="C21" s="2"/>
      <c r="D21" s="2"/>
      <c r="E21" s="2"/>
      <c r="F21" s="2">
        <f t="shared" si="6"/>
        <v>0</v>
      </c>
      <c r="G21" s="2">
        <f t="shared" ref="G21" si="19">F21/100</f>
        <v>0</v>
      </c>
      <c r="I21" s="2"/>
      <c r="K21" s="2"/>
      <c r="L21" s="2"/>
    </row>
    <row r="22" spans="2:33" x14ac:dyDescent="0.2">
      <c r="D22" s="1"/>
      <c r="E22" s="1"/>
    </row>
    <row r="23" spans="2:33" x14ac:dyDescent="0.2">
      <c r="D23" s="1"/>
      <c r="E23" s="1"/>
      <c r="I23" t="s">
        <v>31</v>
      </c>
      <c r="O23" t="s">
        <v>30</v>
      </c>
      <c r="R23" s="2" t="s">
        <v>41</v>
      </c>
      <c r="S23" s="1"/>
      <c r="T23" s="2" t="s">
        <v>36</v>
      </c>
    </row>
    <row r="24" spans="2:33" x14ac:dyDescent="0.2">
      <c r="D24" s="1"/>
      <c r="E24" s="1"/>
      <c r="I24" s="1">
        <f>AVERAGE(I15:I20)</f>
        <v>18.91</v>
      </c>
      <c r="O24">
        <f>AVERAGE(O15:O20)</f>
        <v>1.0576414595452142E-4</v>
      </c>
      <c r="R24" s="2">
        <v>0.16</v>
      </c>
      <c r="S24" s="1"/>
      <c r="T24" s="2">
        <f t="shared" ref="T24" si="20">($S$9/$I$24^2)*$R$24 + (1/$I$24)*$V$9</f>
        <v>6.1830916632852156E-6</v>
      </c>
    </row>
    <row r="25" spans="2:33" x14ac:dyDescent="0.2">
      <c r="C25" t="s">
        <v>9</v>
      </c>
      <c r="D25" s="1"/>
      <c r="E25" s="1"/>
    </row>
    <row r="27" spans="2:33" x14ac:dyDescent="0.2">
      <c r="D27" s="1" t="s">
        <v>0</v>
      </c>
      <c r="E27" s="3" t="s">
        <v>3</v>
      </c>
      <c r="I27" t="s">
        <v>5</v>
      </c>
      <c r="K27" s="1" t="s">
        <v>20</v>
      </c>
      <c r="L27" s="1" t="s">
        <v>21</v>
      </c>
    </row>
    <row r="28" spans="2:33" x14ac:dyDescent="0.2">
      <c r="C28" s="2" t="s">
        <v>2</v>
      </c>
      <c r="D28" s="2" t="s">
        <v>27</v>
      </c>
      <c r="E28" s="2" t="s">
        <v>28</v>
      </c>
      <c r="F28" s="2" t="s">
        <v>47</v>
      </c>
      <c r="G28" s="2" t="s">
        <v>46</v>
      </c>
      <c r="I28" s="2" t="s">
        <v>29</v>
      </c>
      <c r="K28" s="2" t="s">
        <v>12</v>
      </c>
      <c r="L28" s="2" t="s">
        <v>23</v>
      </c>
      <c r="O28" s="2" t="s">
        <v>50</v>
      </c>
      <c r="P28" s="2"/>
      <c r="R28" s="2" t="s">
        <v>37</v>
      </c>
      <c r="S28" s="2" t="s">
        <v>39</v>
      </c>
      <c r="T28" s="2" t="s">
        <v>52</v>
      </c>
      <c r="U28" s="2" t="s">
        <v>40</v>
      </c>
      <c r="W28" s="14" t="s">
        <v>35</v>
      </c>
      <c r="Z28" t="s">
        <v>42</v>
      </c>
      <c r="AA28" t="s">
        <v>56</v>
      </c>
      <c r="AD28" s="2" t="s">
        <v>22</v>
      </c>
      <c r="AE28" s="2" t="s">
        <v>46</v>
      </c>
      <c r="AF28" s="2" t="s">
        <v>12</v>
      </c>
      <c r="AG28" s="2" t="s">
        <v>42</v>
      </c>
    </row>
    <row r="29" spans="2:33" x14ac:dyDescent="0.2">
      <c r="B29" s="1" t="s">
        <v>14</v>
      </c>
      <c r="C29" s="2">
        <v>1</v>
      </c>
      <c r="D29" s="2">
        <v>225</v>
      </c>
      <c r="E29" s="2">
        <v>306</v>
      </c>
      <c r="F29" s="2">
        <f>ABS(D29-E29)</f>
        <v>81</v>
      </c>
      <c r="G29" s="2">
        <f>F29/1000</f>
        <v>8.1000000000000003E-2</v>
      </c>
      <c r="I29" s="2">
        <v>23.53</v>
      </c>
      <c r="K29" s="2">
        <f>SQRT(2*9.81*G29)</f>
        <v>1.2606426932323052</v>
      </c>
      <c r="L29" s="2">
        <f>$O$37/K29</f>
        <v>6.736347901812543E-5</v>
      </c>
      <c r="M29" s="1" t="s">
        <v>14</v>
      </c>
      <c r="O29" s="4">
        <f>0.002/I29</f>
        <v>8.499787505312367E-5</v>
      </c>
      <c r="R29" s="2">
        <f>0.16</f>
        <v>0.16</v>
      </c>
      <c r="S29" s="2">
        <f>SQRT(9.81/(2*G29))*$U$9</f>
        <v>1.5563490039905004E-2</v>
      </c>
      <c r="T29" s="2">
        <f>($S$9/$I$37^2)*$R$24 + (1/$I$37)*$V$9</f>
        <v>4.8228921727438728E-6</v>
      </c>
      <c r="U29" s="2">
        <f>(1/K29)*(($S$9/$I$37^2)*$R$37+(1/$I$37)*$V$9)+($O$37/K29^2)*SQRT(9.81/(2*G29))*$U$9</f>
        <v>4.6573886788188304E-6</v>
      </c>
      <c r="W29" s="12">
        <f>(1/K29)*T29+(O29/K29^2)*S29</f>
        <v>4.6581388099943498E-6</v>
      </c>
      <c r="Z29" s="14">
        <f>L29*1000000</f>
        <v>67.363479018125432</v>
      </c>
      <c r="AA29">
        <f>W29*1000000</f>
        <v>4.6581388099943499</v>
      </c>
      <c r="AD29" s="2">
        <f>O29</f>
        <v>8.499787505312367E-5</v>
      </c>
      <c r="AE29" s="2">
        <f>G29</f>
        <v>8.1000000000000003E-2</v>
      </c>
      <c r="AF29" s="2">
        <f>K29</f>
        <v>1.2606426932323052</v>
      </c>
      <c r="AG29" s="15">
        <f>Z29</f>
        <v>67.363479018125432</v>
      </c>
    </row>
    <row r="30" spans="2:33" x14ac:dyDescent="0.2">
      <c r="B30" s="1" t="s">
        <v>15</v>
      </c>
      <c r="C30" s="2">
        <v>2</v>
      </c>
      <c r="D30" s="2">
        <v>232</v>
      </c>
      <c r="E30" s="2">
        <v>304</v>
      </c>
      <c r="F30" s="2">
        <f t="shared" ref="F30:F35" si="21">ABS(D30-E30)</f>
        <v>72</v>
      </c>
      <c r="G30" s="2">
        <f t="shared" ref="G30:G34" si="22">F30/1000</f>
        <v>7.1999999999999995E-2</v>
      </c>
      <c r="I30" s="2">
        <v>23.67</v>
      </c>
      <c r="K30" s="2">
        <f t="shared" ref="K29:K34" si="23">SQRT(2*9.81*G30)</f>
        <v>1.1885453293837807</v>
      </c>
      <c r="L30" s="2">
        <f t="shared" ref="L30:L34" si="24">$O$37/K30</f>
        <v>7.1449759227051318E-5</v>
      </c>
      <c r="M30" s="1" t="s">
        <v>15</v>
      </c>
      <c r="O30" s="4">
        <f t="shared" ref="O30:O34" si="25">0.002/I30</f>
        <v>8.4495141529362052E-5</v>
      </c>
      <c r="R30" s="2">
        <f t="shared" ref="R30:R34" si="26">0.16</f>
        <v>0.16</v>
      </c>
      <c r="S30" s="2">
        <f>SQRT(9.81/(2*G30))*$U$9</f>
        <v>1.6507574019219182E-2</v>
      </c>
      <c r="T30" s="2">
        <f t="shared" ref="T30:T34" si="27">($S$9/$I$37^2)*$R$24 + (1/$I$37)*$V$9</f>
        <v>4.8228921727438728E-6</v>
      </c>
      <c r="U30" s="2">
        <f t="shared" ref="U30:U34" si="28">(1/K30)*(($S$9/$I$37^2)*$R$37+(1/$I$37)*$V$9)+($O$37/K30^2)*SQRT(9.81/(2*G30))*$U$9</f>
        <v>5.0501686502371954E-6</v>
      </c>
      <c r="W30" s="12">
        <f t="shared" ref="W30:W33" si="29">(1/K30)*T30+(O30/K30^2)*S30</f>
        <v>5.0451889859388587E-6</v>
      </c>
      <c r="Z30" s="14">
        <f t="shared" ref="Z30:Z34" si="30">L30*1000000</f>
        <v>71.449759227051317</v>
      </c>
      <c r="AA30">
        <f t="shared" ref="AA30:AA34" si="31">U30*1000000</f>
        <v>5.0501686502371959</v>
      </c>
      <c r="AE30" s="2">
        <f t="shared" ref="AE30:AE33" si="32">G30</f>
        <v>7.1999999999999995E-2</v>
      </c>
      <c r="AF30" s="2">
        <f t="shared" ref="AF30:AF34" si="33">K30</f>
        <v>1.1885453293837807</v>
      </c>
      <c r="AG30" s="15">
        <f t="shared" ref="AG30:AG33" si="34">Z30</f>
        <v>71.449759227051317</v>
      </c>
    </row>
    <row r="31" spans="2:33" x14ac:dyDescent="0.2">
      <c r="B31" s="1" t="s">
        <v>16</v>
      </c>
      <c r="C31" s="2">
        <v>3</v>
      </c>
      <c r="D31" s="2">
        <v>240</v>
      </c>
      <c r="E31" s="2">
        <v>297</v>
      </c>
      <c r="F31" s="2">
        <f t="shared" si="21"/>
        <v>57</v>
      </c>
      <c r="G31" s="2">
        <f t="shared" si="22"/>
        <v>5.7000000000000002E-2</v>
      </c>
      <c r="I31" s="2">
        <v>23.42</v>
      </c>
      <c r="K31" s="2">
        <f t="shared" si="23"/>
        <v>1.0575159573264132</v>
      </c>
      <c r="L31" s="2">
        <f t="shared" si="24"/>
        <v>8.0302596879581355E-5</v>
      </c>
      <c r="M31" s="1" t="s">
        <v>16</v>
      </c>
      <c r="O31" s="4">
        <f t="shared" si="25"/>
        <v>8.5397096498719045E-5</v>
      </c>
      <c r="R31" s="2">
        <f t="shared" si="26"/>
        <v>0.16</v>
      </c>
      <c r="S31" s="2">
        <f>SQRT(9.81/(2*G31))*$U$9</f>
        <v>1.8552911532042339E-2</v>
      </c>
      <c r="T31" s="2">
        <f t="shared" si="27"/>
        <v>4.8228921727438728E-6</v>
      </c>
      <c r="U31" s="2">
        <f t="shared" si="28"/>
        <v>5.9694032082539182E-6</v>
      </c>
      <c r="W31" s="12">
        <f t="shared" si="29"/>
        <v>5.9772968950187929E-6</v>
      </c>
      <c r="Z31" s="14">
        <f t="shared" si="30"/>
        <v>80.302596879581358</v>
      </c>
      <c r="AA31">
        <f t="shared" si="31"/>
        <v>5.9694032082539179</v>
      </c>
      <c r="AE31" s="2">
        <f t="shared" si="32"/>
        <v>5.7000000000000002E-2</v>
      </c>
      <c r="AF31" s="2">
        <f t="shared" si="33"/>
        <v>1.0575159573264132</v>
      </c>
      <c r="AG31" s="15">
        <f t="shared" si="34"/>
        <v>80.302596879581358</v>
      </c>
    </row>
    <row r="32" spans="2:33" x14ac:dyDescent="0.2">
      <c r="B32" s="1" t="s">
        <v>17</v>
      </c>
      <c r="C32" s="2">
        <v>4</v>
      </c>
      <c r="D32" s="2">
        <v>258</v>
      </c>
      <c r="E32" s="2">
        <v>288</v>
      </c>
      <c r="F32" s="2">
        <f t="shared" si="21"/>
        <v>30</v>
      </c>
      <c r="G32" s="2">
        <f t="shared" si="22"/>
        <v>0.03</v>
      </c>
      <c r="I32" s="2">
        <v>23.53</v>
      </c>
      <c r="K32" s="2">
        <f>SQRT(2*9.81*G32)</f>
        <v>0.76720271115266536</v>
      </c>
      <c r="L32" s="2">
        <f t="shared" si="24"/>
        <v>1.1068949103075976E-4</v>
      </c>
      <c r="M32" s="1" t="s">
        <v>17</v>
      </c>
      <c r="O32" s="4">
        <f t="shared" si="25"/>
        <v>8.499787505312367E-5</v>
      </c>
      <c r="R32" s="2">
        <f t="shared" si="26"/>
        <v>0.16</v>
      </c>
      <c r="S32" s="2">
        <f>SQRT(9.81/(2*G32))*$U$9</f>
        <v>2.5573423705088846E-2</v>
      </c>
      <c r="T32" s="2">
        <f t="shared" si="27"/>
        <v>4.8228921727438728E-6</v>
      </c>
      <c r="U32" s="2">
        <f>(1/K32)*(($S$9/$I$37^2)*$R$37+(1/$I$37)*$V$9)+($O$37/K32^2)*SQRT(9.81/(2*G32))*$U$9</f>
        <v>9.9759832900944179E-6</v>
      </c>
      <c r="W32" s="12">
        <f t="shared" si="29"/>
        <v>9.9793112865983695E-6</v>
      </c>
      <c r="Z32" s="14">
        <f t="shared" si="30"/>
        <v>110.68949103075977</v>
      </c>
      <c r="AA32">
        <f t="shared" si="31"/>
        <v>9.9759832900944172</v>
      </c>
      <c r="AE32" s="2">
        <f t="shared" si="32"/>
        <v>0.03</v>
      </c>
      <c r="AF32" s="2">
        <f t="shared" si="33"/>
        <v>0.76720271115266536</v>
      </c>
      <c r="AG32" s="15">
        <f t="shared" si="34"/>
        <v>110.68949103075977</v>
      </c>
    </row>
    <row r="33" spans="2:33" x14ac:dyDescent="0.2">
      <c r="B33" s="1" t="s">
        <v>18</v>
      </c>
      <c r="C33" s="2">
        <v>5</v>
      </c>
      <c r="D33" s="2">
        <v>273</v>
      </c>
      <c r="E33" s="2">
        <v>283</v>
      </c>
      <c r="F33" s="2">
        <f t="shared" si="21"/>
        <v>10</v>
      </c>
      <c r="G33" s="2">
        <f t="shared" si="22"/>
        <v>0.01</v>
      </c>
      <c r="I33" s="2">
        <v>23.46</v>
      </c>
      <c r="K33" s="2">
        <f t="shared" si="23"/>
        <v>0.44294469180700202</v>
      </c>
      <c r="L33" s="2">
        <f t="shared" si="24"/>
        <v>1.9171982232921546E-4</v>
      </c>
      <c r="M33" s="1" t="s">
        <v>18</v>
      </c>
      <c r="O33" s="4">
        <f t="shared" si="25"/>
        <v>8.5251491901108266E-5</v>
      </c>
      <c r="R33" s="2">
        <f t="shared" si="26"/>
        <v>0.16</v>
      </c>
      <c r="S33" s="2">
        <f>SQRT(9.81/(2*G33))*$U$9</f>
        <v>4.4294469180700208E-2</v>
      </c>
      <c r="T33" s="2">
        <f t="shared" si="27"/>
        <v>4.8228921727438728E-6</v>
      </c>
      <c r="U33" s="2">
        <f>(1/K33)*(($S$9/$I$37^2)*$R$37+(1/$I$37)*$V$9)+($O$37/K33^2)*SQRT(9.81/(2*G33))*$U$9</f>
        <v>3.0060231402516025E-5</v>
      </c>
      <c r="W33" s="12">
        <f t="shared" si="29"/>
        <v>3.0134781180921456E-5</v>
      </c>
      <c r="Z33" s="14">
        <f t="shared" si="30"/>
        <v>191.71982232921548</v>
      </c>
      <c r="AA33">
        <f t="shared" si="31"/>
        <v>30.060231402516024</v>
      </c>
      <c r="AE33" s="2">
        <f t="shared" si="32"/>
        <v>0.01</v>
      </c>
      <c r="AF33" s="2">
        <f t="shared" si="33"/>
        <v>0.44294469180700202</v>
      </c>
      <c r="AG33" s="15">
        <f t="shared" si="34"/>
        <v>191.71982232921548</v>
      </c>
    </row>
    <row r="34" spans="2:33" x14ac:dyDescent="0.2">
      <c r="B34" s="1" t="s">
        <v>19</v>
      </c>
      <c r="C34" s="2">
        <v>6</v>
      </c>
      <c r="D34" s="2">
        <v>284</v>
      </c>
      <c r="E34" s="2">
        <v>285</v>
      </c>
      <c r="F34" s="2">
        <f t="shared" si="21"/>
        <v>1</v>
      </c>
      <c r="G34" s="2">
        <f t="shared" si="22"/>
        <v>1E-3</v>
      </c>
      <c r="I34" s="2">
        <v>23.7</v>
      </c>
      <c r="K34" s="2">
        <f>SQRT(2*9.81*G34)</f>
        <v>0.14007141035914503</v>
      </c>
      <c r="L34" s="2">
        <f t="shared" si="24"/>
        <v>6.0627131116312882E-4</v>
      </c>
      <c r="M34" s="1" t="s">
        <v>19</v>
      </c>
      <c r="O34" s="4">
        <f t="shared" si="25"/>
        <v>8.4388185654008449E-5</v>
      </c>
      <c r="R34" s="2">
        <f t="shared" si="26"/>
        <v>0.16</v>
      </c>
      <c r="S34" s="2">
        <f>SQRT(9.81/(2*G34))*$U$9</f>
        <v>0.14007141035914503</v>
      </c>
      <c r="T34" s="2">
        <f t="shared" si="27"/>
        <v>4.8228921727438728E-6</v>
      </c>
      <c r="U34" s="2">
        <f>(1/K34)*(($S$9/$I$37^2)*$R$37+(1/$I$37)*$V$9)+($O$37/K34^2)*SQRT(9.81/(2*G34))*$U$9</f>
        <v>6.4070297827048431E-4</v>
      </c>
      <c r="W34" s="12">
        <f>(1/K34)*T34+(O34/K34^2)*S34</f>
        <v>6.3689711981919697E-4</v>
      </c>
      <c r="Z34" s="14">
        <f t="shared" si="30"/>
        <v>606.27131116312887</v>
      </c>
      <c r="AA34">
        <f t="shared" si="31"/>
        <v>640.70297827048432</v>
      </c>
      <c r="AE34" s="2">
        <f>G34</f>
        <v>1E-3</v>
      </c>
      <c r="AF34" s="2">
        <f t="shared" si="33"/>
        <v>0.14007141035914503</v>
      </c>
      <c r="AG34" s="15">
        <f>Z34</f>
        <v>606.27131116312887</v>
      </c>
    </row>
    <row r="35" spans="2:33" x14ac:dyDescent="0.2">
      <c r="C35" s="12"/>
      <c r="D35" s="12"/>
      <c r="E35" s="12"/>
      <c r="F35" s="12"/>
      <c r="G35" s="12"/>
      <c r="H35" s="13"/>
      <c r="I35" s="12"/>
      <c r="J35" s="13"/>
      <c r="K35" s="12"/>
      <c r="L35" s="12"/>
      <c r="M35" s="12"/>
      <c r="N35" s="13"/>
    </row>
    <row r="36" spans="2:33" x14ac:dyDescent="0.2">
      <c r="I36" t="s">
        <v>31</v>
      </c>
      <c r="O36" t="s">
        <v>30</v>
      </c>
      <c r="R36" s="2" t="s">
        <v>41</v>
      </c>
      <c r="S36" s="1"/>
      <c r="T36" s="2" t="s">
        <v>36</v>
      </c>
    </row>
    <row r="37" spans="2:33" x14ac:dyDescent="0.2">
      <c r="I37">
        <f>AVERAGE(I29:I34)</f>
        <v>23.551666666666666</v>
      </c>
      <c r="O37">
        <f>AVERAGE(O29:O34)</f>
        <v>8.4921277614907525E-5</v>
      </c>
      <c r="R37" s="2">
        <v>0.16</v>
      </c>
      <c r="S37" s="1"/>
      <c r="T37" s="2">
        <f t="shared" ref="T37" si="35">($S$9/$I$37^2)*$R$24 + (1/$I$37)*$V$9</f>
        <v>4.8228921727438728E-6</v>
      </c>
    </row>
    <row r="39" spans="2:33" x14ac:dyDescent="0.2">
      <c r="C39" t="s">
        <v>10</v>
      </c>
      <c r="D39" s="1"/>
      <c r="E39" s="1"/>
    </row>
    <row r="41" spans="2:33" x14ac:dyDescent="0.2">
      <c r="D41" s="1" t="s">
        <v>0</v>
      </c>
      <c r="E41" s="3" t="s">
        <v>3</v>
      </c>
      <c r="G41" s="5"/>
      <c r="H41" s="5"/>
      <c r="I41" s="5" t="s">
        <v>6</v>
      </c>
      <c r="J41" s="5"/>
      <c r="K41" s="6" t="s">
        <v>20</v>
      </c>
      <c r="L41" s="6" t="s">
        <v>21</v>
      </c>
    </row>
    <row r="42" spans="2:33" x14ac:dyDescent="0.2">
      <c r="C42" s="2" t="s">
        <v>2</v>
      </c>
      <c r="D42" s="2" t="s">
        <v>27</v>
      </c>
      <c r="E42" s="2" t="s">
        <v>28</v>
      </c>
      <c r="F42" s="2" t="s">
        <v>47</v>
      </c>
      <c r="G42" s="2" t="s">
        <v>46</v>
      </c>
      <c r="H42" s="5"/>
      <c r="I42" s="2" t="s">
        <v>29</v>
      </c>
      <c r="J42" s="5"/>
      <c r="K42" s="8" t="s">
        <v>12</v>
      </c>
      <c r="L42" s="9" t="s">
        <v>23</v>
      </c>
      <c r="O42" s="2" t="s">
        <v>50</v>
      </c>
      <c r="P42" s="2"/>
      <c r="R42" s="2" t="s">
        <v>37</v>
      </c>
      <c r="S42" s="2" t="s">
        <v>39</v>
      </c>
      <c r="T42" s="2" t="s">
        <v>52</v>
      </c>
      <c r="U42" s="2" t="s">
        <v>40</v>
      </c>
      <c r="W42" s="14" t="s">
        <v>35</v>
      </c>
      <c r="Z42" t="s">
        <v>42</v>
      </c>
      <c r="AA42" t="s">
        <v>56</v>
      </c>
      <c r="AD42" s="2" t="s">
        <v>22</v>
      </c>
      <c r="AE42" s="2" t="s">
        <v>46</v>
      </c>
      <c r="AF42" s="2" t="s">
        <v>12</v>
      </c>
      <c r="AG42" s="2" t="s">
        <v>42</v>
      </c>
    </row>
    <row r="43" spans="2:33" x14ac:dyDescent="0.2">
      <c r="B43" s="1" t="s">
        <v>14</v>
      </c>
      <c r="C43" s="2">
        <v>1</v>
      </c>
      <c r="D43" s="2">
        <v>122</v>
      </c>
      <c r="E43" s="2">
        <v>275</v>
      </c>
      <c r="F43" s="2">
        <f>ABS(D43-E43)</f>
        <v>153</v>
      </c>
      <c r="G43" s="2">
        <f>F43/1000</f>
        <v>0.153</v>
      </c>
      <c r="H43" s="5"/>
      <c r="I43" s="2">
        <v>17.55</v>
      </c>
      <c r="J43" s="5"/>
      <c r="K43" s="2">
        <f>SQRT(2*9.81*G43)</f>
        <v>1.7325876601199721</v>
      </c>
      <c r="L43" s="2">
        <f>$O$51/K43</f>
        <v>6.5708679999632274E-5</v>
      </c>
      <c r="M43" s="1" t="s">
        <v>14</v>
      </c>
      <c r="O43" s="4">
        <f>0.002/I43</f>
        <v>1.1396011396011396E-4</v>
      </c>
      <c r="R43" s="2">
        <f>0.16</f>
        <v>0.16</v>
      </c>
      <c r="S43" s="2">
        <f>SQRT(9.81/(2*G43))*$U$9</f>
        <v>1.1324102353725309E-2</v>
      </c>
      <c r="T43" s="2">
        <f>($S$9/$I$51^2)*$R$51 + (1/$I$51)*$V$9</f>
        <v>6.7288449281500106E-6</v>
      </c>
      <c r="U43" s="2">
        <f>(1/K43)*(($S$9/$I$51^2)*$R$51+(1/$I$51)*$V$9)+($O$51/K43^2)*SQRT(9.81/(2*G43))*$U$9</f>
        <v>4.3131651679180092E-6</v>
      </c>
      <c r="W43" s="12">
        <f>(1/K43)*T43+(O43/K43^2)*S43</f>
        <v>4.3135954655114161E-6</v>
      </c>
      <c r="Z43" s="14">
        <f>L43*1000000</f>
        <v>65.708679999632281</v>
      </c>
      <c r="AA43">
        <f>W43*1000000</f>
        <v>4.3135954655114164</v>
      </c>
      <c r="AD43" s="2">
        <f>O43</f>
        <v>1.1396011396011396E-4</v>
      </c>
      <c r="AE43" s="2">
        <f>G43</f>
        <v>0.153</v>
      </c>
      <c r="AF43" s="2">
        <f>K43</f>
        <v>1.7325876601199721</v>
      </c>
      <c r="AG43" s="15">
        <f>Z43</f>
        <v>65.708679999632281</v>
      </c>
    </row>
    <row r="44" spans="2:33" x14ac:dyDescent="0.2">
      <c r="B44" s="1" t="s">
        <v>15</v>
      </c>
      <c r="C44" s="2">
        <v>2</v>
      </c>
      <c r="D44" s="2">
        <v>139</v>
      </c>
      <c r="E44" s="2">
        <v>259</v>
      </c>
      <c r="F44" s="2">
        <f t="shared" ref="F44:F49" si="36">ABS(D44-E44)</f>
        <v>120</v>
      </c>
      <c r="G44" s="2">
        <f t="shared" ref="G44:G48" si="37">F44/1000</f>
        <v>0.12</v>
      </c>
      <c r="H44" s="5"/>
      <c r="I44" s="2">
        <v>17.47</v>
      </c>
      <c r="J44" s="5"/>
      <c r="K44" s="2">
        <f t="shared" ref="K44:K48" si="38">SQRT(2*9.81*G44)</f>
        <v>1.5344054223053307</v>
      </c>
      <c r="L44" s="2">
        <f t="shared" ref="L44:L48" si="39">$O$51/K44</f>
        <v>7.419554602400298E-5</v>
      </c>
      <c r="M44" s="1" t="s">
        <v>15</v>
      </c>
      <c r="O44" s="4">
        <f t="shared" ref="O44:O48" si="40">0.002/I44</f>
        <v>1.1448196908986836E-4</v>
      </c>
      <c r="R44" s="2">
        <f t="shared" ref="R44:R48" si="41">0.16</f>
        <v>0.16</v>
      </c>
      <c r="S44" s="2">
        <f>SQRT(9.81/(2*G44))*$U$9</f>
        <v>1.2786711852544423E-2</v>
      </c>
      <c r="T44" s="2">
        <f>($S$9/$I$51^2)*$R$51 + (1/$I$51)*$V$9</f>
        <v>6.7288449281500106E-6</v>
      </c>
      <c r="U44" s="2">
        <f t="shared" ref="U44:U48" si="42">(1/K44)*(($S$9/$I$51^2)*$R$51+(1/$I$51)*$V$9)+($O$51/K44^2)*SQRT(9.81/(2*G44))*$U$9</f>
        <v>5.0036071850985548E-6</v>
      </c>
      <c r="W44" s="12">
        <f t="shared" ref="W44:W47" si="43">(1/K44)*T44+(O44/K44^2)*S44</f>
        <v>5.0070608624996364E-6</v>
      </c>
      <c r="Z44" s="14">
        <f t="shared" ref="Z44:Z48" si="44">L44*1000000</f>
        <v>74.195546024002979</v>
      </c>
      <c r="AA44">
        <f t="shared" ref="AA44:AA48" si="45">U44*1000000</f>
        <v>5.0036071850985548</v>
      </c>
      <c r="AE44" s="2">
        <f t="shared" ref="AE44:AE47" si="46">G44</f>
        <v>0.12</v>
      </c>
      <c r="AF44" s="2">
        <f t="shared" ref="AF44:AF48" si="47">K44</f>
        <v>1.5344054223053307</v>
      </c>
      <c r="AG44" s="15">
        <f t="shared" ref="AG44:AG47" si="48">Z44</f>
        <v>74.195546024002979</v>
      </c>
    </row>
    <row r="45" spans="2:33" x14ac:dyDescent="0.2">
      <c r="B45" s="1" t="s">
        <v>16</v>
      </c>
      <c r="C45" s="2">
        <v>3</v>
      </c>
      <c r="D45" s="2">
        <v>162</v>
      </c>
      <c r="E45" s="2">
        <v>249</v>
      </c>
      <c r="F45" s="2">
        <f t="shared" si="36"/>
        <v>87</v>
      </c>
      <c r="G45" s="2">
        <f t="shared" si="37"/>
        <v>8.6999999999999994E-2</v>
      </c>
      <c r="H45" s="5"/>
      <c r="I45" s="2">
        <v>17.47</v>
      </c>
      <c r="J45" s="5"/>
      <c r="K45" s="2">
        <f>SQRT(2*9.81*G45)</f>
        <v>1.306499138920497</v>
      </c>
      <c r="L45" s="2">
        <f t="shared" si="39"/>
        <v>8.7138249646456642E-5</v>
      </c>
      <c r="M45" s="1" t="s">
        <v>16</v>
      </c>
      <c r="O45" s="4">
        <f t="shared" si="40"/>
        <v>1.1448196908986836E-4</v>
      </c>
      <c r="R45" s="2">
        <f t="shared" si="41"/>
        <v>0.16</v>
      </c>
      <c r="S45" s="2">
        <f>SQRT(9.81/(2*G45))*$U$9</f>
        <v>1.5017231481844794E-2</v>
      </c>
      <c r="T45" s="2">
        <f>($S$9/$I$51^2)*$R$51 + (1/$I$51)*$V$9</f>
        <v>6.7288449281500106E-6</v>
      </c>
      <c r="U45" s="2">
        <f t="shared" si="42"/>
        <v>6.151875615206757E-6</v>
      </c>
      <c r="W45" s="12">
        <f t="shared" si="43"/>
        <v>6.1574702888663315E-6</v>
      </c>
      <c r="Z45" s="14">
        <f t="shared" si="44"/>
        <v>87.138249646456643</v>
      </c>
      <c r="AA45">
        <f t="shared" si="45"/>
        <v>6.1518756152067571</v>
      </c>
      <c r="AE45" s="2">
        <f t="shared" si="46"/>
        <v>8.6999999999999994E-2</v>
      </c>
      <c r="AF45" s="2">
        <f t="shared" si="47"/>
        <v>1.306499138920497</v>
      </c>
      <c r="AG45" s="15">
        <f t="shared" si="48"/>
        <v>87.138249646456643</v>
      </c>
    </row>
    <row r="46" spans="2:33" x14ac:dyDescent="0.2">
      <c r="B46" s="1" t="s">
        <v>17</v>
      </c>
      <c r="C46" s="2">
        <v>4</v>
      </c>
      <c r="D46" s="2">
        <v>188</v>
      </c>
      <c r="E46" s="2">
        <v>238</v>
      </c>
      <c r="F46" s="2">
        <f t="shared" si="36"/>
        <v>50</v>
      </c>
      <c r="G46" s="2">
        <f t="shared" si="37"/>
        <v>0.05</v>
      </c>
      <c r="H46" s="5"/>
      <c r="I46" s="2">
        <v>17.809999999999999</v>
      </c>
      <c r="J46" s="5"/>
      <c r="K46" s="2">
        <f t="shared" si="38"/>
        <v>0.99045444115315073</v>
      </c>
      <c r="L46" s="2">
        <f t="shared" si="39"/>
        <v>1.1494324564549178E-4</v>
      </c>
      <c r="M46" s="1" t="s">
        <v>17</v>
      </c>
      <c r="O46" s="4">
        <f t="shared" si="40"/>
        <v>1.1229646266142618E-4</v>
      </c>
      <c r="R46" s="2">
        <f t="shared" si="41"/>
        <v>0.16</v>
      </c>
      <c r="S46" s="2">
        <f>SQRT(9.81/(2*G46))*$U$9</f>
        <v>1.9809088823063016E-2</v>
      </c>
      <c r="T46" s="2">
        <f>($S$9/$I$51^2)*$R$51 + (1/$I$51)*$V$9</f>
        <v>6.7288449281500106E-6</v>
      </c>
      <c r="U46" s="2">
        <f t="shared" si="42"/>
        <v>9.0925594520709279E-6</v>
      </c>
      <c r="W46" s="12">
        <f t="shared" si="43"/>
        <v>9.0612690584026517E-6</v>
      </c>
      <c r="Z46" s="14">
        <f t="shared" si="44"/>
        <v>114.94324564549179</v>
      </c>
      <c r="AA46">
        <f t="shared" si="45"/>
        <v>9.0925594520709279</v>
      </c>
      <c r="AE46" s="2">
        <f t="shared" si="46"/>
        <v>0.05</v>
      </c>
      <c r="AF46" s="2">
        <f t="shared" si="47"/>
        <v>0.99045444115315073</v>
      </c>
      <c r="AG46" s="15">
        <f t="shared" si="48"/>
        <v>114.94324564549179</v>
      </c>
    </row>
    <row r="47" spans="2:33" x14ac:dyDescent="0.2">
      <c r="B47" s="1" t="s">
        <v>18</v>
      </c>
      <c r="C47" s="2">
        <v>5</v>
      </c>
      <c r="D47" s="2">
        <v>213</v>
      </c>
      <c r="E47" s="2">
        <v>230</v>
      </c>
      <c r="F47" s="2">
        <f t="shared" si="36"/>
        <v>17</v>
      </c>
      <c r="G47" s="2">
        <f t="shared" si="37"/>
        <v>1.7000000000000001E-2</v>
      </c>
      <c r="H47" s="5"/>
      <c r="I47" s="2">
        <v>17.579999999999998</v>
      </c>
      <c r="J47" s="5"/>
      <c r="K47" s="2">
        <f>SQRT(2*9.81*G47)</f>
        <v>0.57752922003999074</v>
      </c>
      <c r="L47" s="2">
        <f t="shared" si="39"/>
        <v>1.9712603999889682E-4</v>
      </c>
      <c r="M47" s="1" t="s">
        <v>18</v>
      </c>
      <c r="O47" s="4">
        <f t="shared" si="40"/>
        <v>1.1376564277588169E-4</v>
      </c>
      <c r="R47" s="2">
        <f t="shared" si="41"/>
        <v>0.16</v>
      </c>
      <c r="S47" s="2">
        <f>SQRT(9.81/(2*G47))*$U$9</f>
        <v>3.3972307061175926E-2</v>
      </c>
      <c r="T47" s="2">
        <f>($S$9/$I$51^2)*$R$51 + (1/$I$51)*$V$9</f>
        <v>6.7288449281500106E-6</v>
      </c>
      <c r="U47" s="2">
        <f t="shared" si="42"/>
        <v>2.3246739425264969E-5</v>
      </c>
      <c r="W47" s="12">
        <f t="shared" si="43"/>
        <v>2.3238549836657748E-5</v>
      </c>
      <c r="Z47" s="14">
        <f t="shared" si="44"/>
        <v>197.12603999889683</v>
      </c>
      <c r="AA47">
        <f t="shared" si="45"/>
        <v>23.24673942526497</v>
      </c>
      <c r="AE47" s="2">
        <f t="shared" si="46"/>
        <v>1.7000000000000001E-2</v>
      </c>
      <c r="AF47" s="2">
        <f t="shared" si="47"/>
        <v>0.57752922003999074</v>
      </c>
      <c r="AG47" s="15">
        <f t="shared" si="48"/>
        <v>197.12603999889683</v>
      </c>
    </row>
    <row r="48" spans="2:33" x14ac:dyDescent="0.2">
      <c r="B48" s="1" t="s">
        <v>19</v>
      </c>
      <c r="C48" s="2">
        <v>6</v>
      </c>
      <c r="D48" s="2">
        <v>234</v>
      </c>
      <c r="E48" s="2">
        <v>241</v>
      </c>
      <c r="F48" s="2">
        <f t="shared" si="36"/>
        <v>7</v>
      </c>
      <c r="G48" s="2">
        <f t="shared" si="37"/>
        <v>7.0000000000000001E-3</v>
      </c>
      <c r="H48" s="5"/>
      <c r="I48" s="2">
        <v>17.53</v>
      </c>
      <c r="J48" s="5"/>
      <c r="K48" s="2">
        <f t="shared" si="38"/>
        <v>0.37059411760037425</v>
      </c>
      <c r="L48" s="2">
        <f t="shared" si="39"/>
        <v>3.0719874580659E-4</v>
      </c>
      <c r="M48" s="1" t="s">
        <v>19</v>
      </c>
      <c r="O48" s="4">
        <f t="shared" si="40"/>
        <v>1.1409013120365088E-4</v>
      </c>
      <c r="R48" s="2">
        <f t="shared" si="41"/>
        <v>0.16</v>
      </c>
      <c r="S48" s="2">
        <f>SQRT(9.81/(2*G48))*$U$9</f>
        <v>5.2942016800053469E-2</v>
      </c>
      <c r="T48" s="2">
        <f>($S$9/$I$51^2)*$R$51 + (1/$I$51)*$V$9</f>
        <v>6.7288449281500106E-6</v>
      </c>
      <c r="U48" s="2">
        <f>(1/K48)*(($S$9/$I$51^2)*$R$51+(1/$I$51)*$V$9)+($O$51/K48^2)*SQRT(9.81/(2*G48))*$U$9</f>
        <v>6.2042447512325631E-5</v>
      </c>
      <c r="W48" s="12">
        <f>(1/K48)*T48+(O48/K48^2)*S48</f>
        <v>6.2136536999574015E-5</v>
      </c>
      <c r="Z48" s="14">
        <f t="shared" si="44"/>
        <v>307.19874580659001</v>
      </c>
      <c r="AA48">
        <f t="shared" si="45"/>
        <v>62.04244751232563</v>
      </c>
      <c r="AE48" s="2">
        <f>G48</f>
        <v>7.0000000000000001E-3</v>
      </c>
      <c r="AF48" s="2">
        <f t="shared" si="47"/>
        <v>0.37059411760037425</v>
      </c>
      <c r="AG48" s="15">
        <f>Z48</f>
        <v>307.19874580659001</v>
      </c>
    </row>
    <row r="49" spans="2:33" x14ac:dyDescent="0.2">
      <c r="C49" s="2"/>
      <c r="D49" s="2"/>
      <c r="E49" s="2"/>
      <c r="F49" s="2"/>
      <c r="G49" s="2"/>
      <c r="H49" s="5"/>
      <c r="I49" s="2"/>
      <c r="J49" s="5"/>
      <c r="K49" s="10"/>
      <c r="L49" s="11"/>
    </row>
    <row r="50" spans="2:33" x14ac:dyDescent="0.2">
      <c r="I50" t="s">
        <v>31</v>
      </c>
      <c r="O50" t="s">
        <v>30</v>
      </c>
      <c r="R50" s="2" t="s">
        <v>41</v>
      </c>
      <c r="S50" s="1"/>
      <c r="T50" s="2" t="s">
        <v>36</v>
      </c>
    </row>
    <row r="51" spans="2:33" x14ac:dyDescent="0.2">
      <c r="I51">
        <f>AVERAGE(I43:I48)</f>
        <v>17.568333333333332</v>
      </c>
      <c r="O51">
        <f>AVERAGE(O43:O48)</f>
        <v>1.1384604813013489E-4</v>
      </c>
      <c r="R51" s="2">
        <v>0.16</v>
      </c>
      <c r="S51" s="1"/>
      <c r="T51" s="2">
        <f>($S$9/$I$51^2)*$R$51 + (1/$I$51)*$V$9</f>
        <v>6.7288449281500106E-6</v>
      </c>
    </row>
    <row r="53" spans="2:33" x14ac:dyDescent="0.2">
      <c r="C53" s="5" t="s">
        <v>11</v>
      </c>
      <c r="D53" s="6"/>
      <c r="E53" s="6"/>
      <c r="F53" s="5"/>
    </row>
    <row r="54" spans="2:33" x14ac:dyDescent="0.2">
      <c r="C54" s="5"/>
      <c r="D54" s="5"/>
      <c r="E54" s="5"/>
      <c r="F54" s="5"/>
    </row>
    <row r="55" spans="2:33" x14ac:dyDescent="0.2">
      <c r="C55" s="5"/>
      <c r="D55" s="6" t="s">
        <v>0</v>
      </c>
      <c r="E55" s="7" t="s">
        <v>3</v>
      </c>
      <c r="F55" s="7"/>
      <c r="G55" s="5"/>
      <c r="H55" s="5"/>
      <c r="I55" s="5" t="s">
        <v>7</v>
      </c>
      <c r="J55" s="5"/>
      <c r="K55" s="6" t="s">
        <v>20</v>
      </c>
      <c r="L55" s="6" t="s">
        <v>21</v>
      </c>
    </row>
    <row r="56" spans="2:33" x14ac:dyDescent="0.2">
      <c r="C56" s="8" t="s">
        <v>2</v>
      </c>
      <c r="D56" s="2" t="s">
        <v>27</v>
      </c>
      <c r="E56" s="2" t="s">
        <v>28</v>
      </c>
      <c r="F56" s="2" t="s">
        <v>47</v>
      </c>
      <c r="G56" s="2" t="s">
        <v>46</v>
      </c>
      <c r="H56" s="5"/>
      <c r="I56" s="2" t="s">
        <v>29</v>
      </c>
      <c r="J56" s="5"/>
      <c r="K56" s="8" t="s">
        <v>12</v>
      </c>
      <c r="L56" s="9" t="s">
        <v>23</v>
      </c>
      <c r="O56" s="2" t="s">
        <v>50</v>
      </c>
      <c r="P56" s="2"/>
      <c r="R56" s="2" t="s">
        <v>37</v>
      </c>
      <c r="S56" s="2" t="s">
        <v>39</v>
      </c>
      <c r="T56" s="2" t="s">
        <v>52</v>
      </c>
      <c r="U56" s="2" t="s">
        <v>40</v>
      </c>
      <c r="W56" s="14" t="s">
        <v>35</v>
      </c>
      <c r="Z56" t="s">
        <v>42</v>
      </c>
      <c r="AA56" t="s">
        <v>56</v>
      </c>
      <c r="AD56" s="2" t="s">
        <v>22</v>
      </c>
      <c r="AE56" s="2" t="s">
        <v>46</v>
      </c>
      <c r="AF56" s="2" t="s">
        <v>12</v>
      </c>
      <c r="AG56" s="2" t="s">
        <v>42</v>
      </c>
    </row>
    <row r="57" spans="2:33" x14ac:dyDescent="0.2">
      <c r="B57" s="1" t="s">
        <v>14</v>
      </c>
      <c r="C57" s="10">
        <v>1</v>
      </c>
      <c r="D57" s="11">
        <v>124</v>
      </c>
      <c r="E57" s="11">
        <v>372</v>
      </c>
      <c r="F57" s="2">
        <f>ABS(D57-E57)</f>
        <v>248</v>
      </c>
      <c r="G57" s="2">
        <f>F57/1000</f>
        <v>0.248</v>
      </c>
      <c r="H57" s="5"/>
      <c r="I57" s="2">
        <v>12.71</v>
      </c>
      <c r="J57" s="5"/>
      <c r="K57" s="2">
        <f>SQRT(2*9.81*G57)</f>
        <v>2.2058467761836948</v>
      </c>
      <c r="L57" s="2">
        <f>$O$65/K57</f>
        <v>7.0984996105813891E-5</v>
      </c>
      <c r="M57" s="1" t="s">
        <v>14</v>
      </c>
      <c r="O57" s="4">
        <f>0.002/I57</f>
        <v>1.5735641227380016E-4</v>
      </c>
      <c r="R57" s="2">
        <f>0.16</f>
        <v>0.16</v>
      </c>
      <c r="S57" s="2">
        <f>SQRT(9.81/(2*G57))*$U$9</f>
        <v>8.894543452353609E-3</v>
      </c>
      <c r="T57" s="2">
        <f>($S$9/$I$65^2)*$R$65 + (1/$I$65)*$V$9</f>
        <v>9.7885654543296017E-6</v>
      </c>
      <c r="U57" s="2">
        <f>(1/K57)*(($S$9/$I$65^2)*$R$51+(1/$I$65)*$V$9)+($O$65/K57^2)*SQRT(9.81/(2*G57))*$U$9</f>
        <v>4.7237843984274001E-6</v>
      </c>
      <c r="W57" s="12">
        <f>(1/K57)*T57+(O57/K57^2)*S57</f>
        <v>4.7251999682211662E-6</v>
      </c>
      <c r="Z57" s="14">
        <f>L57*1000000</f>
        <v>70.984996105813892</v>
      </c>
      <c r="AA57">
        <f>W57*1000000</f>
        <v>4.7251999682211663</v>
      </c>
      <c r="AD57" s="2">
        <f>O57</f>
        <v>1.5735641227380016E-4</v>
      </c>
      <c r="AE57" s="2">
        <f>G57</f>
        <v>0.248</v>
      </c>
      <c r="AF57" s="2">
        <f>K57</f>
        <v>2.2058467761836948</v>
      </c>
      <c r="AG57" s="15">
        <f>Z57</f>
        <v>70.984996105813892</v>
      </c>
    </row>
    <row r="58" spans="2:33" x14ac:dyDescent="0.2">
      <c r="B58" s="1" t="s">
        <v>15</v>
      </c>
      <c r="C58" s="10">
        <v>2</v>
      </c>
      <c r="D58" s="11">
        <v>152</v>
      </c>
      <c r="E58" s="11">
        <v>351</v>
      </c>
      <c r="F58" s="2">
        <f t="shared" ref="F58:F62" si="49">ABS(D58-E58)</f>
        <v>199</v>
      </c>
      <c r="G58" s="2">
        <f t="shared" ref="G58:G62" si="50">F58/1000</f>
        <v>0.19900000000000001</v>
      </c>
      <c r="H58" s="5"/>
      <c r="I58" s="2">
        <v>12.91</v>
      </c>
      <c r="J58" s="5"/>
      <c r="K58" s="2">
        <f t="shared" ref="K58:K62" si="51">SQRT(2*9.81*G58)</f>
        <v>1.9759504042358957</v>
      </c>
      <c r="L58" s="2">
        <f t="shared" ref="L58:L62" si="52">$O$65/K58</f>
        <v>7.9243904341805732E-5</v>
      </c>
      <c r="M58" s="1" t="s">
        <v>15</v>
      </c>
      <c r="O58" s="4">
        <f t="shared" ref="O58:O62" si="53">0.002/I58</f>
        <v>1.549186676994578E-4</v>
      </c>
      <c r="R58" s="2">
        <f t="shared" ref="R58:R62" si="54">0.16</f>
        <v>0.16</v>
      </c>
      <c r="S58" s="2">
        <f>SQRT(9.81/(2*G58))*$U$9</f>
        <v>9.9293990162607829E-3</v>
      </c>
      <c r="T58" s="2">
        <f t="shared" ref="T58:T62" si="55">($S$9/$I$65^2)*$R$65 + (1/$I$65)*$V$9</f>
        <v>9.7885654543296017E-6</v>
      </c>
      <c r="U58" s="2">
        <f t="shared" ref="U58:U62" si="56">(1/K58)*(($S$9/$I$65^2)*$R$51+(1/$I$65)*$V$9)+($O$65/K58^2)*SQRT(9.81/(2*G58))*$U$9</f>
        <v>5.3520623683038873E-6</v>
      </c>
      <c r="W58" s="12">
        <f t="shared" ref="W58:W61" si="57">(1/K58)*T58+(O58/K58^2)*S58</f>
        <v>5.3478322122917158E-6</v>
      </c>
      <c r="Z58" s="14">
        <f t="shared" ref="Z58:Z62" si="58">L58*1000000</f>
        <v>79.243904341805731</v>
      </c>
      <c r="AA58">
        <f t="shared" ref="AA58:AA62" si="59">U58*1000000</f>
        <v>5.352062368303887</v>
      </c>
      <c r="AE58" s="2">
        <f t="shared" ref="AE58:AE61" si="60">G58</f>
        <v>0.19900000000000001</v>
      </c>
      <c r="AF58" s="2">
        <f t="shared" ref="AF58:AF62" si="61">K58</f>
        <v>1.9759504042358957</v>
      </c>
      <c r="AG58" s="15">
        <f t="shared" ref="AG58:AG61" si="62">Z58</f>
        <v>79.243904341805731</v>
      </c>
    </row>
    <row r="59" spans="2:33" x14ac:dyDescent="0.2">
      <c r="B59" s="1" t="s">
        <v>16</v>
      </c>
      <c r="C59" s="10">
        <v>3</v>
      </c>
      <c r="D59" s="11">
        <v>190</v>
      </c>
      <c r="E59" s="11">
        <v>333</v>
      </c>
      <c r="F59" s="2">
        <f t="shared" si="49"/>
        <v>143</v>
      </c>
      <c r="G59" s="2">
        <f t="shared" si="50"/>
        <v>0.14299999999999999</v>
      </c>
      <c r="H59" s="5"/>
      <c r="I59" s="2">
        <v>12.77</v>
      </c>
      <c r="J59" s="5"/>
      <c r="K59" s="2">
        <f t="shared" si="51"/>
        <v>1.6750104477286105</v>
      </c>
      <c r="L59" s="2">
        <f t="shared" si="52"/>
        <v>9.3481222776702056E-5</v>
      </c>
      <c r="M59" s="1" t="s">
        <v>16</v>
      </c>
      <c r="O59" s="4">
        <f t="shared" si="53"/>
        <v>1.5661707126076742E-4</v>
      </c>
      <c r="R59" s="2">
        <f t="shared" si="54"/>
        <v>0.16</v>
      </c>
      <c r="S59" s="2">
        <f>SQRT(9.81/(2*G59))*$U$9</f>
        <v>1.1713359774325948E-2</v>
      </c>
      <c r="T59" s="2">
        <f t="shared" si="55"/>
        <v>9.7885654543296017E-6</v>
      </c>
      <c r="U59" s="2">
        <f t="shared" si="56"/>
        <v>6.4975980678900259E-6</v>
      </c>
      <c r="W59" s="12">
        <f t="shared" si="57"/>
        <v>6.4977443834092688E-6</v>
      </c>
      <c r="Z59" s="14">
        <f t="shared" si="58"/>
        <v>93.481222776702054</v>
      </c>
      <c r="AA59">
        <f t="shared" si="59"/>
        <v>6.497598067890026</v>
      </c>
      <c r="AE59" s="2">
        <f t="shared" si="60"/>
        <v>0.14299999999999999</v>
      </c>
      <c r="AF59" s="2">
        <f t="shared" si="61"/>
        <v>1.6750104477286105</v>
      </c>
      <c r="AG59" s="15">
        <f t="shared" si="62"/>
        <v>93.481222776702054</v>
      </c>
    </row>
    <row r="60" spans="2:33" x14ac:dyDescent="0.2">
      <c r="B60" s="1" t="s">
        <v>17</v>
      </c>
      <c r="C60" s="10">
        <v>4</v>
      </c>
      <c r="D60" s="11">
        <v>232</v>
      </c>
      <c r="E60" s="11">
        <v>312</v>
      </c>
      <c r="F60" s="2">
        <f t="shared" si="49"/>
        <v>80</v>
      </c>
      <c r="G60" s="2">
        <f t="shared" si="50"/>
        <v>0.08</v>
      </c>
      <c r="H60" s="5"/>
      <c r="I60" s="2">
        <v>12.9</v>
      </c>
      <c r="J60" s="5"/>
      <c r="K60" s="2">
        <f t="shared" si="51"/>
        <v>1.252836781069266</v>
      </c>
      <c r="L60" s="2">
        <f t="shared" si="52"/>
        <v>1.2498198263606429E-4</v>
      </c>
      <c r="M60" s="1" t="s">
        <v>17</v>
      </c>
      <c r="O60" s="4">
        <f t="shared" si="53"/>
        <v>1.5503875968992249E-4</v>
      </c>
      <c r="R60" s="2">
        <f t="shared" si="54"/>
        <v>0.16</v>
      </c>
      <c r="S60" s="2">
        <f>SQRT(9.81/(2*G60))*$U$9</f>
        <v>1.5660459763365827E-2</v>
      </c>
      <c r="T60" s="2">
        <f t="shared" si="55"/>
        <v>9.7885654543296017E-6</v>
      </c>
      <c r="U60" s="2">
        <f t="shared" si="56"/>
        <v>9.3753958552546502E-6</v>
      </c>
      <c r="W60" s="12">
        <f t="shared" si="57"/>
        <v>9.3599981479194012E-6</v>
      </c>
      <c r="Z60" s="14">
        <f t="shared" si="58"/>
        <v>124.98198263606429</v>
      </c>
      <c r="AA60">
        <f t="shared" si="59"/>
        <v>9.3753958552546504</v>
      </c>
      <c r="AE60" s="2">
        <f t="shared" si="60"/>
        <v>0.08</v>
      </c>
      <c r="AF60" s="2">
        <f t="shared" si="61"/>
        <v>1.252836781069266</v>
      </c>
      <c r="AG60" s="15">
        <f t="shared" si="62"/>
        <v>124.98198263606429</v>
      </c>
    </row>
    <row r="61" spans="2:33" x14ac:dyDescent="0.2">
      <c r="B61" s="1" t="s">
        <v>18</v>
      </c>
      <c r="C61" s="10">
        <v>5</v>
      </c>
      <c r="D61" s="11">
        <v>271</v>
      </c>
      <c r="E61" s="11">
        <v>297</v>
      </c>
      <c r="F61" s="2">
        <f t="shared" si="49"/>
        <v>26</v>
      </c>
      <c r="G61" s="2">
        <f t="shared" si="50"/>
        <v>2.5999999999999999E-2</v>
      </c>
      <c r="H61" s="5"/>
      <c r="I61" s="2">
        <v>12.91</v>
      </c>
      <c r="J61" s="5"/>
      <c r="K61" s="2">
        <f t="shared" si="51"/>
        <v>0.71422685471774305</v>
      </c>
      <c r="L61" s="2">
        <f t="shared" si="52"/>
        <v>2.1923290027970412E-4</v>
      </c>
      <c r="M61" s="1" t="s">
        <v>18</v>
      </c>
      <c r="O61" s="4">
        <f t="shared" si="53"/>
        <v>1.549186676994578E-4</v>
      </c>
      <c r="R61" s="2">
        <f t="shared" si="54"/>
        <v>0.16</v>
      </c>
      <c r="S61" s="2">
        <f>SQRT(9.81/(2*G61))*$U$9</f>
        <v>2.7470263642990118E-2</v>
      </c>
      <c r="T61" s="2">
        <f t="shared" si="55"/>
        <v>9.7885654543296017E-6</v>
      </c>
      <c r="U61" s="2">
        <f t="shared" si="56"/>
        <v>2.2137155610704113E-5</v>
      </c>
      <c r="W61" s="12">
        <f t="shared" si="57"/>
        <v>2.2047582846329235E-5</v>
      </c>
      <c r="Z61" s="14">
        <f t="shared" si="58"/>
        <v>219.23290027970413</v>
      </c>
      <c r="AA61">
        <f t="shared" si="59"/>
        <v>22.137155610704113</v>
      </c>
      <c r="AE61" s="2">
        <f t="shared" si="60"/>
        <v>2.5999999999999999E-2</v>
      </c>
      <c r="AF61" s="2">
        <f t="shared" si="61"/>
        <v>0.71422685471774305</v>
      </c>
      <c r="AG61" s="15">
        <f t="shared" si="62"/>
        <v>219.23290027970413</v>
      </c>
    </row>
    <row r="62" spans="2:33" x14ac:dyDescent="0.2">
      <c r="B62" s="1" t="s">
        <v>19</v>
      </c>
      <c r="C62" s="10">
        <v>6</v>
      </c>
      <c r="D62" s="11">
        <v>311</v>
      </c>
      <c r="E62" s="11">
        <v>330</v>
      </c>
      <c r="F62" s="2">
        <f t="shared" si="49"/>
        <v>19</v>
      </c>
      <c r="G62" s="2">
        <f t="shared" si="50"/>
        <v>1.9E-2</v>
      </c>
      <c r="H62" s="5"/>
      <c r="I62" s="2">
        <v>12.45</v>
      </c>
      <c r="J62" s="5"/>
      <c r="K62" s="2">
        <f t="shared" si="51"/>
        <v>0.61055712263472939</v>
      </c>
      <c r="L62" s="2">
        <f>$O$65/K62</f>
        <v>2.5645761717056918E-4</v>
      </c>
      <c r="M62" s="1" t="s">
        <v>19</v>
      </c>
      <c r="O62" s="4">
        <f t="shared" si="53"/>
        <v>1.606425702811245E-4</v>
      </c>
      <c r="R62" s="2">
        <f t="shared" si="54"/>
        <v>0.16</v>
      </c>
      <c r="S62" s="2">
        <f>SQRT(9.81/(2*G62))*$U$9</f>
        <v>3.2134585401827863E-2</v>
      </c>
      <c r="T62" s="2">
        <f t="shared" si="55"/>
        <v>9.7885654543296017E-6</v>
      </c>
      <c r="U62" s="2">
        <f>(1/K62)*(($S$9/$I$65^2)*$R$51+(1/$I$65)*$V$9)+($O$65/K62^2)*SQRT(9.81/(2*G62))*$U$9</f>
        <v>2.9529955489574985E-5</v>
      </c>
      <c r="W62" s="12">
        <f>(1/K62)*T62+(O62/K62^2)*S62</f>
        <v>2.9879984850005699E-5</v>
      </c>
      <c r="Z62" s="14">
        <f t="shared" si="58"/>
        <v>256.45761717056916</v>
      </c>
      <c r="AA62">
        <f>U62*1000000</f>
        <v>29.529955489574984</v>
      </c>
      <c r="AE62" s="2">
        <f>G62</f>
        <v>1.9E-2</v>
      </c>
      <c r="AF62" s="2">
        <f t="shared" si="61"/>
        <v>0.61055712263472939</v>
      </c>
      <c r="AG62" s="15">
        <f>Z62</f>
        <v>256.45761717056916</v>
      </c>
    </row>
    <row r="63" spans="2:33" x14ac:dyDescent="0.2">
      <c r="C63" s="10"/>
      <c r="D63" s="11"/>
      <c r="E63" s="11"/>
      <c r="F63" s="11"/>
      <c r="G63" s="2"/>
      <c r="H63" s="5"/>
      <c r="I63" s="2"/>
      <c r="J63" s="5"/>
      <c r="K63" s="10"/>
      <c r="L63" s="11"/>
      <c r="M63" s="1"/>
    </row>
    <row r="64" spans="2:33" x14ac:dyDescent="0.2">
      <c r="I64" t="s">
        <v>31</v>
      </c>
      <c r="O64" t="s">
        <v>30</v>
      </c>
      <c r="R64" s="2" t="s">
        <v>41</v>
      </c>
      <c r="S64" s="1"/>
      <c r="T64" s="2" t="s">
        <v>36</v>
      </c>
    </row>
    <row r="65" spans="9:20" x14ac:dyDescent="0.2">
      <c r="I65">
        <f>AVERAGE(I57:I62)</f>
        <v>12.775</v>
      </c>
      <c r="O65">
        <f>AVERAGE(O57:O62)</f>
        <v>1.5658202481742169E-4</v>
      </c>
      <c r="R65" s="2">
        <v>0.16</v>
      </c>
      <c r="S65" s="1"/>
      <c r="T65" s="2">
        <f t="shared" ref="T65" si="63">($S$9/$I$65^2)*$R$65 + (1/$I$65)*$V$9</f>
        <v>9.7885654543296017E-6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Ribot Oliver</dc:creator>
  <cp:lastModifiedBy>Joan Ribot</cp:lastModifiedBy>
  <dcterms:created xsi:type="dcterms:W3CDTF">2023-05-18T09:15:57Z</dcterms:created>
  <dcterms:modified xsi:type="dcterms:W3CDTF">2023-05-23T21:45:07Z</dcterms:modified>
</cp:coreProperties>
</file>