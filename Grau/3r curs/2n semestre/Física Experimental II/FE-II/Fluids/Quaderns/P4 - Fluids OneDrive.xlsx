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bes-my.sharepoint.com/personal/jro754_id_uib_eu/Documents/"/>
    </mc:Choice>
  </mc:AlternateContent>
  <xr:revisionPtr revIDLastSave="3186" documentId="8_{3FE0DEB8-028D-4940-AC17-1384472381F3}" xr6:coauthVersionLast="47" xr6:coauthVersionMax="47" xr10:uidLastSave="{694F8A42-8957-A44C-B916-2EA6C66F1159}"/>
  <bookViews>
    <workbookView xWindow="0" yWindow="0" windowWidth="28800" windowHeight="18000" activeTab="4" xr2:uid="{80AFA7AB-9503-8646-81FE-8377284BC4AD}"/>
  </bookViews>
  <sheets>
    <sheet name="Sense manguera" sheetId="1" r:id="rId1"/>
    <sheet name="SENSE MAN" sheetId="5" r:id="rId2"/>
    <sheet name="Manguera 1" sheetId="2" r:id="rId3"/>
    <sheet name="Manguera 2" sheetId="3" r:id="rId4"/>
    <sheet name="Manguera 3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1" i="4" l="1"/>
  <c r="W18" i="4"/>
  <c r="V18" i="4"/>
  <c r="X30" i="3"/>
  <c r="Y79" i="2"/>
  <c r="E93" i="2"/>
  <c r="O79" i="2"/>
  <c r="F79" i="2"/>
  <c r="E79" i="2"/>
  <c r="G62" i="2"/>
  <c r="N62" i="4" l="1" a="1"/>
  <c r="N62" i="4" s="1"/>
  <c r="O61" i="2"/>
  <c r="E17" i="2"/>
  <c r="B60" i="2" a="1"/>
  <c r="B60" i="2" s="1"/>
  <c r="V74" i="2"/>
  <c r="V73" i="2"/>
  <c r="X73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AA26" i="2"/>
  <c r="AG24" i="3"/>
  <c r="U46" i="3"/>
  <c r="T46" i="3"/>
  <c r="U44" i="3"/>
  <c r="T44" i="3"/>
  <c r="AA44" i="4"/>
  <c r="U43" i="3"/>
  <c r="AA43" i="4"/>
  <c r="T43" i="3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25" i="4"/>
  <c r="AB25" i="4"/>
  <c r="AG25" i="4"/>
  <c r="AF25" i="4"/>
  <c r="AE25" i="4"/>
  <c r="AB31" i="4"/>
  <c r="AJ18" i="2"/>
  <c r="AS26" i="2" s="1"/>
  <c r="AJ44" i="2" s="1"/>
  <c r="AK18" i="2"/>
  <c r="AP26" i="2" a="1"/>
  <c r="AP26" i="2" s="1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24" i="2"/>
  <c r="AE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24" i="2"/>
  <c r="AA18" i="2"/>
  <c r="AB18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24" i="2"/>
  <c r="N9" i="5"/>
  <c r="O9" i="5"/>
  <c r="M9" i="5"/>
  <c r="Z44" i="4" l="1"/>
  <c r="AA47" i="4" s="1"/>
  <c r="Z43" i="4"/>
  <c r="Z47" i="4" s="1"/>
  <c r="AO25" i="4" s="1"/>
  <c r="AM25" i="4" s="1"/>
  <c r="AN25" i="4" s="1"/>
  <c r="AT26" i="2"/>
  <c r="AM29" i="4" l="1"/>
  <c r="AN29" i="4" s="1"/>
  <c r="AM26" i="4"/>
  <c r="AN26" i="4" s="1"/>
  <c r="AM39" i="4"/>
  <c r="AN39" i="4" s="1"/>
  <c r="AM32" i="4"/>
  <c r="AN32" i="4" s="1"/>
  <c r="AM37" i="4"/>
  <c r="AN37" i="4" s="1"/>
  <c r="AM30" i="4"/>
  <c r="AN30" i="4" s="1"/>
  <c r="AM28" i="4"/>
  <c r="AN28" i="4" s="1"/>
  <c r="AM33" i="4"/>
  <c r="AN33" i="4" s="1"/>
  <c r="AM38" i="4"/>
  <c r="AN38" i="4" s="1"/>
  <c r="AM36" i="4"/>
  <c r="AN36" i="4" s="1"/>
  <c r="AM31" i="4"/>
  <c r="AN31" i="4" s="1"/>
  <c r="AM34" i="4"/>
  <c r="AN34" i="4" s="1"/>
  <c r="AM35" i="4"/>
  <c r="AN35" i="4" s="1"/>
  <c r="AM27" i="4"/>
  <c r="AN27" i="4" s="1"/>
  <c r="AJ47" i="2"/>
  <c r="AJ45" i="2"/>
  <c r="J70" i="5"/>
  <c r="Q39" i="3" l="1"/>
  <c r="Z38" i="3"/>
  <c r="Q38" i="3"/>
  <c r="Z37" i="3"/>
  <c r="Q37" i="3"/>
  <c r="Z36" i="3"/>
  <c r="Q36" i="3"/>
  <c r="Z35" i="3"/>
  <c r="Q35" i="3"/>
  <c r="Z34" i="3"/>
  <c r="Q34" i="3"/>
  <c r="AD34" i="3" s="1"/>
  <c r="Z33" i="3"/>
  <c r="Q33" i="3"/>
  <c r="AD33" i="3" s="1"/>
  <c r="Z32" i="3"/>
  <c r="Q32" i="3"/>
  <c r="Z31" i="3"/>
  <c r="Q31" i="3"/>
  <c r="Z30" i="3"/>
  <c r="Q30" i="3"/>
  <c r="Z29" i="3"/>
  <c r="Q29" i="3"/>
  <c r="Z28" i="3"/>
  <c r="Q28" i="3"/>
  <c r="Z27" i="3"/>
  <c r="Q27" i="3"/>
  <c r="AD27" i="3" s="1"/>
  <c r="Z26" i="3"/>
  <c r="Q26" i="3"/>
  <c r="Z25" i="3"/>
  <c r="Q25" i="3"/>
  <c r="Z24" i="3"/>
  <c r="Q24" i="3"/>
  <c r="O59" i="4"/>
  <c r="N59" i="4"/>
  <c r="O58" i="4"/>
  <c r="N58" i="4"/>
  <c r="O57" i="4"/>
  <c r="N57" i="4"/>
  <c r="O56" i="4"/>
  <c r="N56" i="4"/>
  <c r="P55" i="4"/>
  <c r="O55" i="4"/>
  <c r="N55" i="4"/>
  <c r="O54" i="4"/>
  <c r="N54" i="4"/>
  <c r="O53" i="4"/>
  <c r="N53" i="4"/>
  <c r="O52" i="4"/>
  <c r="N52" i="4"/>
  <c r="O51" i="4"/>
  <c r="N51" i="4"/>
  <c r="O50" i="4"/>
  <c r="N50" i="4"/>
  <c r="O49" i="4"/>
  <c r="N49" i="4"/>
  <c r="O48" i="4"/>
  <c r="N48" i="4"/>
  <c r="O47" i="4"/>
  <c r="N47" i="4"/>
  <c r="O46" i="4"/>
  <c r="N46" i="4"/>
  <c r="O45" i="4"/>
  <c r="N45" i="4"/>
  <c r="Q40" i="4"/>
  <c r="Y40" i="4" s="1"/>
  <c r="Q39" i="4"/>
  <c r="R39" i="4" s="1"/>
  <c r="P59" i="4" s="1"/>
  <c r="Q38" i="4"/>
  <c r="Y38" i="4" s="1"/>
  <c r="Y37" i="4"/>
  <c r="U37" i="4"/>
  <c r="R37" i="4"/>
  <c r="P57" i="4" s="1"/>
  <c r="Q37" i="4"/>
  <c r="Y36" i="4"/>
  <c r="U36" i="4"/>
  <c r="Q36" i="4"/>
  <c r="R36" i="4" s="1"/>
  <c r="P56" i="4" s="1"/>
  <c r="Y35" i="4"/>
  <c r="R35" i="4"/>
  <c r="Q35" i="4"/>
  <c r="Q34" i="4"/>
  <c r="Y34" i="4" s="1"/>
  <c r="Q33" i="4"/>
  <c r="Y33" i="4" s="1"/>
  <c r="Q32" i="4"/>
  <c r="R32" i="4" s="1"/>
  <c r="P52" i="4" s="1"/>
  <c r="Y31" i="4"/>
  <c r="U31" i="4"/>
  <c r="R31" i="4"/>
  <c r="P51" i="4" s="1"/>
  <c r="Q31" i="4"/>
  <c r="Y30" i="4"/>
  <c r="U30" i="4"/>
  <c r="Q30" i="4"/>
  <c r="R30" i="4" s="1"/>
  <c r="P50" i="4" s="1"/>
  <c r="Y29" i="4"/>
  <c r="R29" i="4"/>
  <c r="P49" i="4" s="1"/>
  <c r="Q29" i="4"/>
  <c r="Q28" i="4"/>
  <c r="Y28" i="4" s="1"/>
  <c r="Q27" i="4"/>
  <c r="Y27" i="4" s="1"/>
  <c r="Q26" i="4"/>
  <c r="R26" i="4" s="1"/>
  <c r="P46" i="4" s="1"/>
  <c r="Q25" i="4"/>
  <c r="Y25" i="4" s="1"/>
  <c r="T23" i="4"/>
  <c r="U35" i="4" s="1"/>
  <c r="U88" i="2"/>
  <c r="B88" i="2"/>
  <c r="U87" i="2"/>
  <c r="K87" i="2"/>
  <c r="B87" i="2"/>
  <c r="U86" i="2"/>
  <c r="K86" i="2"/>
  <c r="B86" i="2"/>
  <c r="U85" i="2"/>
  <c r="K85" i="2"/>
  <c r="B85" i="2"/>
  <c r="U84" i="2"/>
  <c r="K84" i="2"/>
  <c r="B84" i="2"/>
  <c r="U83" i="2"/>
  <c r="K83" i="2"/>
  <c r="B83" i="2"/>
  <c r="U82" i="2"/>
  <c r="K82" i="2"/>
  <c r="B82" i="2"/>
  <c r="U81" i="2"/>
  <c r="K81" i="2"/>
  <c r="B81" i="2"/>
  <c r="U80" i="2"/>
  <c r="K80" i="2"/>
  <c r="B80" i="2"/>
  <c r="U79" i="2"/>
  <c r="K79" i="2"/>
  <c r="B79" i="2"/>
  <c r="U78" i="2"/>
  <c r="K78" i="2"/>
  <c r="B78" i="2"/>
  <c r="U77" i="2"/>
  <c r="K77" i="2"/>
  <c r="B77" i="2"/>
  <c r="U76" i="2"/>
  <c r="K76" i="2"/>
  <c r="B76" i="2"/>
  <c r="U75" i="2"/>
  <c r="K75" i="2"/>
  <c r="B75" i="2"/>
  <c r="U74" i="2"/>
  <c r="K74" i="2"/>
  <c r="B74" i="2"/>
  <c r="U73" i="2"/>
  <c r="K73" i="2"/>
  <c r="B73" i="2"/>
  <c r="U60" i="2" a="1"/>
  <c r="V58" i="2"/>
  <c r="L58" i="2"/>
  <c r="C58" i="2"/>
  <c r="V57" i="2"/>
  <c r="L57" i="2"/>
  <c r="C57" i="2"/>
  <c r="V56" i="2"/>
  <c r="L56" i="2"/>
  <c r="C56" i="2"/>
  <c r="V55" i="2"/>
  <c r="L55" i="2"/>
  <c r="C55" i="2"/>
  <c r="V54" i="2"/>
  <c r="L54" i="2"/>
  <c r="C54" i="2"/>
  <c r="V53" i="2"/>
  <c r="L53" i="2"/>
  <c r="C53" i="2"/>
  <c r="V52" i="2"/>
  <c r="L52" i="2"/>
  <c r="C52" i="2"/>
  <c r="V51" i="2"/>
  <c r="L51" i="2"/>
  <c r="C51" i="2"/>
  <c r="V50" i="2"/>
  <c r="L50" i="2"/>
  <c r="C50" i="2"/>
  <c r="V49" i="2"/>
  <c r="L49" i="2"/>
  <c r="C49" i="2"/>
  <c r="V48" i="2"/>
  <c r="L48" i="2"/>
  <c r="C48" i="2"/>
  <c r="V47" i="2"/>
  <c r="L47" i="2"/>
  <c r="C47" i="2"/>
  <c r="V46" i="2"/>
  <c r="L46" i="2"/>
  <c r="C46" i="2"/>
  <c r="V45" i="2"/>
  <c r="L45" i="2"/>
  <c r="C45" i="2"/>
  <c r="V44" i="2"/>
  <c r="C44" i="2"/>
  <c r="U60" i="2" l="1"/>
  <c r="Z62" i="2"/>
  <c r="Z61" i="2"/>
  <c r="G61" i="2"/>
  <c r="AD32" i="3"/>
  <c r="Y36" i="3"/>
  <c r="AD36" i="3"/>
  <c r="T25" i="3"/>
  <c r="AD25" i="3"/>
  <c r="T30" i="3"/>
  <c r="AD30" i="3"/>
  <c r="T32" i="3"/>
  <c r="T27" i="3"/>
  <c r="Y30" i="3"/>
  <c r="Y32" i="3"/>
  <c r="Y37" i="3"/>
  <c r="AD37" i="3"/>
  <c r="Y25" i="3"/>
  <c r="Y27" i="3"/>
  <c r="T34" i="3"/>
  <c r="T31" i="3"/>
  <c r="AD31" i="3"/>
  <c r="Y34" i="3"/>
  <c r="T38" i="3"/>
  <c r="AD38" i="3"/>
  <c r="T26" i="3"/>
  <c r="AD26" i="3"/>
  <c r="AD28" i="3"/>
  <c r="Y38" i="3"/>
  <c r="T24" i="3"/>
  <c r="AD24" i="3"/>
  <c r="Y26" i="3"/>
  <c r="Y31" i="3"/>
  <c r="T33" i="3"/>
  <c r="Y35" i="3"/>
  <c r="AD35" i="3"/>
  <c r="Y24" i="3"/>
  <c r="Y29" i="3"/>
  <c r="AD29" i="3"/>
  <c r="Y33" i="3"/>
  <c r="T35" i="3"/>
  <c r="T29" i="3"/>
  <c r="T36" i="3"/>
  <c r="T28" i="3"/>
  <c r="T37" i="3"/>
  <c r="Y28" i="3"/>
  <c r="R38" i="4"/>
  <c r="P58" i="4" s="1"/>
  <c r="R27" i="4"/>
  <c r="P47" i="4" s="1"/>
  <c r="U38" i="4"/>
  <c r="R28" i="4"/>
  <c r="P48" i="4" s="1"/>
  <c r="R33" i="4"/>
  <c r="P53" i="4" s="1"/>
  <c r="U39" i="4"/>
  <c r="Y26" i="4"/>
  <c r="R34" i="4"/>
  <c r="P54" i="4" s="1"/>
  <c r="U40" i="4"/>
  <c r="R25" i="4"/>
  <c r="P45" i="4" s="1"/>
  <c r="Y32" i="4"/>
  <c r="U34" i="4"/>
  <c r="Y39" i="4"/>
  <c r="U27" i="4"/>
  <c r="R40" i="4"/>
  <c r="U28" i="4"/>
  <c r="U26" i="4"/>
  <c r="U23" i="4"/>
  <c r="U32" i="4"/>
  <c r="U33" i="4"/>
  <c r="U29" i="4"/>
  <c r="Y62" i="2" l="1"/>
  <c r="Z65" i="2" s="1"/>
  <c r="Y61" i="2"/>
  <c r="Y65" i="2" s="1"/>
  <c r="X93" i="2" s="1"/>
  <c r="F61" i="2"/>
  <c r="F62" i="2"/>
  <c r="G65" i="2" s="1"/>
  <c r="AB28" i="4"/>
  <c r="AH25" i="4"/>
  <c r="AG28" i="4" s="1"/>
  <c r="V34" i="4"/>
  <c r="V27" i="4"/>
  <c r="V38" i="4"/>
  <c r="V26" i="4"/>
  <c r="V32" i="4"/>
  <c r="V36" i="4"/>
  <c r="V30" i="4"/>
  <c r="V40" i="4"/>
  <c r="V33" i="4"/>
  <c r="V28" i="4"/>
  <c r="V39" i="4"/>
  <c r="V37" i="4"/>
  <c r="V31" i="4"/>
  <c r="V35" i="4"/>
  <c r="V29" i="4"/>
  <c r="V95" i="2" l="1"/>
  <c r="W95" i="2" s="1"/>
  <c r="V103" i="2"/>
  <c r="W103" i="2" s="1"/>
  <c r="V96" i="2"/>
  <c r="W96" i="2" s="1"/>
  <c r="V104" i="2"/>
  <c r="W104" i="2" s="1"/>
  <c r="V97" i="2"/>
  <c r="W97" i="2" s="1"/>
  <c r="V105" i="2"/>
  <c r="W105" i="2" s="1"/>
  <c r="V94" i="2"/>
  <c r="W94" i="2" s="1"/>
  <c r="V98" i="2"/>
  <c r="W98" i="2" s="1"/>
  <c r="V106" i="2"/>
  <c r="W106" i="2" s="1"/>
  <c r="V101" i="2"/>
  <c r="W101" i="2" s="1"/>
  <c r="V102" i="2"/>
  <c r="W102" i="2" s="1"/>
  <c r="V99" i="2"/>
  <c r="W99" i="2" s="1"/>
  <c r="V107" i="2"/>
  <c r="W107" i="2" s="1"/>
  <c r="V100" i="2"/>
  <c r="W100" i="2" s="1"/>
  <c r="V93" i="2"/>
  <c r="W93" i="2" s="1"/>
  <c r="F65" i="2"/>
  <c r="AI38" i="4"/>
  <c r="AJ38" i="4" s="1"/>
  <c r="AI31" i="4"/>
  <c r="AJ31" i="4" s="1"/>
  <c r="AI26" i="4"/>
  <c r="AJ26" i="4" s="1"/>
  <c r="AI29" i="4"/>
  <c r="AJ29" i="4" s="1"/>
  <c r="AI34" i="4"/>
  <c r="AJ34" i="4" s="1"/>
  <c r="AI28" i="4"/>
  <c r="AJ28" i="4" s="1"/>
  <c r="AI39" i="4"/>
  <c r="AJ39" i="4" s="1"/>
  <c r="AI32" i="4"/>
  <c r="AJ32" i="4" s="1"/>
  <c r="AI37" i="4"/>
  <c r="AJ37" i="4" s="1"/>
  <c r="AI25" i="4"/>
  <c r="AJ25" i="4" s="1"/>
  <c r="AI33" i="4"/>
  <c r="AJ33" i="4" s="1"/>
  <c r="AI36" i="4"/>
  <c r="AJ36" i="4" s="1"/>
  <c r="AI30" i="4"/>
  <c r="AJ30" i="4" s="1"/>
  <c r="AI35" i="4"/>
  <c r="AJ35" i="4" s="1"/>
  <c r="AI27" i="4"/>
  <c r="AJ27" i="4" s="1"/>
  <c r="Z40" i="4"/>
  <c r="AA40" i="4" s="1"/>
  <c r="Z33" i="4"/>
  <c r="AA33" i="4" s="1"/>
  <c r="Z28" i="4"/>
  <c r="AA28" i="4" s="1"/>
  <c r="Z25" i="4"/>
  <c r="AA25" i="4" s="1"/>
  <c r="Z32" i="4"/>
  <c r="AA32" i="4" s="1"/>
  <c r="Z27" i="4"/>
  <c r="AA27" i="4" s="1"/>
  <c r="Z35" i="4"/>
  <c r="AA35" i="4" s="1"/>
  <c r="Z39" i="4"/>
  <c r="AA39" i="4" s="1"/>
  <c r="Z36" i="4"/>
  <c r="AA36" i="4" s="1"/>
  <c r="Z30" i="4"/>
  <c r="AA30" i="4" s="1"/>
  <c r="Z38" i="4"/>
  <c r="AA38" i="4" s="1"/>
  <c r="Z26" i="4"/>
  <c r="AA26" i="4" s="1"/>
  <c r="Z37" i="4"/>
  <c r="AA37" i="4" s="1"/>
  <c r="Z31" i="4"/>
  <c r="AA31" i="4" s="1"/>
  <c r="Z29" i="4"/>
  <c r="AA29" i="4" s="1"/>
  <c r="Z34" i="4"/>
  <c r="AA34" i="4" s="1"/>
  <c r="G70" i="5" l="1"/>
  <c r="G71" i="5"/>
  <c r="O71" i="5"/>
  <c r="M71" i="5"/>
  <c r="E71" i="5"/>
  <c r="K71" i="5"/>
  <c r="B62" i="5" a="1"/>
  <c r="B62" i="5" s="1"/>
  <c r="J62" i="5" a="1"/>
  <c r="J62" i="5" s="1"/>
  <c r="K70" i="5" s="1"/>
  <c r="R18" i="4"/>
  <c r="Q18" i="4"/>
  <c r="E70" i="5"/>
  <c r="E76" i="5"/>
  <c r="E75" i="5"/>
  <c r="E74" i="5"/>
  <c r="E73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94" i="2" l="1"/>
  <c r="D94" i="2" s="1"/>
  <c r="C93" i="2"/>
  <c r="D93" i="2" s="1"/>
  <c r="C97" i="2"/>
  <c r="D97" i="2" s="1"/>
  <c r="C101" i="2"/>
  <c r="D101" i="2" s="1"/>
  <c r="C105" i="2"/>
  <c r="D105" i="2" s="1"/>
  <c r="C102" i="2"/>
  <c r="D102" i="2" s="1"/>
  <c r="C98" i="2"/>
  <c r="D98" i="2" s="1"/>
  <c r="C95" i="2"/>
  <c r="D95" i="2" s="1"/>
  <c r="C106" i="2"/>
  <c r="D106" i="2" s="1"/>
  <c r="C103" i="2"/>
  <c r="D103" i="2" s="1"/>
  <c r="C99" i="2"/>
  <c r="D99" i="2" s="1"/>
  <c r="C96" i="2"/>
  <c r="D96" i="2" s="1"/>
  <c r="C107" i="2"/>
  <c r="D107" i="2" s="1"/>
  <c r="C104" i="2"/>
  <c r="D104" i="2" s="1"/>
  <c r="C100" i="2"/>
  <c r="D100" i="2" s="1"/>
  <c r="C71" i="5"/>
  <c r="C70" i="5"/>
  <c r="M70" i="5"/>
  <c r="O70" i="5"/>
  <c r="L70" i="5"/>
  <c r="N70" i="5"/>
  <c r="O7" i="4" l="1"/>
  <c r="S62" i="5" a="1"/>
  <c r="L46" i="5"/>
  <c r="T58" i="5"/>
  <c r="K58" i="5"/>
  <c r="T57" i="5"/>
  <c r="K57" i="5"/>
  <c r="T56" i="5"/>
  <c r="K56" i="5"/>
  <c r="T55" i="5"/>
  <c r="K55" i="5"/>
  <c r="T54" i="5"/>
  <c r="K54" i="5"/>
  <c r="T53" i="5"/>
  <c r="K53" i="5"/>
  <c r="T52" i="5"/>
  <c r="K52" i="5"/>
  <c r="T51" i="5"/>
  <c r="K51" i="5"/>
  <c r="T50" i="5"/>
  <c r="K50" i="5"/>
  <c r="T49" i="5"/>
  <c r="K49" i="5"/>
  <c r="T48" i="5"/>
  <c r="K48" i="5"/>
  <c r="T47" i="5"/>
  <c r="K47" i="5"/>
  <c r="T46" i="5"/>
  <c r="K46" i="5"/>
  <c r="T45" i="5"/>
  <c r="K45" i="5"/>
  <c r="B45" i="5"/>
  <c r="S39" i="5"/>
  <c r="L39" i="5"/>
  <c r="E39" i="5"/>
  <c r="S38" i="5"/>
  <c r="L38" i="5"/>
  <c r="E38" i="5"/>
  <c r="S37" i="5"/>
  <c r="L37" i="5"/>
  <c r="E37" i="5"/>
  <c r="S36" i="5"/>
  <c r="L36" i="5"/>
  <c r="E36" i="5"/>
  <c r="S35" i="5"/>
  <c r="L35" i="5"/>
  <c r="E35" i="5"/>
  <c r="S34" i="5"/>
  <c r="L34" i="5"/>
  <c r="E34" i="5"/>
  <c r="S33" i="5"/>
  <c r="L33" i="5"/>
  <c r="E33" i="5"/>
  <c r="S32" i="5"/>
  <c r="L32" i="5"/>
  <c r="E32" i="5"/>
  <c r="S31" i="5"/>
  <c r="L31" i="5"/>
  <c r="E31" i="5"/>
  <c r="S30" i="5"/>
  <c r="L30" i="5"/>
  <c r="E30" i="5"/>
  <c r="S29" i="5"/>
  <c r="L29" i="5"/>
  <c r="E29" i="5"/>
  <c r="S28" i="5"/>
  <c r="L28" i="5"/>
  <c r="E28" i="5"/>
  <c r="S27" i="5"/>
  <c r="L27" i="5"/>
  <c r="E27" i="5"/>
  <c r="S26" i="5"/>
  <c r="L26" i="5"/>
  <c r="E26" i="5"/>
  <c r="E10" i="5"/>
  <c r="B10" i="5"/>
  <c r="C10" i="5" s="1"/>
  <c r="D10" i="5" s="1"/>
  <c r="H11" i="5" s="1"/>
  <c r="O7" i="5"/>
  <c r="N7" i="5"/>
  <c r="M7" i="5"/>
  <c r="O6" i="5"/>
  <c r="T27" i="5" s="1"/>
  <c r="U46" i="5" s="1"/>
  <c r="N6" i="5"/>
  <c r="M37" i="5" s="1"/>
  <c r="L56" i="5" s="1"/>
  <c r="M6" i="5"/>
  <c r="F35" i="5" s="1"/>
  <c r="D54" i="5" s="1"/>
  <c r="H6" i="5"/>
  <c r="C6" i="5"/>
  <c r="D6" i="5" s="1"/>
  <c r="T39" i="5" l="1"/>
  <c r="U58" i="5" s="1"/>
  <c r="U19" i="5"/>
  <c r="U70" i="5" s="1"/>
  <c r="D70" i="5"/>
  <c r="S62" i="5"/>
  <c r="L19" i="5"/>
  <c r="F28" i="5"/>
  <c r="O8" i="5"/>
  <c r="F26" i="5"/>
  <c r="D45" i="5" s="1"/>
  <c r="M28" i="5"/>
  <c r="L47" i="5" s="1"/>
  <c r="T30" i="5"/>
  <c r="U49" i="5" s="1"/>
  <c r="F34" i="5"/>
  <c r="D53" i="5" s="1"/>
  <c r="M36" i="5"/>
  <c r="L55" i="5" s="1"/>
  <c r="T38" i="5"/>
  <c r="U57" i="5" s="1"/>
  <c r="M19" i="5"/>
  <c r="T26" i="5"/>
  <c r="U45" i="5" s="1"/>
  <c r="V19" i="5"/>
  <c r="D47" i="5"/>
  <c r="M30" i="5"/>
  <c r="L49" i="5" s="1"/>
  <c r="T32" i="5"/>
  <c r="U51" i="5" s="1"/>
  <c r="F36" i="5"/>
  <c r="D55" i="5" s="1"/>
  <c r="M38" i="5"/>
  <c r="L57" i="5" s="1"/>
  <c r="F27" i="5"/>
  <c r="D46" i="5" s="1"/>
  <c r="M29" i="5"/>
  <c r="L48" i="5" s="1"/>
  <c r="T31" i="5"/>
  <c r="U50" i="5" s="1"/>
  <c r="M8" i="5"/>
  <c r="D19" i="5"/>
  <c r="M27" i="5"/>
  <c r="T29" i="5"/>
  <c r="U48" i="5" s="1"/>
  <c r="F33" i="5"/>
  <c r="D52" i="5" s="1"/>
  <c r="M35" i="5"/>
  <c r="L54" i="5" s="1"/>
  <c r="T37" i="5"/>
  <c r="U56" i="5" s="1"/>
  <c r="N8" i="5"/>
  <c r="E19" i="5"/>
  <c r="M26" i="5"/>
  <c r="L45" i="5" s="1"/>
  <c r="T28" i="5"/>
  <c r="U47" i="5" s="1"/>
  <c r="F32" i="5"/>
  <c r="D51" i="5" s="1"/>
  <c r="M34" i="5"/>
  <c r="L53" i="5" s="1"/>
  <c r="T36" i="5"/>
  <c r="U55" i="5" s="1"/>
  <c r="F31" i="5"/>
  <c r="D50" i="5" s="1"/>
  <c r="M33" i="5"/>
  <c r="L52" i="5" s="1"/>
  <c r="T35" i="5"/>
  <c r="U54" i="5" s="1"/>
  <c r="F39" i="5"/>
  <c r="D58" i="5" s="1"/>
  <c r="F38" i="5"/>
  <c r="D57" i="5" s="1"/>
  <c r="F30" i="5"/>
  <c r="D49" i="5" s="1"/>
  <c r="M32" i="5"/>
  <c r="L51" i="5" s="1"/>
  <c r="T34" i="5"/>
  <c r="U53" i="5" s="1"/>
  <c r="F29" i="5"/>
  <c r="D48" i="5" s="1"/>
  <c r="M31" i="5"/>
  <c r="L50" i="5" s="1"/>
  <c r="T33" i="5"/>
  <c r="U52" i="5" s="1"/>
  <c r="F37" i="5"/>
  <c r="D56" i="5" s="1"/>
  <c r="M39" i="5"/>
  <c r="L58" i="5" s="1"/>
  <c r="T70" i="5" l="1"/>
  <c r="T71" i="5"/>
  <c r="V71" i="5"/>
  <c r="V70" i="5"/>
  <c r="X70" i="5" s="1"/>
  <c r="S70" i="5"/>
  <c r="W70" i="5" s="1"/>
  <c r="B70" i="5"/>
  <c r="F70" i="5"/>
  <c r="U26" i="1"/>
  <c r="U38" i="1"/>
  <c r="U39" i="1"/>
  <c r="U27" i="1"/>
  <c r="U28" i="1"/>
  <c r="U29" i="1"/>
  <c r="U30" i="1"/>
  <c r="U31" i="1"/>
  <c r="U32" i="1"/>
  <c r="U33" i="1"/>
  <c r="U34" i="1"/>
  <c r="U35" i="1"/>
  <c r="U36" i="1"/>
  <c r="U37" i="1"/>
  <c r="S5" i="1"/>
  <c r="S4" i="1"/>
  <c r="T39" i="1"/>
  <c r="X71" i="5" l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82" i="1"/>
  <c r="E78" i="1"/>
  <c r="B71" i="1" l="1" a="1"/>
  <c r="B71" i="1" l="1"/>
  <c r="C7" i="3"/>
  <c r="D7" i="3" s="1"/>
  <c r="H7" i="3"/>
  <c r="M7" i="3"/>
  <c r="E17" i="3" s="1"/>
  <c r="N7" i="3"/>
  <c r="N9" i="3" s="1"/>
  <c r="O7" i="3"/>
  <c r="M8" i="3"/>
  <c r="N8" i="3"/>
  <c r="O8" i="3"/>
  <c r="B11" i="3"/>
  <c r="E11" i="3"/>
  <c r="F17" i="3"/>
  <c r="L17" i="3"/>
  <c r="E24" i="3"/>
  <c r="K24" i="3"/>
  <c r="E25" i="3"/>
  <c r="F25" i="3"/>
  <c r="K25" i="3"/>
  <c r="L25" i="3" s="1"/>
  <c r="E26" i="3"/>
  <c r="F26" i="3" s="1"/>
  <c r="K26" i="3"/>
  <c r="L26" i="3" s="1"/>
  <c r="E27" i="3"/>
  <c r="K27" i="3"/>
  <c r="E28" i="3"/>
  <c r="F28" i="3" s="1"/>
  <c r="K28" i="3"/>
  <c r="L28" i="3"/>
  <c r="E29" i="3"/>
  <c r="F29" i="3"/>
  <c r="K29" i="3"/>
  <c r="E30" i="3"/>
  <c r="F30" i="3"/>
  <c r="K30" i="3"/>
  <c r="L30" i="3" s="1"/>
  <c r="E31" i="3"/>
  <c r="F31" i="3" s="1"/>
  <c r="K31" i="3"/>
  <c r="E32" i="3"/>
  <c r="K32" i="3"/>
  <c r="L32" i="3"/>
  <c r="E33" i="3"/>
  <c r="F33" i="3"/>
  <c r="K33" i="3"/>
  <c r="L33" i="3" s="1"/>
  <c r="E34" i="3"/>
  <c r="K34" i="3"/>
  <c r="E35" i="3"/>
  <c r="K35" i="3"/>
  <c r="L35" i="3"/>
  <c r="E36" i="3"/>
  <c r="F36" i="3" s="1"/>
  <c r="K36" i="3"/>
  <c r="L36" i="3"/>
  <c r="E37" i="3"/>
  <c r="K37" i="3"/>
  <c r="L37" i="3"/>
  <c r="E38" i="3"/>
  <c r="F38" i="3"/>
  <c r="K38" i="3"/>
  <c r="L38" i="3" s="1"/>
  <c r="E39" i="3"/>
  <c r="K39" i="3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45" i="1"/>
  <c r="T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45" i="1"/>
  <c r="K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45" i="1"/>
  <c r="C45" i="1"/>
  <c r="I24" i="2"/>
  <c r="B45" i="1"/>
  <c r="E12" i="4"/>
  <c r="B12" i="4"/>
  <c r="C12" i="4" s="1"/>
  <c r="D12" i="4" s="1"/>
  <c r="L38" i="1"/>
  <c r="O8" i="4"/>
  <c r="N8" i="4"/>
  <c r="M8" i="4"/>
  <c r="O9" i="4"/>
  <c r="N7" i="4"/>
  <c r="N9" i="4" s="1"/>
  <c r="M7" i="4"/>
  <c r="M9" i="4" s="1"/>
  <c r="O8" i="2"/>
  <c r="N8" i="2"/>
  <c r="M8" i="2"/>
  <c r="O7" i="2"/>
  <c r="O9" i="2" s="1"/>
  <c r="N7" i="2"/>
  <c r="M7" i="2"/>
  <c r="M9" i="2" s="1"/>
  <c r="H8" i="4"/>
  <c r="H7" i="2"/>
  <c r="C7" i="2"/>
  <c r="D7" i="2" s="1"/>
  <c r="B11" i="2"/>
  <c r="E11" i="2"/>
  <c r="E26" i="1"/>
  <c r="E39" i="1"/>
  <c r="F28" i="4"/>
  <c r="F33" i="4"/>
  <c r="F34" i="4"/>
  <c r="F36" i="4"/>
  <c r="L28" i="4"/>
  <c r="L33" i="4"/>
  <c r="L36" i="4"/>
  <c r="L25" i="4"/>
  <c r="K40" i="4"/>
  <c r="L40" i="4" s="1"/>
  <c r="E40" i="4"/>
  <c r="F40" i="4" s="1"/>
  <c r="K39" i="4"/>
  <c r="L39" i="4" s="1"/>
  <c r="E39" i="4"/>
  <c r="F39" i="4" s="1"/>
  <c r="K38" i="4"/>
  <c r="L38" i="4" s="1"/>
  <c r="E38" i="4"/>
  <c r="F38" i="4" s="1"/>
  <c r="K37" i="4"/>
  <c r="L37" i="4" s="1"/>
  <c r="E37" i="4"/>
  <c r="F37" i="4" s="1"/>
  <c r="K36" i="4"/>
  <c r="E36" i="4"/>
  <c r="K35" i="4"/>
  <c r="L35" i="4" s="1"/>
  <c r="E35" i="4"/>
  <c r="F35" i="4" s="1"/>
  <c r="K34" i="4"/>
  <c r="L34" i="4" s="1"/>
  <c r="E34" i="4"/>
  <c r="K33" i="4"/>
  <c r="E33" i="4"/>
  <c r="K32" i="4"/>
  <c r="L32" i="4" s="1"/>
  <c r="E32" i="4"/>
  <c r="F32" i="4" s="1"/>
  <c r="K31" i="4"/>
  <c r="L31" i="4" s="1"/>
  <c r="E31" i="4"/>
  <c r="F31" i="4" s="1"/>
  <c r="K30" i="4"/>
  <c r="L30" i="4" s="1"/>
  <c r="E30" i="4"/>
  <c r="F30" i="4" s="1"/>
  <c r="K29" i="4"/>
  <c r="L29" i="4" s="1"/>
  <c r="E29" i="4"/>
  <c r="F29" i="4" s="1"/>
  <c r="K28" i="4"/>
  <c r="E28" i="4"/>
  <c r="K27" i="4"/>
  <c r="L27" i="4" s="1"/>
  <c r="E27" i="4"/>
  <c r="F27" i="4" s="1"/>
  <c r="K26" i="4"/>
  <c r="L26" i="4" s="1"/>
  <c r="E26" i="4"/>
  <c r="K25" i="4"/>
  <c r="E25" i="4"/>
  <c r="Q39" i="2"/>
  <c r="K39" i="2"/>
  <c r="K88" i="2" s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T27" i="1" s="1"/>
  <c r="S26" i="1"/>
  <c r="L39" i="1"/>
  <c r="L37" i="1"/>
  <c r="L36" i="1"/>
  <c r="L35" i="1"/>
  <c r="L34" i="1"/>
  <c r="L33" i="1"/>
  <c r="L32" i="1"/>
  <c r="L31" i="1"/>
  <c r="L30" i="1"/>
  <c r="L29" i="1"/>
  <c r="L28" i="1"/>
  <c r="L27" i="1"/>
  <c r="M27" i="1" s="1"/>
  <c r="L26" i="1"/>
  <c r="E28" i="1"/>
  <c r="E29" i="1"/>
  <c r="E30" i="1"/>
  <c r="E31" i="1"/>
  <c r="E32" i="1"/>
  <c r="E33" i="1"/>
  <c r="E34" i="1"/>
  <c r="E35" i="1"/>
  <c r="E36" i="1"/>
  <c r="E37" i="1"/>
  <c r="E38" i="1"/>
  <c r="E27" i="1"/>
  <c r="N7" i="1"/>
  <c r="O7" i="1"/>
  <c r="N6" i="1"/>
  <c r="K19" i="1" s="1"/>
  <c r="O6" i="1"/>
  <c r="O8" i="1" s="1"/>
  <c r="M7" i="1"/>
  <c r="M6" i="1"/>
  <c r="M8" i="1" s="1"/>
  <c r="H6" i="1"/>
  <c r="E10" i="1"/>
  <c r="B10" i="1"/>
  <c r="L19" i="1" s="1"/>
  <c r="C6" i="1"/>
  <c r="D6" i="1" s="1"/>
  <c r="O9" i="3" l="1"/>
  <c r="R33" i="3"/>
  <c r="AA33" i="3" s="1"/>
  <c r="R31" i="3"/>
  <c r="AA31" i="3" s="1"/>
  <c r="Q17" i="3"/>
  <c r="R34" i="3"/>
  <c r="AA34" i="3" s="1"/>
  <c r="R25" i="3"/>
  <c r="AA25" i="3" s="1"/>
  <c r="R27" i="3"/>
  <c r="AA27" i="3" s="1"/>
  <c r="R32" i="3"/>
  <c r="AA32" i="3" s="1"/>
  <c r="R28" i="3"/>
  <c r="AA28" i="3" s="1"/>
  <c r="R29" i="3"/>
  <c r="AA29" i="3" s="1"/>
  <c r="R36" i="3"/>
  <c r="AA36" i="3" s="1"/>
  <c r="R30" i="3"/>
  <c r="AA30" i="3" s="1"/>
  <c r="R26" i="3"/>
  <c r="AA26" i="3" s="1"/>
  <c r="R39" i="3"/>
  <c r="R37" i="3"/>
  <c r="AA37" i="3" s="1"/>
  <c r="R38" i="3"/>
  <c r="AA38" i="3" s="1"/>
  <c r="R35" i="3"/>
  <c r="AA35" i="3" s="1"/>
  <c r="F24" i="3"/>
  <c r="R17" i="3"/>
  <c r="R24" i="3"/>
  <c r="AA24" i="3" s="1"/>
  <c r="L39" i="3"/>
  <c r="F35" i="3"/>
  <c r="L27" i="3"/>
  <c r="M9" i="3"/>
  <c r="L24" i="3"/>
  <c r="F37" i="3"/>
  <c r="L34" i="3"/>
  <c r="F32" i="3"/>
  <c r="L29" i="3"/>
  <c r="F39" i="3"/>
  <c r="F34" i="3"/>
  <c r="L31" i="3"/>
  <c r="F27" i="3"/>
  <c r="L44" i="2"/>
  <c r="K60" i="2" s="1" a="1"/>
  <c r="AG26" i="2" a="1"/>
  <c r="AG26" i="2" s="1"/>
  <c r="AJ26" i="2" s="1"/>
  <c r="V24" i="2"/>
  <c r="X26" i="2" s="1" a="1"/>
  <c r="X26" i="2" s="1"/>
  <c r="N9" i="2"/>
  <c r="F17" i="2"/>
  <c r="F25" i="2"/>
  <c r="D45" i="2" s="1"/>
  <c r="F34" i="2"/>
  <c r="D54" i="2" s="1"/>
  <c r="F33" i="2"/>
  <c r="D53" i="2" s="1"/>
  <c r="F26" i="2"/>
  <c r="D46" i="2" s="1"/>
  <c r="L31" i="2"/>
  <c r="M51" i="2" s="1"/>
  <c r="L32" i="2"/>
  <c r="M52" i="2" s="1"/>
  <c r="L30" i="2"/>
  <c r="M50" i="2" s="1"/>
  <c r="L29" i="2"/>
  <c r="M49" i="2" s="1"/>
  <c r="L28" i="2"/>
  <c r="M48" i="2" s="1"/>
  <c r="L33" i="2"/>
  <c r="M53" i="2" s="1"/>
  <c r="L39" i="2"/>
  <c r="L27" i="2"/>
  <c r="M47" i="2" s="1"/>
  <c r="L37" i="2"/>
  <c r="M57" i="2" s="1"/>
  <c r="L24" i="2"/>
  <c r="M44" i="2" s="1"/>
  <c r="L38" i="2"/>
  <c r="M58" i="2" s="1"/>
  <c r="L36" i="2"/>
  <c r="M56" i="2" s="1"/>
  <c r="K17" i="3"/>
  <c r="R25" i="2"/>
  <c r="W45" i="2" s="1"/>
  <c r="R28" i="2"/>
  <c r="W48" i="2" s="1"/>
  <c r="L35" i="2"/>
  <c r="M55" i="2" s="1"/>
  <c r="L26" i="2"/>
  <c r="M46" i="2" s="1"/>
  <c r="L34" i="2"/>
  <c r="M54" i="2" s="1"/>
  <c r="L25" i="2"/>
  <c r="M45" i="2" s="1"/>
  <c r="F32" i="2"/>
  <c r="D52" i="2" s="1"/>
  <c r="F31" i="2"/>
  <c r="D51" i="2" s="1"/>
  <c r="F37" i="2"/>
  <c r="D57" i="2" s="1"/>
  <c r="F29" i="2"/>
  <c r="D49" i="2" s="1"/>
  <c r="E76" i="2"/>
  <c r="F30" i="2"/>
  <c r="D50" i="2" s="1"/>
  <c r="F36" i="2"/>
  <c r="D56" i="2" s="1"/>
  <c r="F28" i="2"/>
  <c r="D48" i="2" s="1"/>
  <c r="F39" i="2"/>
  <c r="F38" i="2"/>
  <c r="D58" i="2" s="1"/>
  <c r="F35" i="2"/>
  <c r="D55" i="2" s="1"/>
  <c r="F27" i="2"/>
  <c r="D47" i="2" s="1"/>
  <c r="C11" i="3"/>
  <c r="D11" i="3" s="1"/>
  <c r="H12" i="3" s="1"/>
  <c r="R39" i="2"/>
  <c r="F24" i="2"/>
  <c r="D44" i="2" s="1"/>
  <c r="R38" i="2"/>
  <c r="W58" i="2" s="1"/>
  <c r="R37" i="2"/>
  <c r="W57" i="2" s="1"/>
  <c r="R29" i="2"/>
  <c r="W49" i="2" s="1"/>
  <c r="R31" i="2"/>
  <c r="W51" i="2" s="1"/>
  <c r="R30" i="2"/>
  <c r="W50" i="2" s="1"/>
  <c r="R36" i="2"/>
  <c r="W56" i="2" s="1"/>
  <c r="R35" i="2"/>
  <c r="W55" i="2" s="1"/>
  <c r="R27" i="2"/>
  <c r="W47" i="2" s="1"/>
  <c r="R34" i="2"/>
  <c r="W54" i="2" s="1"/>
  <c r="R26" i="2"/>
  <c r="W46" i="2" s="1"/>
  <c r="R33" i="2"/>
  <c r="W53" i="2" s="1"/>
  <c r="R32" i="2"/>
  <c r="W52" i="2" s="1"/>
  <c r="F27" i="1"/>
  <c r="F26" i="4"/>
  <c r="F25" i="4"/>
  <c r="M30" i="1"/>
  <c r="T30" i="1"/>
  <c r="M31" i="1"/>
  <c r="T37" i="1"/>
  <c r="T29" i="1"/>
  <c r="M38" i="1"/>
  <c r="T36" i="1"/>
  <c r="T28" i="1"/>
  <c r="M37" i="1"/>
  <c r="M29" i="1"/>
  <c r="T35" i="1"/>
  <c r="T31" i="1"/>
  <c r="M32" i="1"/>
  <c r="M34" i="1"/>
  <c r="T32" i="1"/>
  <c r="M33" i="1"/>
  <c r="T38" i="1"/>
  <c r="M39" i="1"/>
  <c r="T26" i="1"/>
  <c r="M36" i="1"/>
  <c r="M28" i="1"/>
  <c r="T34" i="1"/>
  <c r="M35" i="1"/>
  <c r="T33" i="1"/>
  <c r="F26" i="1"/>
  <c r="M26" i="1"/>
  <c r="C11" i="2"/>
  <c r="D11" i="2" s="1"/>
  <c r="H12" i="2" s="1"/>
  <c r="K17" i="2"/>
  <c r="Q17" i="2"/>
  <c r="R19" i="1"/>
  <c r="D19" i="1"/>
  <c r="F29" i="1"/>
  <c r="S19" i="1"/>
  <c r="R24" i="2"/>
  <c r="W44" i="2" s="1"/>
  <c r="R17" i="2"/>
  <c r="L17" i="2"/>
  <c r="N8" i="1"/>
  <c r="E19" i="1"/>
  <c r="F33" i="1"/>
  <c r="F32" i="1"/>
  <c r="F39" i="1"/>
  <c r="F31" i="1"/>
  <c r="F35" i="1"/>
  <c r="F38" i="1"/>
  <c r="F30" i="1"/>
  <c r="F34" i="1"/>
  <c r="F37" i="1"/>
  <c r="F36" i="1"/>
  <c r="F28" i="1"/>
  <c r="C10" i="1"/>
  <c r="E73" i="2" l="1"/>
  <c r="C73" i="2" s="1"/>
  <c r="D73" i="2" s="1"/>
  <c r="K60" i="2"/>
  <c r="P61" i="2"/>
  <c r="P62" i="2"/>
  <c r="W30" i="3"/>
  <c r="W27" i="3" s="1"/>
  <c r="W24" i="3" s="1"/>
  <c r="N79" i="2"/>
  <c r="N76" i="2" s="1"/>
  <c r="N73" i="2" s="1"/>
  <c r="L79" i="2" s="1"/>
  <c r="M79" i="2" s="1"/>
  <c r="X79" i="2"/>
  <c r="X76" i="2" s="1"/>
  <c r="W74" i="2" s="1"/>
  <c r="AB26" i="2"/>
  <c r="AK26" i="2"/>
  <c r="C85" i="2"/>
  <c r="D85" i="2" s="1"/>
  <c r="C80" i="2"/>
  <c r="D80" i="2" s="1"/>
  <c r="C75" i="2"/>
  <c r="D75" i="2" s="1"/>
  <c r="C87" i="2"/>
  <c r="D87" i="2" s="1"/>
  <c r="C78" i="2"/>
  <c r="D78" i="2" s="1"/>
  <c r="C74" i="2"/>
  <c r="D74" i="2" s="1"/>
  <c r="L80" i="2"/>
  <c r="M80" i="2" s="1"/>
  <c r="L87" i="2"/>
  <c r="M87" i="2" s="1"/>
  <c r="L76" i="2"/>
  <c r="M76" i="2" s="1"/>
  <c r="L86" i="2"/>
  <c r="M86" i="2" s="1"/>
  <c r="L85" i="2"/>
  <c r="M85" i="2" s="1"/>
  <c r="L82" i="2"/>
  <c r="M82" i="2" s="1"/>
  <c r="L75" i="2"/>
  <c r="M75" i="2" s="1"/>
  <c r="L84" i="2"/>
  <c r="M84" i="2" s="1"/>
  <c r="L81" i="2"/>
  <c r="M81" i="2" s="1"/>
  <c r="L74" i="2"/>
  <c r="M74" i="2" s="1"/>
  <c r="L73" i="2"/>
  <c r="M73" i="2" s="1"/>
  <c r="L78" i="2"/>
  <c r="M78" i="2" s="1"/>
  <c r="V78" i="2"/>
  <c r="W78" i="2" s="1"/>
  <c r="V82" i="2"/>
  <c r="W82" i="2" s="1"/>
  <c r="V85" i="2"/>
  <c r="W85" i="2" s="1"/>
  <c r="V81" i="2"/>
  <c r="W81" i="2" s="1"/>
  <c r="V76" i="2"/>
  <c r="W76" i="2" s="1"/>
  <c r="V83" i="2"/>
  <c r="W83" i="2" s="1"/>
  <c r="V79" i="2"/>
  <c r="W79" i="2" s="1"/>
  <c r="V77" i="2"/>
  <c r="W77" i="2" s="1"/>
  <c r="W73" i="2"/>
  <c r="V75" i="2"/>
  <c r="W75" i="2" s="1"/>
  <c r="D10" i="1"/>
  <c r="H11" i="1" s="1"/>
  <c r="Y41" i="3" a="1"/>
  <c r="C83" i="2" l="1"/>
  <c r="D83" i="2" s="1"/>
  <c r="C88" i="2"/>
  <c r="D88" i="2" s="1"/>
  <c r="C86" i="2"/>
  <c r="D86" i="2" s="1"/>
  <c r="C81" i="2"/>
  <c r="D81" i="2" s="1"/>
  <c r="C79" i="2"/>
  <c r="D79" i="2" s="1"/>
  <c r="C76" i="2"/>
  <c r="D76" i="2" s="1"/>
  <c r="C82" i="2"/>
  <c r="D82" i="2" s="1"/>
  <c r="C84" i="2"/>
  <c r="D84" i="2" s="1"/>
  <c r="C77" i="2"/>
  <c r="D77" i="2" s="1"/>
  <c r="O62" i="2"/>
  <c r="P65" i="2" s="1"/>
  <c r="O65" i="2"/>
  <c r="N93" i="2" s="1"/>
  <c r="U37" i="3"/>
  <c r="V37" i="3" s="1"/>
  <c r="AB37" i="3" s="1"/>
  <c r="U27" i="3"/>
  <c r="V27" i="3" s="1"/>
  <c r="AB27" i="3" s="1"/>
  <c r="U30" i="3"/>
  <c r="V30" i="3" s="1"/>
  <c r="AB30" i="3" s="1"/>
  <c r="U31" i="3"/>
  <c r="V31" i="3" s="1"/>
  <c r="AB31" i="3" s="1"/>
  <c r="U26" i="3"/>
  <c r="V26" i="3" s="1"/>
  <c r="AB26" i="3" s="1"/>
  <c r="U25" i="3"/>
  <c r="V25" i="3" s="1"/>
  <c r="AB25" i="3" s="1"/>
  <c r="U36" i="3"/>
  <c r="V36" i="3" s="1"/>
  <c r="AB36" i="3" s="1"/>
  <c r="U34" i="3"/>
  <c r="V34" i="3" s="1"/>
  <c r="AB34" i="3" s="1"/>
  <c r="U29" i="3"/>
  <c r="V29" i="3" s="1"/>
  <c r="AB29" i="3" s="1"/>
  <c r="U32" i="3"/>
  <c r="V32" i="3" s="1"/>
  <c r="AB32" i="3" s="1"/>
  <c r="U33" i="3"/>
  <c r="V33" i="3" s="1"/>
  <c r="AB33" i="3" s="1"/>
  <c r="U38" i="3"/>
  <c r="V38" i="3" s="1"/>
  <c r="AB38" i="3" s="1"/>
  <c r="U35" i="3"/>
  <c r="V35" i="3" s="1"/>
  <c r="AB35" i="3" s="1"/>
  <c r="U24" i="3"/>
  <c r="V24" i="3" s="1"/>
  <c r="AB24" i="3" s="1"/>
  <c r="U28" i="3"/>
  <c r="V28" i="3" s="1"/>
  <c r="AB28" i="3" s="1"/>
  <c r="Y41" i="3"/>
  <c r="AE32" i="3"/>
  <c r="AF32" i="3" s="1"/>
  <c r="AE35" i="3"/>
  <c r="AF35" i="3" s="1"/>
  <c r="AE28" i="3"/>
  <c r="AF28" i="3" s="1"/>
  <c r="AE37" i="3"/>
  <c r="AF37" i="3" s="1"/>
  <c r="AE38" i="3"/>
  <c r="AF38" i="3" s="1"/>
  <c r="AE36" i="3"/>
  <c r="AF36" i="3" s="1"/>
  <c r="AE27" i="3"/>
  <c r="AF27" i="3" s="1"/>
  <c r="AE25" i="3"/>
  <c r="AF25" i="3" s="1"/>
  <c r="AE34" i="3"/>
  <c r="AF34" i="3" s="1"/>
  <c r="AE31" i="3"/>
  <c r="AF31" i="3" s="1"/>
  <c r="AE26" i="3"/>
  <c r="AF26" i="3" s="1"/>
  <c r="AE30" i="3"/>
  <c r="AF30" i="3" s="1"/>
  <c r="AE33" i="3"/>
  <c r="AF33" i="3" s="1"/>
  <c r="AE29" i="3"/>
  <c r="AF29" i="3" s="1"/>
  <c r="AE24" i="3"/>
  <c r="AF24" i="3" s="1"/>
  <c r="V84" i="2"/>
  <c r="W84" i="2" s="1"/>
  <c r="V87" i="2"/>
  <c r="W87" i="2" s="1"/>
  <c r="V80" i="2"/>
  <c r="W80" i="2" s="1"/>
  <c r="V86" i="2"/>
  <c r="W86" i="2" s="1"/>
  <c r="L83" i="2"/>
  <c r="M83" i="2" s="1"/>
  <c r="L77" i="2"/>
  <c r="M77" i="2" s="1"/>
  <c r="V88" i="2"/>
  <c r="W88" i="2" s="1"/>
  <c r="L88" i="2"/>
  <c r="M88" i="2" s="1"/>
  <c r="L96" i="2" l="1"/>
  <c r="M96" i="2" s="1"/>
  <c r="L104" i="2"/>
  <c r="M104" i="2" s="1"/>
  <c r="L97" i="2"/>
  <c r="M97" i="2" s="1"/>
  <c r="L105" i="2"/>
  <c r="M105" i="2" s="1"/>
  <c r="L94" i="2"/>
  <c r="M94" i="2" s="1"/>
  <c r="L103" i="2"/>
  <c r="M103" i="2" s="1"/>
  <c r="L98" i="2"/>
  <c r="M98" i="2" s="1"/>
  <c r="L106" i="2"/>
  <c r="M106" i="2" s="1"/>
  <c r="L99" i="2"/>
  <c r="M99" i="2" s="1"/>
  <c r="L107" i="2"/>
  <c r="M107" i="2" s="1"/>
  <c r="L100" i="2"/>
  <c r="M100" i="2" s="1"/>
  <c r="L93" i="2"/>
  <c r="M93" i="2" s="1"/>
  <c r="L101" i="2"/>
  <c r="M101" i="2" s="1"/>
  <c r="L95" i="2"/>
  <c r="M95" i="2" s="1"/>
  <c r="L102" i="2"/>
  <c r="M10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<sst xmlns="http://schemas.openxmlformats.org/spreadsheetml/2006/main" count="596" uniqueCount="120">
  <si>
    <t>Dades depòsit</t>
  </si>
  <si>
    <t>Taula d'incerteses / PRECISIÓ instrumental</t>
  </si>
  <si>
    <t>Diàmetre</t>
  </si>
  <si>
    <t>Secció</t>
  </si>
  <si>
    <t>H_0</t>
  </si>
  <si>
    <t>ORIFICI 1</t>
  </si>
  <si>
    <t>ORIFICI 2</t>
  </si>
  <si>
    <t>ORIFICI 3</t>
  </si>
  <si>
    <t>D</t>
  </si>
  <si>
    <t>Diàmetre (mm)</t>
  </si>
  <si>
    <t>Radi (mm)</t>
  </si>
  <si>
    <t>Secció (mm^2)</t>
  </si>
  <si>
    <t>Alçada total (mm)</t>
  </si>
  <si>
    <t>Distància (mm)</t>
  </si>
  <si>
    <t>Distància (m)</t>
  </si>
  <si>
    <t>Temps (s)</t>
  </si>
  <si>
    <t>d</t>
  </si>
  <si>
    <t>0,80 ms</t>
  </si>
  <si>
    <t>Diàmetre (m)</t>
  </si>
  <si>
    <t>DEN JF… NOLTROS TENIM 0,00605 EL MAJOR…</t>
  </si>
  <si>
    <t>0,001 m</t>
  </si>
  <si>
    <t>Secció (m^2)</t>
  </si>
  <si>
    <t>Radi (m)</t>
  </si>
  <si>
    <t>Alçada total (m)</t>
  </si>
  <si>
    <t>Volum d'aigua amb h = 15 cm</t>
  </si>
  <si>
    <t>peru de rei</t>
  </si>
  <si>
    <t>0,05 mm</t>
  </si>
  <si>
    <t>m^3</t>
  </si>
  <si>
    <t>H_0 (m)</t>
  </si>
  <si>
    <t>SENSE MANGUERA</t>
  </si>
  <si>
    <t>h = 15 cm</t>
  </si>
  <si>
    <t>aprox</t>
  </si>
  <si>
    <t>SEMPRE LA MATEIXA!!!</t>
  </si>
  <si>
    <t>d (m)</t>
  </si>
  <si>
    <t>D (m)</t>
  </si>
  <si>
    <t>RESULTATS EXPERIMENTALS</t>
  </si>
  <si>
    <t>RESULTATS TEÒRICS</t>
  </si>
  <si>
    <t>Altura (m)</t>
  </si>
  <si>
    <t>Altura REAL (cm)</t>
  </si>
  <si>
    <t>Altura TEO (cm)</t>
  </si>
  <si>
    <t>Altura (cm)</t>
  </si>
  <si>
    <t>incertesa altura TEO</t>
  </si>
  <si>
    <t>y = Ax^2 + Bx + C</t>
  </si>
  <si>
    <t>REAL</t>
  </si>
  <si>
    <t>R^2</t>
  </si>
  <si>
    <t>TARONJA</t>
  </si>
  <si>
    <t>A</t>
  </si>
  <si>
    <t>propagació errors…</t>
  </si>
  <si>
    <t>B</t>
  </si>
  <si>
    <t>C</t>
  </si>
  <si>
    <t>EXTREMADAMENT LLARG…</t>
  </si>
  <si>
    <t>NOT WORTH IT</t>
  </si>
  <si>
    <t>TEO</t>
  </si>
  <si>
    <t>BLAU</t>
  </si>
  <si>
    <t>Apart si és un analític, continu,</t>
  </si>
  <si>
    <t xml:space="preserve"> no té errors…</t>
  </si>
  <si>
    <t>d/D</t>
  </si>
  <si>
    <t>ALTURA TEÒRICA - FÓRMULA M</t>
  </si>
  <si>
    <t>C_d (A)</t>
  </si>
  <si>
    <t>sigma A</t>
  </si>
  <si>
    <t>C_d (B)</t>
  </si>
  <si>
    <t>sigma B</t>
  </si>
  <si>
    <t>Promig</t>
  </si>
  <si>
    <t>sigma</t>
  </si>
  <si>
    <t>4t</t>
  </si>
  <si>
    <t>3r</t>
  </si>
  <si>
    <t>2n</t>
  </si>
  <si>
    <t>1r</t>
  </si>
  <si>
    <t>MANGUERA 1</t>
  </si>
  <si>
    <t>25 cm</t>
  </si>
  <si>
    <t>Alçada inicial (m)</t>
  </si>
  <si>
    <t>AMB MANGUERA</t>
  </si>
  <si>
    <t>L (m)</t>
  </si>
  <si>
    <t>ARRODONIT</t>
  </si>
  <si>
    <t>MESURAT</t>
  </si>
  <si>
    <t>RESULTATS TEÒRICS AMB PÈRDUES</t>
  </si>
  <si>
    <t>Alpha:</t>
  </si>
  <si>
    <t>f</t>
  </si>
  <si>
    <t>Re</t>
  </si>
  <si>
    <t>MANGUERA 2</t>
  </si>
  <si>
    <t>50 cm</t>
  </si>
  <si>
    <t>MANGUERA 3</t>
  </si>
  <si>
    <t>75 cm</t>
  </si>
  <si>
    <t>d^2/D^2</t>
  </si>
  <si>
    <t>^2</t>
  </si>
  <si>
    <t>terme t</t>
  </si>
  <si>
    <t>terme t^2</t>
  </si>
  <si>
    <t>Com en Lluís… ASIDE, NOT USED</t>
  </si>
  <si>
    <t>v1 (m/s)</t>
  </si>
  <si>
    <t>v2 (m/s)</t>
  </si>
  <si>
    <t>h(t)(m)</t>
  </si>
  <si>
    <t>h(t)(cm)</t>
  </si>
  <si>
    <t>alpha</t>
  </si>
  <si>
    <t>Altura F (cm)</t>
  </si>
  <si>
    <t>f (t^2)</t>
  </si>
  <si>
    <t>f (t)</t>
  </si>
  <si>
    <t>2*h(t)^0.5</t>
  </si>
  <si>
    <t>y = Ax + B</t>
  </si>
  <si>
    <t>error</t>
  </si>
  <si>
    <t>WE GOT THEM</t>
  </si>
  <si>
    <t>orifici 3</t>
  </si>
  <si>
    <t>orifici 2</t>
  </si>
  <si>
    <t>f promig de 8,8 mm diàmetre</t>
  </si>
  <si>
    <t>error suma</t>
  </si>
  <si>
    <t>error suma quadràtica</t>
  </si>
  <si>
    <t>orifici 1</t>
  </si>
  <si>
    <t>AJUST POLY</t>
  </si>
  <si>
    <t>DE F</t>
  </si>
  <si>
    <t>f(t^2)</t>
  </si>
  <si>
    <t>f(t)</t>
  </si>
  <si>
    <t>nova alpha</t>
  </si>
  <si>
    <t>SIGMA</t>
  </si>
  <si>
    <t>f mitja</t>
  </si>
  <si>
    <t>Nova alpha</t>
  </si>
  <si>
    <t>Fregament quadràtic</t>
  </si>
  <si>
    <t>incertesa Re</t>
  </si>
  <si>
    <t xml:space="preserve">2D/d nu * H0-h/t * sD - D^2/d^2 nu * H0-h/t *sd + </t>
  </si>
  <si>
    <t>sRe</t>
  </si>
  <si>
    <t>positu pq abs…</t>
  </si>
  <si>
    <t>més D^2/d nu t * sH0 +  D^2/d nu t* sh + D^2 (H0 - h)/d * nu * t^2 *st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</si>
</sst>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00000"/>
    <numFmt numFmtId="166" formatCode="0.000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9" xfId="0" applyFont="1" applyFill="1" applyBorder="1"/>
    <xf numFmtId="0" fontId="2" fillId="0" borderId="10" xfId="0" applyFont="1" applyBorder="1" applyAlignment="1">
      <alignment horizontal="center"/>
    </xf>
    <xf numFmtId="0" fontId="3" fillId="0" borderId="0" xfId="0" applyFont="1"/>
    <xf numFmtId="0" fontId="2" fillId="5" borderId="11" xfId="0" applyFont="1" applyFill="1" applyBorder="1"/>
    <xf numFmtId="0" fontId="2" fillId="5" borderId="12" xfId="0" applyFont="1" applyFill="1" applyBorder="1"/>
    <xf numFmtId="0" fontId="2" fillId="6" borderId="11" xfId="0" applyFont="1" applyFill="1" applyBorder="1"/>
    <xf numFmtId="0" fontId="2" fillId="6" borderId="12" xfId="0" applyFont="1" applyFill="1" applyBorder="1"/>
    <xf numFmtId="0" fontId="2" fillId="7" borderId="11" xfId="0" applyFont="1" applyFill="1" applyBorder="1"/>
    <xf numFmtId="0" fontId="2" fillId="7" borderId="12" xfId="0" applyFont="1" applyFill="1" applyBorder="1"/>
    <xf numFmtId="0" fontId="0" fillId="7" borderId="0" xfId="0" applyFill="1"/>
    <xf numFmtId="11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5" fontId="0" fillId="0" borderId="1" xfId="0" applyNumberFormat="1" applyBorder="1"/>
    <xf numFmtId="166" fontId="0" fillId="0" borderId="1" xfId="0" applyNumberFormat="1" applyBorder="1"/>
    <xf numFmtId="1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166" fontId="0" fillId="0" borderId="0" xfId="0" applyNumberFormat="1"/>
    <xf numFmtId="0" fontId="0" fillId="6" borderId="0" xfId="0" applyFill="1"/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0" borderId="0" xfId="0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00" b="0" i="0" baseline="0">
                <a:effectLst/>
              </a:rPr>
              <a:t>Altura Vs. Temps de descàrrega.</a:t>
            </a:r>
            <a:endParaRPr lang="en-ES" sz="1000">
              <a:effectLst/>
            </a:endParaRPr>
          </a:p>
          <a:p>
            <a:pPr>
              <a:defRPr/>
            </a:pPr>
            <a:r>
              <a:rPr lang="en-GB" sz="1000" b="0" i="0" baseline="0">
                <a:effectLst/>
              </a:rPr>
              <a:t>Orifici de diàmetre d = 6,05 </a:t>
            </a:r>
            <a:r>
              <a:rPr lang="en-ES" sz="1000" b="0" i="0" baseline="0">
                <a:effectLst/>
              </a:rPr>
              <a:t>± 0,05</a:t>
            </a:r>
            <a:r>
              <a:rPr lang="en-GB" sz="1000" b="0" i="0" baseline="0">
                <a:effectLst/>
              </a:rPr>
              <a:t> mm. Sense manguera</a:t>
            </a:r>
            <a:endParaRPr lang="en-ES" sz="10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'Sense manguera'!$T$44</c:f>
              <c:strCache>
                <c:ptCount val="1"/>
                <c:pt idx="0">
                  <c:v>Altura (cm)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poly"/>
            <c:order val="2"/>
            <c:forward val="10"/>
            <c:dispRSqr val="1"/>
            <c:dispEq val="1"/>
            <c:trendlineLbl>
              <c:layout>
                <c:manualLayout>
                  <c:x val="-0.34873184601924762"/>
                  <c:y val="-2.15044473607465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ES"/>
                </a:p>
              </c:txPr>
            </c:trendlineLbl>
          </c:trendline>
          <c:xVal>
            <c:numRef>
              <c:f>'Sense manguera'!$S$45:$S$58</c:f>
              <c:numCache>
                <c:formatCode>General</c:formatCode>
                <c:ptCount val="14"/>
                <c:pt idx="0">
                  <c:v>0</c:v>
                </c:pt>
                <c:pt idx="1">
                  <c:v>3.6</c:v>
                </c:pt>
                <c:pt idx="2">
                  <c:v>7.6</c:v>
                </c:pt>
                <c:pt idx="3">
                  <c:v>11.4</c:v>
                </c:pt>
                <c:pt idx="4">
                  <c:v>15.6</c:v>
                </c:pt>
                <c:pt idx="5">
                  <c:v>19.600000000000001</c:v>
                </c:pt>
                <c:pt idx="6">
                  <c:v>24.3</c:v>
                </c:pt>
                <c:pt idx="7">
                  <c:v>29.3</c:v>
                </c:pt>
                <c:pt idx="8">
                  <c:v>34.299999999999997</c:v>
                </c:pt>
                <c:pt idx="9">
                  <c:v>40</c:v>
                </c:pt>
                <c:pt idx="10">
                  <c:v>46.7</c:v>
                </c:pt>
                <c:pt idx="11">
                  <c:v>53.9</c:v>
                </c:pt>
                <c:pt idx="12">
                  <c:v>64.400000000000006</c:v>
                </c:pt>
                <c:pt idx="13">
                  <c:v>75.099999999999994</c:v>
                </c:pt>
              </c:numCache>
            </c:numRef>
          </c:xVal>
          <c:yVal>
            <c:numRef>
              <c:f>'Sense manguera'!$T$45:$T$58</c:f>
              <c:numCache>
                <c:formatCode>General</c:formatCode>
                <c:ptCount val="14"/>
                <c:pt idx="0">
                  <c:v>14.000000000000002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7.0000000000000009</c:v>
                </c:pt>
                <c:pt idx="8">
                  <c:v>6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C9-BF4D-9DEE-B5AB85DE8A7E}"/>
            </c:ext>
          </c:extLst>
        </c:ser>
        <c:ser>
          <c:idx val="1"/>
          <c:order val="1"/>
          <c:tx>
            <c:strRef>
              <c:f>'Sense manguera'!$U$44</c:f>
              <c:strCache>
                <c:ptCount val="1"/>
                <c:pt idx="0">
                  <c:v>Altura TEO (cm)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forward val="10"/>
            <c:dispRSqr val="1"/>
            <c:dispEq val="1"/>
            <c:trendlineLbl>
              <c:layout>
                <c:manualLayout>
                  <c:x val="-7.0651793525809276E-3"/>
                  <c:y val="-0.183488990959463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ES"/>
                </a:p>
              </c:txPr>
            </c:trendlineLbl>
          </c:trendline>
          <c:xVal>
            <c:numRef>
              <c:f>'Sense manguera'!$S$45:$S$58</c:f>
              <c:numCache>
                <c:formatCode>General</c:formatCode>
                <c:ptCount val="14"/>
                <c:pt idx="0">
                  <c:v>0</c:v>
                </c:pt>
                <c:pt idx="1">
                  <c:v>3.6</c:v>
                </c:pt>
                <c:pt idx="2">
                  <c:v>7.6</c:v>
                </c:pt>
                <c:pt idx="3">
                  <c:v>11.4</c:v>
                </c:pt>
                <c:pt idx="4">
                  <c:v>15.6</c:v>
                </c:pt>
                <c:pt idx="5">
                  <c:v>19.600000000000001</c:v>
                </c:pt>
                <c:pt idx="6">
                  <c:v>24.3</c:v>
                </c:pt>
                <c:pt idx="7">
                  <c:v>29.3</c:v>
                </c:pt>
                <c:pt idx="8">
                  <c:v>34.299999999999997</c:v>
                </c:pt>
                <c:pt idx="9">
                  <c:v>40</c:v>
                </c:pt>
                <c:pt idx="10">
                  <c:v>46.7</c:v>
                </c:pt>
                <c:pt idx="11">
                  <c:v>53.9</c:v>
                </c:pt>
                <c:pt idx="12">
                  <c:v>64.400000000000006</c:v>
                </c:pt>
                <c:pt idx="13">
                  <c:v>75.099999999999994</c:v>
                </c:pt>
              </c:numCache>
            </c:numRef>
          </c:xVal>
          <c:yVal>
            <c:numRef>
              <c:f>'Sense manguera'!$U$45:$U$58</c:f>
              <c:numCache>
                <c:formatCode>General</c:formatCode>
                <c:ptCount val="14"/>
                <c:pt idx="0">
                  <c:v>14.000000000000002</c:v>
                </c:pt>
                <c:pt idx="1">
                  <c:v>13.43469081921484</c:v>
                </c:pt>
                <c:pt idx="2">
                  <c:v>12.819893588794859</c:v>
                </c:pt>
                <c:pt idx="3">
                  <c:v>12.240370109672508</c:v>
                </c:pt>
                <c:pt idx="4">
                  <c:v>11.6204099415932</c:v>
                </c:pt>
                <c:pt idx="5">
                  <c:v>11.044882475044441</c:v>
                </c:pt>
                <c:pt idx="6">
                  <c:v>10.394427320173591</c:v>
                </c:pt>
                <c:pt idx="7">
                  <c:v>9.7211243953274789</c:v>
                </c:pt>
                <c:pt idx="8">
                  <c:v>9.0677963752798334</c:v>
                </c:pt>
                <c:pt idx="9">
                  <c:v>8.3433305485631735</c:v>
                </c:pt>
                <c:pt idx="10">
                  <c:v>7.5397481786409095</c:v>
                </c:pt>
                <c:pt idx="11">
                  <c:v>6.7280980179505763</c:v>
                </c:pt>
                <c:pt idx="12">
                  <c:v>5.607862334096585</c:v>
                </c:pt>
                <c:pt idx="13">
                  <c:v>4.578611842507474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C9-BF4D-9DEE-B5AB85DE8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208991"/>
        <c:axId val="539111919"/>
      </c:scatterChart>
      <c:valAx>
        <c:axId val="539208991"/>
        <c:scaling>
          <c:orientation val="minMax"/>
          <c:max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 (± 0,1 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539111919"/>
        <c:crosses val="autoZero"/>
        <c:crossBetween val="midCat"/>
      </c:valAx>
      <c:valAx>
        <c:axId val="53911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 (± 0,1m)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539208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00"/>
              <a:t>Altura Vs.</a:t>
            </a:r>
            <a:r>
              <a:rPr lang="en-GB" sz="1000" baseline="0"/>
              <a:t> Temps de descàrrega.</a:t>
            </a:r>
          </a:p>
          <a:p>
            <a:pPr>
              <a:defRPr/>
            </a:pPr>
            <a:r>
              <a:rPr lang="en-GB" sz="1000" baseline="0"/>
              <a:t>Orifici de diàmetre d = 1,60 </a:t>
            </a:r>
            <a:r>
              <a:rPr lang="en-ES" sz="1000" b="0" i="0" u="none" strike="noStrike" baseline="0">
                <a:effectLst/>
              </a:rPr>
              <a:t>± 0,05</a:t>
            </a:r>
            <a:r>
              <a:rPr lang="en-GB" sz="1000" baseline="0"/>
              <a:t> mm. Sense manguera</a:t>
            </a:r>
            <a:endParaRPr lang="en-GB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'Sense manguera'!$C$44</c:f>
              <c:strCache>
                <c:ptCount val="1"/>
                <c:pt idx="0">
                  <c:v>Altura REAL (cm)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poly"/>
            <c:order val="2"/>
            <c:forward val="100"/>
            <c:dispRSqr val="0"/>
            <c:dispEq val="0"/>
          </c:trendline>
          <c:xVal>
            <c:numRef>
              <c:f>'Sense manguera'!$B$45:$B$58</c:f>
              <c:numCache>
                <c:formatCode>General</c:formatCode>
                <c:ptCount val="14"/>
                <c:pt idx="0">
                  <c:v>0</c:v>
                </c:pt>
                <c:pt idx="1">
                  <c:v>22</c:v>
                </c:pt>
                <c:pt idx="2">
                  <c:v>47.5</c:v>
                </c:pt>
                <c:pt idx="3">
                  <c:v>71.900000000000006</c:v>
                </c:pt>
                <c:pt idx="4">
                  <c:v>109.4</c:v>
                </c:pt>
                <c:pt idx="5">
                  <c:v>127.1</c:v>
                </c:pt>
                <c:pt idx="6">
                  <c:v>158.80000000000001</c:v>
                </c:pt>
                <c:pt idx="7">
                  <c:v>189.6</c:v>
                </c:pt>
                <c:pt idx="8">
                  <c:v>225.9</c:v>
                </c:pt>
                <c:pt idx="9">
                  <c:v>263.2</c:v>
                </c:pt>
                <c:pt idx="10">
                  <c:v>307.7</c:v>
                </c:pt>
                <c:pt idx="11">
                  <c:v>359.7</c:v>
                </c:pt>
                <c:pt idx="12">
                  <c:v>434.5</c:v>
                </c:pt>
                <c:pt idx="13">
                  <c:v>522.79999999999995</c:v>
                </c:pt>
              </c:numCache>
            </c:numRef>
          </c:xVal>
          <c:yVal>
            <c:numRef>
              <c:f>'Sense manguera'!$C$45:$C$58</c:f>
              <c:numCache>
                <c:formatCode>General</c:formatCode>
                <c:ptCount val="14"/>
                <c:pt idx="0">
                  <c:v>14.000000000000002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7.0000000000000009</c:v>
                </c:pt>
                <c:pt idx="8">
                  <c:v>6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38-0941-9D52-308FD3C2DADC}"/>
            </c:ext>
          </c:extLst>
        </c:ser>
        <c:ser>
          <c:idx val="1"/>
          <c:order val="1"/>
          <c:tx>
            <c:strRef>
              <c:f>'Sense manguera'!$D$44</c:f>
              <c:strCache>
                <c:ptCount val="1"/>
                <c:pt idx="0">
                  <c:v>Altura TEO (cm)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alpha val="51000"/>
                  </a:schemeClr>
                </a:solidFill>
                <a:prstDash val="solid"/>
              </a:ln>
              <a:effectLst/>
            </c:spPr>
            <c:trendlineType val="poly"/>
            <c:order val="2"/>
            <c:forward val="100"/>
            <c:dispRSqr val="0"/>
            <c:dispEq val="0"/>
          </c:trendline>
          <c:errBars>
            <c:errDir val="x"/>
            <c:errBarType val="both"/>
            <c:errValType val="fixedVal"/>
            <c:noEndCap val="0"/>
            <c:val val="5.000000000000001E-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5.000000000000001E-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'Sense manguera'!$B$45:$B$58</c:f>
              <c:numCache>
                <c:formatCode>General</c:formatCode>
                <c:ptCount val="14"/>
                <c:pt idx="0">
                  <c:v>0</c:v>
                </c:pt>
                <c:pt idx="1">
                  <c:v>22</c:v>
                </c:pt>
                <c:pt idx="2">
                  <c:v>47.5</c:v>
                </c:pt>
                <c:pt idx="3">
                  <c:v>71.900000000000006</c:v>
                </c:pt>
                <c:pt idx="4">
                  <c:v>109.4</c:v>
                </c:pt>
                <c:pt idx="5">
                  <c:v>127.1</c:v>
                </c:pt>
                <c:pt idx="6">
                  <c:v>158.80000000000001</c:v>
                </c:pt>
                <c:pt idx="7">
                  <c:v>189.6</c:v>
                </c:pt>
                <c:pt idx="8">
                  <c:v>225.9</c:v>
                </c:pt>
                <c:pt idx="9">
                  <c:v>263.2</c:v>
                </c:pt>
                <c:pt idx="10">
                  <c:v>307.7</c:v>
                </c:pt>
                <c:pt idx="11">
                  <c:v>359.7</c:v>
                </c:pt>
                <c:pt idx="12">
                  <c:v>434.5</c:v>
                </c:pt>
                <c:pt idx="13">
                  <c:v>522.79999999999995</c:v>
                </c:pt>
              </c:numCache>
            </c:numRef>
          </c:xVal>
          <c:yVal>
            <c:numRef>
              <c:f>'Sense manguera'!$D$45:$D$58</c:f>
              <c:numCache>
                <c:formatCode>General</c:formatCode>
                <c:ptCount val="14"/>
                <c:pt idx="0">
                  <c:v>14.000000000000002</c:v>
                </c:pt>
                <c:pt idx="1">
                  <c:v>13.755380016278796</c:v>
                </c:pt>
                <c:pt idx="2">
                  <c:v>13.475561017140567</c:v>
                </c:pt>
                <c:pt idx="3">
                  <c:v>13.2096703326634</c:v>
                </c:pt>
                <c:pt idx="4">
                  <c:v>12.805715437784224</c:v>
                </c:pt>
                <c:pt idx="5">
                  <c:v>12.617951545253673</c:v>
                </c:pt>
                <c:pt idx="6">
                  <c:v>12.284599891718177</c:v>
                </c:pt>
                <c:pt idx="7">
                  <c:v>11.964580015417965</c:v>
                </c:pt>
                <c:pt idx="8">
                  <c:v>11.592466033014697</c:v>
                </c:pt>
                <c:pt idx="9">
                  <c:v>11.217539385615954</c:v>
                </c:pt>
                <c:pt idx="10">
                  <c:v>10.77719191199221</c:v>
                </c:pt>
                <c:pt idx="11">
                  <c:v>10.27442153025827</c:v>
                </c:pt>
                <c:pt idx="12">
                  <c:v>9.571777289886727</c:v>
                </c:pt>
                <c:pt idx="13">
                  <c:v>8.7740081577419513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38-0941-9D52-308FD3C2D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817871"/>
        <c:axId val="603711343"/>
      </c:scatterChart>
      <c:valAx>
        <c:axId val="603817871"/>
        <c:scaling>
          <c:orientation val="minMax"/>
          <c:max val="6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 (±</a:t>
                </a:r>
                <a:r>
                  <a:rPr lang="en-GB" baseline="0"/>
                  <a:t> 0,1 </a:t>
                </a:r>
                <a:r>
                  <a:rPr lang="en-GB"/>
                  <a:t>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603711343"/>
        <c:crosses val="autoZero"/>
        <c:crossBetween val="midCat"/>
      </c:valAx>
      <c:valAx>
        <c:axId val="6037113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 (±</a:t>
                </a:r>
                <a:r>
                  <a:rPr lang="en-GB" baseline="0"/>
                  <a:t> 0,1 c</a:t>
                </a:r>
                <a:r>
                  <a:rPr lang="en-GB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603817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00" b="0" i="0" baseline="0">
                <a:effectLst/>
              </a:rPr>
              <a:t>Altura Vs. Temps de descàrrega.</a:t>
            </a:r>
            <a:endParaRPr lang="en-ES" sz="1000">
              <a:effectLst/>
            </a:endParaRPr>
          </a:p>
          <a:p>
            <a:pPr>
              <a:defRPr/>
            </a:pPr>
            <a:r>
              <a:rPr lang="en-GB" sz="1000" b="0" i="0" baseline="0">
                <a:effectLst/>
              </a:rPr>
              <a:t>Orifici de diàmetre d = 3,85 </a:t>
            </a:r>
            <a:r>
              <a:rPr lang="en-ES" sz="1000" b="0" i="0" baseline="0">
                <a:effectLst/>
              </a:rPr>
              <a:t>± 0,05</a:t>
            </a:r>
            <a:r>
              <a:rPr lang="en-GB" sz="1000" b="0" i="0" baseline="0">
                <a:effectLst/>
              </a:rPr>
              <a:t> mm. Sense manguera</a:t>
            </a:r>
            <a:endParaRPr lang="en-ES" sz="10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'Sense manguera'!$K$44</c:f>
              <c:strCache>
                <c:ptCount val="1"/>
                <c:pt idx="0">
                  <c:v>Altura (cm)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poly"/>
            <c:order val="2"/>
            <c:forward val="100"/>
            <c:dispRSqr val="1"/>
            <c:dispEq val="1"/>
            <c:trendlineLbl>
              <c:layout>
                <c:manualLayout>
                  <c:x val="-0.36673622047244092"/>
                  <c:y val="-6.687408865558472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ES"/>
                </a:p>
              </c:txPr>
            </c:trendlineLbl>
          </c:trendline>
          <c:xVal>
            <c:numRef>
              <c:f>'Sense manguera'!$J$45:$J$58</c:f>
              <c:numCache>
                <c:formatCode>General</c:formatCode>
                <c:ptCount val="14"/>
                <c:pt idx="0">
                  <c:v>0</c:v>
                </c:pt>
                <c:pt idx="1">
                  <c:v>7.9</c:v>
                </c:pt>
                <c:pt idx="2">
                  <c:v>17.2</c:v>
                </c:pt>
                <c:pt idx="3">
                  <c:v>26.1</c:v>
                </c:pt>
                <c:pt idx="4">
                  <c:v>36.5</c:v>
                </c:pt>
                <c:pt idx="5">
                  <c:v>46.9</c:v>
                </c:pt>
                <c:pt idx="6">
                  <c:v>58.4</c:v>
                </c:pt>
                <c:pt idx="7">
                  <c:v>70.599999999999994</c:v>
                </c:pt>
                <c:pt idx="8">
                  <c:v>84.7</c:v>
                </c:pt>
                <c:pt idx="9">
                  <c:v>98.8</c:v>
                </c:pt>
                <c:pt idx="10">
                  <c:v>115.6</c:v>
                </c:pt>
                <c:pt idx="11">
                  <c:v>134.30000000000001</c:v>
                </c:pt>
                <c:pt idx="12">
                  <c:v>160</c:v>
                </c:pt>
                <c:pt idx="13">
                  <c:v>195.4</c:v>
                </c:pt>
              </c:numCache>
            </c:numRef>
          </c:xVal>
          <c:yVal>
            <c:numRef>
              <c:f>'Sense manguera'!$K$45:$K$58</c:f>
              <c:numCache>
                <c:formatCode>General</c:formatCode>
                <c:ptCount val="14"/>
                <c:pt idx="0">
                  <c:v>14.000000000000002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7.0000000000000009</c:v>
                </c:pt>
                <c:pt idx="8">
                  <c:v>6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3A-3E4E-8C39-A3C6664691C4}"/>
            </c:ext>
          </c:extLst>
        </c:ser>
        <c:ser>
          <c:idx val="1"/>
          <c:order val="1"/>
          <c:tx>
            <c:strRef>
              <c:f>'Sense manguera'!$L$44</c:f>
              <c:strCache>
                <c:ptCount val="1"/>
                <c:pt idx="0">
                  <c:v>Altura TEO (cm)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forward val="100"/>
            <c:dispRSqr val="1"/>
            <c:dispEq val="1"/>
            <c:trendlineLbl>
              <c:layout>
                <c:manualLayout>
                  <c:x val="-4.5844269466316709E-4"/>
                  <c:y val="-0.178911854768153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ES"/>
                </a:p>
              </c:txPr>
            </c:trendlineLbl>
          </c:trendline>
          <c:xVal>
            <c:numRef>
              <c:f>'Sense manguera'!$J$45:$J$58</c:f>
              <c:numCache>
                <c:formatCode>General</c:formatCode>
                <c:ptCount val="14"/>
                <c:pt idx="0">
                  <c:v>0</c:v>
                </c:pt>
                <c:pt idx="1">
                  <c:v>7.9</c:v>
                </c:pt>
                <c:pt idx="2">
                  <c:v>17.2</c:v>
                </c:pt>
                <c:pt idx="3">
                  <c:v>26.1</c:v>
                </c:pt>
                <c:pt idx="4">
                  <c:v>36.5</c:v>
                </c:pt>
                <c:pt idx="5">
                  <c:v>46.9</c:v>
                </c:pt>
                <c:pt idx="6">
                  <c:v>58.4</c:v>
                </c:pt>
                <c:pt idx="7">
                  <c:v>70.599999999999994</c:v>
                </c:pt>
                <c:pt idx="8">
                  <c:v>84.7</c:v>
                </c:pt>
                <c:pt idx="9">
                  <c:v>98.8</c:v>
                </c:pt>
                <c:pt idx="10">
                  <c:v>115.6</c:v>
                </c:pt>
                <c:pt idx="11">
                  <c:v>134.30000000000001</c:v>
                </c:pt>
                <c:pt idx="12">
                  <c:v>160</c:v>
                </c:pt>
                <c:pt idx="13">
                  <c:v>195.4</c:v>
                </c:pt>
              </c:numCache>
            </c:numRef>
          </c:xVal>
          <c:yVal>
            <c:numRef>
              <c:f>'Sense manguera'!$L$45:$L$58</c:f>
              <c:numCache>
                <c:formatCode>General</c:formatCode>
                <c:ptCount val="14"/>
                <c:pt idx="0">
                  <c:v>14.000000000000002</c:v>
                </c:pt>
                <c:pt idx="1">
                  <c:v>13.493638224691477</c:v>
                </c:pt>
                <c:pt idx="2">
                  <c:v>12.912085393388681</c:v>
                </c:pt>
                <c:pt idx="3">
                  <c:v>12.365190134350144</c:v>
                </c:pt>
                <c:pt idx="4">
                  <c:v>11.742398267931842</c:v>
                </c:pt>
                <c:pt idx="5">
                  <c:v>11.134545863369304</c:v>
                </c:pt>
                <c:pt idx="6">
                  <c:v>10.482385553813204</c:v>
                </c:pt>
                <c:pt idx="7">
                  <c:v>9.8114675161031464</c:v>
                </c:pt>
                <c:pt idx="8">
                  <c:v>9.0626613758251438</c:v>
                </c:pt>
                <c:pt idx="9">
                  <c:v>8.3435748296273733</c:v>
                </c:pt>
                <c:pt idx="10">
                  <c:v>7.5286155172221587</c:v>
                </c:pt>
                <c:pt idx="11">
                  <c:v>6.6682997260739896</c:v>
                </c:pt>
                <c:pt idx="12">
                  <c:v>5.5724539514120925</c:v>
                </c:pt>
                <c:pt idx="13">
                  <c:v>4.2212072419662938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3A-3E4E-8C39-A3C666469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599855"/>
        <c:axId val="126586319"/>
      </c:scatterChart>
      <c:valAx>
        <c:axId val="158599855"/>
        <c:scaling>
          <c:orientation val="minMax"/>
          <c:max val="22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 (± 0,1 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26586319"/>
        <c:crosses val="autoZero"/>
        <c:crossBetween val="midCat"/>
      </c:valAx>
      <c:valAx>
        <c:axId val="12658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 (±</a:t>
                </a:r>
                <a:r>
                  <a:rPr lang="en-GB" baseline="0"/>
                  <a:t> 0,1 c</a:t>
                </a:r>
                <a:r>
                  <a:rPr lang="en-GB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58599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'Sense manguera'!$S$26:$S$39</c:f>
              <c:numCache>
                <c:formatCode>General</c:formatCode>
                <c:ptCount val="14"/>
                <c:pt idx="0">
                  <c:v>0</c:v>
                </c:pt>
                <c:pt idx="1">
                  <c:v>3.58</c:v>
                </c:pt>
                <c:pt idx="2">
                  <c:v>7.56</c:v>
                </c:pt>
                <c:pt idx="3">
                  <c:v>11.4</c:v>
                </c:pt>
                <c:pt idx="4">
                  <c:v>15.61</c:v>
                </c:pt>
                <c:pt idx="5">
                  <c:v>19.62</c:v>
                </c:pt>
                <c:pt idx="6">
                  <c:v>24.28</c:v>
                </c:pt>
                <c:pt idx="7">
                  <c:v>29.26</c:v>
                </c:pt>
                <c:pt idx="8">
                  <c:v>34.26</c:v>
                </c:pt>
                <c:pt idx="9">
                  <c:v>40.020000000000003</c:v>
                </c:pt>
                <c:pt idx="10">
                  <c:v>46.71</c:v>
                </c:pt>
                <c:pt idx="11">
                  <c:v>53.84</c:v>
                </c:pt>
                <c:pt idx="12">
                  <c:v>64.430000000000007</c:v>
                </c:pt>
                <c:pt idx="13">
                  <c:v>75.14</c:v>
                </c:pt>
              </c:numCache>
            </c:numRef>
          </c:xVal>
          <c:yVal>
            <c:numRef>
              <c:f>'Sense manguera'!$T$26:$T$39</c:f>
              <c:numCache>
                <c:formatCode>General</c:formatCode>
                <c:ptCount val="14"/>
                <c:pt idx="0">
                  <c:v>0.14000000000000001</c:v>
                </c:pt>
                <c:pt idx="1">
                  <c:v>0.1343469081921484</c:v>
                </c:pt>
                <c:pt idx="2">
                  <c:v>0.12819893588794859</c:v>
                </c:pt>
                <c:pt idx="3">
                  <c:v>0.12240370109672508</c:v>
                </c:pt>
                <c:pt idx="4">
                  <c:v>0.116204099415932</c:v>
                </c:pt>
                <c:pt idx="5">
                  <c:v>0.1104488247504444</c:v>
                </c:pt>
                <c:pt idx="6">
                  <c:v>0.10394427320173591</c:v>
                </c:pt>
                <c:pt idx="7">
                  <c:v>9.7211243953274781E-2</c:v>
                </c:pt>
                <c:pt idx="8">
                  <c:v>9.0677963752798338E-2</c:v>
                </c:pt>
                <c:pt idx="9">
                  <c:v>8.3433305485631729E-2</c:v>
                </c:pt>
                <c:pt idx="10">
                  <c:v>7.5397481786409093E-2</c:v>
                </c:pt>
                <c:pt idx="11">
                  <c:v>6.7280980179505762E-2</c:v>
                </c:pt>
                <c:pt idx="12">
                  <c:v>5.6078623340965847E-2</c:v>
                </c:pt>
                <c:pt idx="13">
                  <c:v>4.578611842507474E-2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69-AD49-9617-E19C9DF10933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'Sense manguera'!$S$26:$S$39</c:f>
              <c:numCache>
                <c:formatCode>General</c:formatCode>
                <c:ptCount val="14"/>
                <c:pt idx="0">
                  <c:v>0</c:v>
                </c:pt>
                <c:pt idx="1">
                  <c:v>3.58</c:v>
                </c:pt>
                <c:pt idx="2">
                  <c:v>7.56</c:v>
                </c:pt>
                <c:pt idx="3">
                  <c:v>11.4</c:v>
                </c:pt>
                <c:pt idx="4">
                  <c:v>15.61</c:v>
                </c:pt>
                <c:pt idx="5">
                  <c:v>19.62</c:v>
                </c:pt>
                <c:pt idx="6">
                  <c:v>24.28</c:v>
                </c:pt>
                <c:pt idx="7">
                  <c:v>29.26</c:v>
                </c:pt>
                <c:pt idx="8">
                  <c:v>34.26</c:v>
                </c:pt>
                <c:pt idx="9">
                  <c:v>40.020000000000003</c:v>
                </c:pt>
                <c:pt idx="10">
                  <c:v>46.71</c:v>
                </c:pt>
                <c:pt idx="11">
                  <c:v>53.84</c:v>
                </c:pt>
                <c:pt idx="12">
                  <c:v>64.430000000000007</c:v>
                </c:pt>
                <c:pt idx="13">
                  <c:v>75.14</c:v>
                </c:pt>
              </c:numCache>
            </c:numRef>
          </c:xVal>
          <c:yVal>
            <c:numRef>
              <c:f>'Sense manguera'!$U$26:$U$39</c:f>
              <c:numCache>
                <c:formatCode>General</c:formatCode>
                <c:ptCount val="14"/>
                <c:pt idx="0">
                  <c:v>0.14000000000000001</c:v>
                </c:pt>
                <c:pt idx="1">
                  <c:v>0.1300709972741789</c:v>
                </c:pt>
                <c:pt idx="2">
                  <c:v>0.11946124507670737</c:v>
                </c:pt>
                <c:pt idx="3">
                  <c:v>0.10965248180815945</c:v>
                </c:pt>
                <c:pt idx="4">
                  <c:v>9.9381397550893077E-2</c:v>
                </c:pt>
                <c:pt idx="5">
                  <c:v>9.0067820717841668E-2</c:v>
                </c:pt>
                <c:pt idx="6">
                  <c:v>7.9820119863914712E-2</c:v>
                </c:pt>
                <c:pt idx="7">
                  <c:v>6.9552610861438227E-2</c:v>
                </c:pt>
                <c:pt idx="8">
                  <c:v>5.9954727793346041E-2</c:v>
                </c:pt>
                <c:pt idx="9">
                  <c:v>4.9780881391771101E-2</c:v>
                </c:pt>
                <c:pt idx="10">
                  <c:v>3.9150914984146905E-2</c:v>
                </c:pt>
                <c:pt idx="11">
                  <c:v>2.9225541542562308E-2</c:v>
                </c:pt>
                <c:pt idx="12">
                  <c:v>1.7156923259312527E-2</c:v>
                </c:pt>
                <c:pt idx="13">
                  <c:v>8.2013241114973767E-3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69-AD49-9617-E19C9DF10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2211823"/>
        <c:axId val="1412583151"/>
      </c:scatterChart>
      <c:valAx>
        <c:axId val="14122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412583151"/>
        <c:crosses val="autoZero"/>
        <c:crossBetween val="midCat"/>
      </c:valAx>
      <c:valAx>
        <c:axId val="141258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412211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00" b="0" i="0" baseline="0">
                <a:effectLst/>
              </a:rPr>
              <a:t>Altura Vs. Temps de descàrrega.</a:t>
            </a:r>
            <a:endParaRPr lang="en-ES" sz="1000">
              <a:effectLst/>
            </a:endParaRPr>
          </a:p>
          <a:p>
            <a:pPr>
              <a:defRPr/>
            </a:pPr>
            <a:r>
              <a:rPr lang="en-GB" sz="1000" b="0" i="0" baseline="0">
                <a:effectLst/>
              </a:rPr>
              <a:t>Orifici de diàmetre d = 6,05 </a:t>
            </a:r>
            <a:r>
              <a:rPr lang="en-ES" sz="1000" b="0" i="0" baseline="0">
                <a:effectLst/>
              </a:rPr>
              <a:t>± 0,05</a:t>
            </a:r>
            <a:r>
              <a:rPr lang="en-GB" sz="1000" b="0" i="0" baseline="0">
                <a:effectLst/>
              </a:rPr>
              <a:t> mm. Sense manguera</a:t>
            </a:r>
            <a:endParaRPr lang="en-ES" sz="10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Altura Experimental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50"/>
            <c:backward val="10"/>
            <c:dispRSqr val="0"/>
            <c:dispEq val="0"/>
          </c:trendline>
          <c:xVal>
            <c:numRef>
              <c:f>'SENSE MAN'!$J$45:$J$58</c:f>
              <c:numCache>
                <c:formatCode>General</c:formatCode>
                <c:ptCount val="14"/>
                <c:pt idx="0">
                  <c:v>0</c:v>
                </c:pt>
                <c:pt idx="1">
                  <c:v>7.9</c:v>
                </c:pt>
                <c:pt idx="2">
                  <c:v>17.2</c:v>
                </c:pt>
                <c:pt idx="3">
                  <c:v>26.1</c:v>
                </c:pt>
                <c:pt idx="4">
                  <c:v>36.5</c:v>
                </c:pt>
                <c:pt idx="5">
                  <c:v>46.9</c:v>
                </c:pt>
                <c:pt idx="6">
                  <c:v>58.4</c:v>
                </c:pt>
                <c:pt idx="7">
                  <c:v>70.599999999999994</c:v>
                </c:pt>
                <c:pt idx="8">
                  <c:v>84.7</c:v>
                </c:pt>
                <c:pt idx="9">
                  <c:v>98.8</c:v>
                </c:pt>
                <c:pt idx="10">
                  <c:v>115.6</c:v>
                </c:pt>
                <c:pt idx="11">
                  <c:v>134.30000000000001</c:v>
                </c:pt>
                <c:pt idx="12">
                  <c:v>160</c:v>
                </c:pt>
                <c:pt idx="13">
                  <c:v>195.4</c:v>
                </c:pt>
              </c:numCache>
            </c:numRef>
          </c:xVal>
          <c:yVal>
            <c:numRef>
              <c:f>'SENSE MAN'!$K$45:$K$58</c:f>
              <c:numCache>
                <c:formatCode>General</c:formatCode>
                <c:ptCount val="14"/>
                <c:pt idx="0">
                  <c:v>14.000000000000002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7.0000000000000009</c:v>
                </c:pt>
                <c:pt idx="8">
                  <c:v>6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54-C543-A2AC-50A3D6FC4714}"/>
            </c:ext>
          </c:extLst>
        </c:ser>
        <c:ser>
          <c:idx val="1"/>
          <c:order val="1"/>
          <c:tx>
            <c:v>Altura Teòrica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2"/>
            <c:backward val="10"/>
            <c:dispRSqr val="0"/>
            <c:dispEq val="0"/>
          </c:trendline>
          <c:xVal>
            <c:numRef>
              <c:f>'SENSE MAN'!$J$45:$J$58</c:f>
              <c:numCache>
                <c:formatCode>General</c:formatCode>
                <c:ptCount val="14"/>
                <c:pt idx="0">
                  <c:v>0</c:v>
                </c:pt>
                <c:pt idx="1">
                  <c:v>7.9</c:v>
                </c:pt>
                <c:pt idx="2">
                  <c:v>17.2</c:v>
                </c:pt>
                <c:pt idx="3">
                  <c:v>26.1</c:v>
                </c:pt>
                <c:pt idx="4">
                  <c:v>36.5</c:v>
                </c:pt>
                <c:pt idx="5">
                  <c:v>46.9</c:v>
                </c:pt>
                <c:pt idx="6">
                  <c:v>58.4</c:v>
                </c:pt>
                <c:pt idx="7">
                  <c:v>70.599999999999994</c:v>
                </c:pt>
                <c:pt idx="8">
                  <c:v>84.7</c:v>
                </c:pt>
                <c:pt idx="9">
                  <c:v>98.8</c:v>
                </c:pt>
                <c:pt idx="10">
                  <c:v>115.6</c:v>
                </c:pt>
                <c:pt idx="11">
                  <c:v>134.30000000000001</c:v>
                </c:pt>
                <c:pt idx="12">
                  <c:v>160</c:v>
                </c:pt>
                <c:pt idx="13">
                  <c:v>195.4</c:v>
                </c:pt>
              </c:numCache>
            </c:numRef>
          </c:xVal>
          <c:yVal>
            <c:numRef>
              <c:f>'SENSE MAN'!$L$45:$L$57</c:f>
              <c:numCache>
                <c:formatCode>General</c:formatCode>
                <c:ptCount val="13"/>
                <c:pt idx="0">
                  <c:v>14.000000000000002</c:v>
                </c:pt>
                <c:pt idx="1">
                  <c:v>12.766517281717107</c:v>
                </c:pt>
                <c:pt idx="2">
                  <c:v>11.393337687776164</c:v>
                </c:pt>
                <c:pt idx="3">
                  <c:v>10.147105089651907</c:v>
                </c:pt>
                <c:pt idx="4">
                  <c:v>8.7850034438662874</c:v>
                </c:pt>
                <c:pt idx="5">
                  <c:v>7.5186891477291882</c:v>
                </c:pt>
                <c:pt idx="6">
                  <c:v>6.2353624811983348</c:v>
                </c:pt>
                <c:pt idx="7">
                  <c:v>5.0040904904235379</c:v>
                </c:pt>
                <c:pt idx="8">
                  <c:v>3.7479496016826217</c:v>
                </c:pt>
                <c:pt idx="9">
                  <c:v>2.6730351089969733</c:v>
                </c:pt>
                <c:pt idx="10">
                  <c:v>1.6323646282929039</c:v>
                </c:pt>
                <c:pt idx="11">
                  <c:v>0.77223160224056819</c:v>
                </c:pt>
                <c:pt idx="12">
                  <c:v>0.10976133325024395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54-C543-A2AC-50A3D6FC4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0885744"/>
        <c:axId val="1335701168"/>
      </c:scatterChart>
      <c:valAx>
        <c:axId val="1260885744"/>
        <c:scaling>
          <c:orientation val="minMax"/>
          <c:max val="2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</a:t>
                </a:r>
                <a:r>
                  <a:rPr lang="en-GB" baseline="0"/>
                  <a:t> (± 0,1 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335701168"/>
        <c:crosses val="autoZero"/>
        <c:crossBetween val="midCat"/>
      </c:valAx>
      <c:valAx>
        <c:axId val="133570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 (± 0,1</a:t>
                </a:r>
                <a:r>
                  <a:rPr lang="en-GB" baseline="0"/>
                  <a:t> cm)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260885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62913009871263836"/>
          <c:y val="0.22406878542731754"/>
          <c:w val="0.29329699861288167"/>
          <c:h val="0.15744392237325078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00" b="0" i="0" baseline="0">
                <a:effectLst/>
              </a:rPr>
              <a:t>Altura Vs. Temps de descàrrega.</a:t>
            </a:r>
            <a:endParaRPr lang="en-ES" sz="1000">
              <a:effectLst/>
            </a:endParaRPr>
          </a:p>
          <a:p>
            <a:pPr>
              <a:defRPr/>
            </a:pPr>
            <a:r>
              <a:rPr lang="en-GB" sz="1000" b="0" i="0" baseline="0">
                <a:effectLst/>
              </a:rPr>
              <a:t>Orifici de diàmetre d = 3,85 </a:t>
            </a:r>
            <a:r>
              <a:rPr lang="en-ES" sz="1000" b="0" i="0" baseline="0">
                <a:effectLst/>
              </a:rPr>
              <a:t>± 0,05</a:t>
            </a:r>
            <a:r>
              <a:rPr lang="en-GB" sz="1000" b="0" i="0" baseline="0">
                <a:effectLst/>
              </a:rPr>
              <a:t> mm. Sense manguera</a:t>
            </a:r>
            <a:endParaRPr lang="en-ES" sz="10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Altura Experimental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100"/>
            <c:dispRSqr val="0"/>
            <c:dispEq val="0"/>
          </c:trendline>
          <c:xVal>
            <c:numRef>
              <c:f>'SENSE MAN'!$B$45:$B$58</c:f>
              <c:numCache>
                <c:formatCode>General</c:formatCode>
                <c:ptCount val="14"/>
                <c:pt idx="0">
                  <c:v>0</c:v>
                </c:pt>
                <c:pt idx="1">
                  <c:v>22</c:v>
                </c:pt>
                <c:pt idx="2">
                  <c:v>47.5</c:v>
                </c:pt>
                <c:pt idx="3">
                  <c:v>71.900000000000006</c:v>
                </c:pt>
                <c:pt idx="4">
                  <c:v>109.4</c:v>
                </c:pt>
                <c:pt idx="5">
                  <c:v>127.1</c:v>
                </c:pt>
                <c:pt idx="6">
                  <c:v>158.80000000000001</c:v>
                </c:pt>
                <c:pt idx="7">
                  <c:v>189.6</c:v>
                </c:pt>
                <c:pt idx="8">
                  <c:v>225.9</c:v>
                </c:pt>
                <c:pt idx="9">
                  <c:v>263.2</c:v>
                </c:pt>
                <c:pt idx="10">
                  <c:v>307.7</c:v>
                </c:pt>
                <c:pt idx="11">
                  <c:v>359.7</c:v>
                </c:pt>
                <c:pt idx="12">
                  <c:v>434.5</c:v>
                </c:pt>
                <c:pt idx="13">
                  <c:v>522.79999999999995</c:v>
                </c:pt>
              </c:numCache>
            </c:numRef>
          </c:xVal>
          <c:yVal>
            <c:numRef>
              <c:f>'SENSE MAN'!$C$45:$C$58</c:f>
              <c:numCache>
                <c:formatCode>General</c:formatCode>
                <c:ptCount val="14"/>
                <c:pt idx="0">
                  <c:v>14.000000000000002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7.0000000000000009</c:v>
                </c:pt>
                <c:pt idx="8">
                  <c:v>6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C9-FB4E-A3C3-1DAD8AAA7584}"/>
            </c:ext>
          </c:extLst>
        </c:ser>
        <c:ser>
          <c:idx val="1"/>
          <c:order val="1"/>
          <c:tx>
            <c:v>Altura Teòrica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'SENSE MAN'!$B$45:$B$58</c:f>
              <c:numCache>
                <c:formatCode>General</c:formatCode>
                <c:ptCount val="14"/>
                <c:pt idx="0">
                  <c:v>0</c:v>
                </c:pt>
                <c:pt idx="1">
                  <c:v>22</c:v>
                </c:pt>
                <c:pt idx="2">
                  <c:v>47.5</c:v>
                </c:pt>
                <c:pt idx="3">
                  <c:v>71.900000000000006</c:v>
                </c:pt>
                <c:pt idx="4">
                  <c:v>109.4</c:v>
                </c:pt>
                <c:pt idx="5">
                  <c:v>127.1</c:v>
                </c:pt>
                <c:pt idx="6">
                  <c:v>158.80000000000001</c:v>
                </c:pt>
                <c:pt idx="7">
                  <c:v>189.6</c:v>
                </c:pt>
                <c:pt idx="8">
                  <c:v>225.9</c:v>
                </c:pt>
                <c:pt idx="9">
                  <c:v>263.2</c:v>
                </c:pt>
                <c:pt idx="10">
                  <c:v>307.7</c:v>
                </c:pt>
                <c:pt idx="11">
                  <c:v>359.7</c:v>
                </c:pt>
                <c:pt idx="12">
                  <c:v>434.5</c:v>
                </c:pt>
                <c:pt idx="13">
                  <c:v>522.79999999999995</c:v>
                </c:pt>
              </c:numCache>
            </c:numRef>
          </c:xVal>
          <c:yVal>
            <c:numRef>
              <c:f>'SENSE MAN'!$D$45:$D$57</c:f>
              <c:numCache>
                <c:formatCode>General</c:formatCode>
                <c:ptCount val="13"/>
                <c:pt idx="0">
                  <c:v>14.000000000000002</c:v>
                </c:pt>
                <c:pt idx="1">
                  <c:v>12.613538293885796</c:v>
                </c:pt>
                <c:pt idx="2">
                  <c:v>11.102304656423396</c:v>
                </c:pt>
                <c:pt idx="3">
                  <c:v>9.7423621224656376</c:v>
                </c:pt>
                <c:pt idx="4">
                  <c:v>7.8232804527941537</c:v>
                </c:pt>
                <c:pt idx="5">
                  <c:v>6.9936472524567721</c:v>
                </c:pt>
                <c:pt idx="6">
                  <c:v>5.6218816298811802</c:v>
                </c:pt>
                <c:pt idx="7">
                  <c:v>4.4309220936627574</c:v>
                </c:pt>
                <c:pt idx="8">
                  <c:v>3.2079405134446466</c:v>
                </c:pt>
                <c:pt idx="9">
                  <c:v>2.1598959778419351</c:v>
                </c:pt>
                <c:pt idx="10">
                  <c:v>1.177707035018273</c:v>
                </c:pt>
                <c:pt idx="11">
                  <c:v>0.40520197662325397</c:v>
                </c:pt>
                <c:pt idx="12">
                  <c:v>8.6393898143799497E-5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C9-FB4E-A3C3-1DAD8AAA7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112064"/>
        <c:axId val="1337054640"/>
      </c:scatterChart>
      <c:valAx>
        <c:axId val="1341112064"/>
        <c:scaling>
          <c:orientation val="minMax"/>
          <c:max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0"/>
                  <a:t>t (± 0,1 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337054640"/>
        <c:crosses val="autoZero"/>
        <c:crossBetween val="midCat"/>
      </c:valAx>
      <c:valAx>
        <c:axId val="1337054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 (± 0,1 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341112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6384600950095306"/>
          <c:y val="0.22901888669379636"/>
          <c:w val="0.29766031623754358"/>
          <c:h val="0.16736768404185681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00" b="0" i="0" baseline="0">
                <a:effectLst/>
              </a:rPr>
              <a:t>Altura Vs. Temps de descàrrega.</a:t>
            </a:r>
            <a:endParaRPr lang="en-ES" sz="1000">
              <a:effectLst/>
            </a:endParaRPr>
          </a:p>
          <a:p>
            <a:pPr>
              <a:defRPr/>
            </a:pPr>
            <a:r>
              <a:rPr lang="en-GB" sz="1000" b="0" i="0" baseline="0">
                <a:effectLst/>
              </a:rPr>
              <a:t>Orifici de diàmetre d = 8,15 </a:t>
            </a:r>
            <a:r>
              <a:rPr lang="en-ES" sz="1000" b="0" i="0" baseline="0">
                <a:effectLst/>
              </a:rPr>
              <a:t>± 0,05</a:t>
            </a:r>
            <a:r>
              <a:rPr lang="en-GB" sz="1000" b="0" i="0" baseline="0">
                <a:effectLst/>
              </a:rPr>
              <a:t> mm. Sense manguera</a:t>
            </a:r>
            <a:endParaRPr lang="en-ES" sz="10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Altura Experimental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10"/>
            <c:dispRSqr val="0"/>
            <c:dispEq val="0"/>
          </c:trendline>
          <c:xVal>
            <c:numRef>
              <c:f>'SENSE MAN'!$S$45:$S$58</c:f>
              <c:numCache>
                <c:formatCode>General</c:formatCode>
                <c:ptCount val="14"/>
                <c:pt idx="0">
                  <c:v>0</c:v>
                </c:pt>
                <c:pt idx="1">
                  <c:v>3.6</c:v>
                </c:pt>
                <c:pt idx="2">
                  <c:v>7.6</c:v>
                </c:pt>
                <c:pt idx="3">
                  <c:v>11.4</c:v>
                </c:pt>
                <c:pt idx="4">
                  <c:v>15.6</c:v>
                </c:pt>
                <c:pt idx="5">
                  <c:v>19.600000000000001</c:v>
                </c:pt>
                <c:pt idx="6">
                  <c:v>24.3</c:v>
                </c:pt>
                <c:pt idx="7">
                  <c:v>29.3</c:v>
                </c:pt>
                <c:pt idx="8">
                  <c:v>34.299999999999997</c:v>
                </c:pt>
                <c:pt idx="9">
                  <c:v>40</c:v>
                </c:pt>
                <c:pt idx="10">
                  <c:v>46.7</c:v>
                </c:pt>
                <c:pt idx="11">
                  <c:v>53.9</c:v>
                </c:pt>
                <c:pt idx="12">
                  <c:v>64.400000000000006</c:v>
                </c:pt>
                <c:pt idx="13">
                  <c:v>75.099999999999994</c:v>
                </c:pt>
              </c:numCache>
            </c:numRef>
          </c:xVal>
          <c:yVal>
            <c:numRef>
              <c:f>'SENSE MAN'!$T$45:$T$58</c:f>
              <c:numCache>
                <c:formatCode>General</c:formatCode>
                <c:ptCount val="14"/>
                <c:pt idx="0">
                  <c:v>14.000000000000002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7.0000000000000009</c:v>
                </c:pt>
                <c:pt idx="8">
                  <c:v>6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5D-F140-99EF-129D9356E009}"/>
            </c:ext>
          </c:extLst>
        </c:ser>
        <c:ser>
          <c:idx val="1"/>
          <c:order val="1"/>
          <c:tx>
            <c:v>Altura teòrica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2"/>
            <c:forward val="10"/>
            <c:dispRSqr val="0"/>
            <c:dispEq val="0"/>
          </c:trendline>
          <c:xVal>
            <c:numRef>
              <c:f>'SENSE MAN'!$S$45:$S$58</c:f>
              <c:numCache>
                <c:formatCode>General</c:formatCode>
                <c:ptCount val="14"/>
                <c:pt idx="0">
                  <c:v>0</c:v>
                </c:pt>
                <c:pt idx="1">
                  <c:v>3.6</c:v>
                </c:pt>
                <c:pt idx="2">
                  <c:v>7.6</c:v>
                </c:pt>
                <c:pt idx="3">
                  <c:v>11.4</c:v>
                </c:pt>
                <c:pt idx="4">
                  <c:v>15.6</c:v>
                </c:pt>
                <c:pt idx="5">
                  <c:v>19.600000000000001</c:v>
                </c:pt>
                <c:pt idx="6">
                  <c:v>24.3</c:v>
                </c:pt>
                <c:pt idx="7">
                  <c:v>29.3</c:v>
                </c:pt>
                <c:pt idx="8">
                  <c:v>34.299999999999997</c:v>
                </c:pt>
                <c:pt idx="9">
                  <c:v>40</c:v>
                </c:pt>
                <c:pt idx="10">
                  <c:v>46.7</c:v>
                </c:pt>
                <c:pt idx="11">
                  <c:v>53.9</c:v>
                </c:pt>
                <c:pt idx="12">
                  <c:v>64.400000000000006</c:v>
                </c:pt>
                <c:pt idx="13">
                  <c:v>75.099999999999994</c:v>
                </c:pt>
              </c:numCache>
            </c:numRef>
          </c:xVal>
          <c:yVal>
            <c:numRef>
              <c:f>'SENSE MAN'!$U$45:$U$58</c:f>
              <c:numCache>
                <c:formatCode>General</c:formatCode>
                <c:ptCount val="14"/>
                <c:pt idx="0">
                  <c:v>14.000000000000002</c:v>
                </c:pt>
                <c:pt idx="1">
                  <c:v>12.982746017686896</c:v>
                </c:pt>
                <c:pt idx="2">
                  <c:v>11.896865889882422</c:v>
                </c:pt>
                <c:pt idx="3">
                  <c:v>10.894126266607037</c:v>
                </c:pt>
                <c:pt idx="4">
                  <c:v>9.8454919750455936</c:v>
                </c:pt>
                <c:pt idx="5">
                  <c:v>8.8960081372867528</c:v>
                </c:pt>
                <c:pt idx="6">
                  <c:v>7.8530873913540429</c:v>
                </c:pt>
                <c:pt idx="7">
                  <c:v>6.8104015247537824</c:v>
                </c:pt>
                <c:pt idx="8">
                  <c:v>5.8382128485529234</c:v>
                </c:pt>
                <c:pt idx="9">
                  <c:v>4.8110125649349591</c:v>
                </c:pt>
                <c:pt idx="10">
                  <c:v>3.7426220483369188</c:v>
                </c:pt>
                <c:pt idx="11">
                  <c:v>2.7514421483307649</c:v>
                </c:pt>
                <c:pt idx="12">
                  <c:v>1.5601294259627438</c:v>
                </c:pt>
                <c:pt idx="13">
                  <c:v>0.69674614940114088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5D-F140-99EF-129D9356E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759248"/>
        <c:axId val="1335876192"/>
      </c:scatterChart>
      <c:valAx>
        <c:axId val="928759248"/>
        <c:scaling>
          <c:orientation val="minMax"/>
          <c:max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</a:t>
                </a:r>
                <a:r>
                  <a:rPr lang="en-GB" baseline="0"/>
                  <a:t> (± 0,1 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335876192"/>
        <c:crosses val="autoZero"/>
        <c:crossBetween val="midCat"/>
      </c:valAx>
      <c:valAx>
        <c:axId val="133587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</a:t>
                </a:r>
                <a:r>
                  <a:rPr lang="en-GB" baseline="0"/>
                  <a:t> (± 0,1 cm)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928759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6366043307086614"/>
          <c:y val="0.21817074948964713"/>
          <c:w val="0.30456889763779527"/>
          <c:h val="0.15682925051035285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3,85 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'SENSE MAN'!$B$45:$B$58</c:f>
              <c:numCache>
                <c:formatCode>General</c:formatCode>
                <c:ptCount val="14"/>
                <c:pt idx="0">
                  <c:v>0</c:v>
                </c:pt>
                <c:pt idx="1">
                  <c:v>22</c:v>
                </c:pt>
                <c:pt idx="2">
                  <c:v>47.5</c:v>
                </c:pt>
                <c:pt idx="3">
                  <c:v>71.900000000000006</c:v>
                </c:pt>
                <c:pt idx="4">
                  <c:v>109.4</c:v>
                </c:pt>
                <c:pt idx="5">
                  <c:v>127.1</c:v>
                </c:pt>
                <c:pt idx="6">
                  <c:v>158.80000000000001</c:v>
                </c:pt>
                <c:pt idx="7">
                  <c:v>189.6</c:v>
                </c:pt>
                <c:pt idx="8">
                  <c:v>225.9</c:v>
                </c:pt>
                <c:pt idx="9">
                  <c:v>263.2</c:v>
                </c:pt>
                <c:pt idx="10">
                  <c:v>307.7</c:v>
                </c:pt>
                <c:pt idx="11">
                  <c:v>359.7</c:v>
                </c:pt>
                <c:pt idx="12">
                  <c:v>434.5</c:v>
                </c:pt>
                <c:pt idx="13">
                  <c:v>522.79999999999995</c:v>
                </c:pt>
              </c:numCache>
            </c:numRef>
          </c:xVal>
          <c:yVal>
            <c:numRef>
              <c:f>'SENSE MAN'!$C$45:$C$58</c:f>
              <c:numCache>
                <c:formatCode>General</c:formatCode>
                <c:ptCount val="14"/>
                <c:pt idx="0">
                  <c:v>14.000000000000002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7.0000000000000009</c:v>
                </c:pt>
                <c:pt idx="8">
                  <c:v>6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AE-8549-9A37-295E2903DECE}"/>
            </c:ext>
          </c:extLst>
        </c:ser>
        <c:ser>
          <c:idx val="1"/>
          <c:order val="1"/>
          <c:tx>
            <c:v>3,85 teo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'SENSE MAN'!$B$45:$B$58</c:f>
              <c:numCache>
                <c:formatCode>General</c:formatCode>
                <c:ptCount val="14"/>
                <c:pt idx="0">
                  <c:v>0</c:v>
                </c:pt>
                <c:pt idx="1">
                  <c:v>22</c:v>
                </c:pt>
                <c:pt idx="2">
                  <c:v>47.5</c:v>
                </c:pt>
                <c:pt idx="3">
                  <c:v>71.900000000000006</c:v>
                </c:pt>
                <c:pt idx="4">
                  <c:v>109.4</c:v>
                </c:pt>
                <c:pt idx="5">
                  <c:v>127.1</c:v>
                </c:pt>
                <c:pt idx="6">
                  <c:v>158.80000000000001</c:v>
                </c:pt>
                <c:pt idx="7">
                  <c:v>189.6</c:v>
                </c:pt>
                <c:pt idx="8">
                  <c:v>225.9</c:v>
                </c:pt>
                <c:pt idx="9">
                  <c:v>263.2</c:v>
                </c:pt>
                <c:pt idx="10">
                  <c:v>307.7</c:v>
                </c:pt>
                <c:pt idx="11">
                  <c:v>359.7</c:v>
                </c:pt>
                <c:pt idx="12">
                  <c:v>434.5</c:v>
                </c:pt>
                <c:pt idx="13">
                  <c:v>522.79999999999995</c:v>
                </c:pt>
              </c:numCache>
            </c:numRef>
          </c:xVal>
          <c:yVal>
            <c:numRef>
              <c:f>'SENSE MAN'!$D$45:$D$56</c:f>
              <c:numCache>
                <c:formatCode>General</c:formatCode>
                <c:ptCount val="12"/>
                <c:pt idx="0">
                  <c:v>14.000000000000002</c:v>
                </c:pt>
                <c:pt idx="1">
                  <c:v>12.613538293885796</c:v>
                </c:pt>
                <c:pt idx="2">
                  <c:v>11.102304656423396</c:v>
                </c:pt>
                <c:pt idx="3">
                  <c:v>9.7423621224656376</c:v>
                </c:pt>
                <c:pt idx="4">
                  <c:v>7.8232804527941537</c:v>
                </c:pt>
                <c:pt idx="5">
                  <c:v>6.9936472524567721</c:v>
                </c:pt>
                <c:pt idx="6">
                  <c:v>5.6218816298811802</c:v>
                </c:pt>
                <c:pt idx="7">
                  <c:v>4.4309220936627574</c:v>
                </c:pt>
                <c:pt idx="8">
                  <c:v>3.2079405134446466</c:v>
                </c:pt>
                <c:pt idx="9">
                  <c:v>2.1598959778419351</c:v>
                </c:pt>
                <c:pt idx="10">
                  <c:v>1.177707035018273</c:v>
                </c:pt>
                <c:pt idx="11">
                  <c:v>0.40520197662325397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AE-8549-9A37-295E2903DECE}"/>
            </c:ext>
          </c:extLst>
        </c:ser>
        <c:ser>
          <c:idx val="2"/>
          <c:order val="2"/>
          <c:tx>
            <c:v>6,05 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'SENSE MAN'!$J$45:$J$58</c:f>
              <c:numCache>
                <c:formatCode>General</c:formatCode>
                <c:ptCount val="14"/>
                <c:pt idx="0">
                  <c:v>0</c:v>
                </c:pt>
                <c:pt idx="1">
                  <c:v>7.9</c:v>
                </c:pt>
                <c:pt idx="2">
                  <c:v>17.2</c:v>
                </c:pt>
                <c:pt idx="3">
                  <c:v>26.1</c:v>
                </c:pt>
                <c:pt idx="4">
                  <c:v>36.5</c:v>
                </c:pt>
                <c:pt idx="5">
                  <c:v>46.9</c:v>
                </c:pt>
                <c:pt idx="6">
                  <c:v>58.4</c:v>
                </c:pt>
                <c:pt idx="7">
                  <c:v>70.599999999999994</c:v>
                </c:pt>
                <c:pt idx="8">
                  <c:v>84.7</c:v>
                </c:pt>
                <c:pt idx="9">
                  <c:v>98.8</c:v>
                </c:pt>
                <c:pt idx="10">
                  <c:v>115.6</c:v>
                </c:pt>
                <c:pt idx="11">
                  <c:v>134.30000000000001</c:v>
                </c:pt>
                <c:pt idx="12">
                  <c:v>160</c:v>
                </c:pt>
                <c:pt idx="13">
                  <c:v>195.4</c:v>
                </c:pt>
              </c:numCache>
            </c:numRef>
          </c:xVal>
          <c:yVal>
            <c:numRef>
              <c:f>'SENSE MAN'!$K$45:$K$58</c:f>
              <c:numCache>
                <c:formatCode>General</c:formatCode>
                <c:ptCount val="14"/>
                <c:pt idx="0">
                  <c:v>14.000000000000002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7.0000000000000009</c:v>
                </c:pt>
                <c:pt idx="8">
                  <c:v>6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7AE-8549-9A37-295E2903DECE}"/>
            </c:ext>
          </c:extLst>
        </c:ser>
        <c:ser>
          <c:idx val="3"/>
          <c:order val="3"/>
          <c:tx>
            <c:v>6,05 teo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'SENSE MAN'!$J$45:$J$58</c:f>
              <c:numCache>
                <c:formatCode>General</c:formatCode>
                <c:ptCount val="14"/>
                <c:pt idx="0">
                  <c:v>0</c:v>
                </c:pt>
                <c:pt idx="1">
                  <c:v>7.9</c:v>
                </c:pt>
                <c:pt idx="2">
                  <c:v>17.2</c:v>
                </c:pt>
                <c:pt idx="3">
                  <c:v>26.1</c:v>
                </c:pt>
                <c:pt idx="4">
                  <c:v>36.5</c:v>
                </c:pt>
                <c:pt idx="5">
                  <c:v>46.9</c:v>
                </c:pt>
                <c:pt idx="6">
                  <c:v>58.4</c:v>
                </c:pt>
                <c:pt idx="7">
                  <c:v>70.599999999999994</c:v>
                </c:pt>
                <c:pt idx="8">
                  <c:v>84.7</c:v>
                </c:pt>
                <c:pt idx="9">
                  <c:v>98.8</c:v>
                </c:pt>
                <c:pt idx="10">
                  <c:v>115.6</c:v>
                </c:pt>
                <c:pt idx="11">
                  <c:v>134.30000000000001</c:v>
                </c:pt>
                <c:pt idx="12">
                  <c:v>160</c:v>
                </c:pt>
                <c:pt idx="13">
                  <c:v>195.4</c:v>
                </c:pt>
              </c:numCache>
            </c:numRef>
          </c:xVal>
          <c:yVal>
            <c:numRef>
              <c:f>'SENSE MAN'!$L$45:$L$57</c:f>
              <c:numCache>
                <c:formatCode>General</c:formatCode>
                <c:ptCount val="13"/>
                <c:pt idx="0">
                  <c:v>14.000000000000002</c:v>
                </c:pt>
                <c:pt idx="1">
                  <c:v>12.766517281717107</c:v>
                </c:pt>
                <c:pt idx="2">
                  <c:v>11.393337687776164</c:v>
                </c:pt>
                <c:pt idx="3">
                  <c:v>10.147105089651907</c:v>
                </c:pt>
                <c:pt idx="4">
                  <c:v>8.7850034438662874</c:v>
                </c:pt>
                <c:pt idx="5">
                  <c:v>7.5186891477291882</c:v>
                </c:pt>
                <c:pt idx="6">
                  <c:v>6.2353624811983348</c:v>
                </c:pt>
                <c:pt idx="7">
                  <c:v>5.0040904904235379</c:v>
                </c:pt>
                <c:pt idx="8">
                  <c:v>3.7479496016826217</c:v>
                </c:pt>
                <c:pt idx="9">
                  <c:v>2.6730351089969733</c:v>
                </c:pt>
                <c:pt idx="10">
                  <c:v>1.6323646282929039</c:v>
                </c:pt>
                <c:pt idx="11">
                  <c:v>0.77223160224056819</c:v>
                </c:pt>
                <c:pt idx="12">
                  <c:v>0.10976133325024395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7AE-8549-9A37-295E2903DECE}"/>
            </c:ext>
          </c:extLst>
        </c:ser>
        <c:ser>
          <c:idx val="4"/>
          <c:order val="4"/>
          <c:tx>
            <c:v>8,70 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'SENSE MAN'!$S$45:$S$58</c:f>
              <c:numCache>
                <c:formatCode>General</c:formatCode>
                <c:ptCount val="14"/>
                <c:pt idx="0">
                  <c:v>0</c:v>
                </c:pt>
                <c:pt idx="1">
                  <c:v>3.6</c:v>
                </c:pt>
                <c:pt idx="2">
                  <c:v>7.6</c:v>
                </c:pt>
                <c:pt idx="3">
                  <c:v>11.4</c:v>
                </c:pt>
                <c:pt idx="4">
                  <c:v>15.6</c:v>
                </c:pt>
                <c:pt idx="5">
                  <c:v>19.600000000000001</c:v>
                </c:pt>
                <c:pt idx="6">
                  <c:v>24.3</c:v>
                </c:pt>
                <c:pt idx="7">
                  <c:v>29.3</c:v>
                </c:pt>
                <c:pt idx="8">
                  <c:v>34.299999999999997</c:v>
                </c:pt>
                <c:pt idx="9">
                  <c:v>40</c:v>
                </c:pt>
                <c:pt idx="10">
                  <c:v>46.7</c:v>
                </c:pt>
                <c:pt idx="11">
                  <c:v>53.9</c:v>
                </c:pt>
                <c:pt idx="12">
                  <c:v>64.400000000000006</c:v>
                </c:pt>
                <c:pt idx="13">
                  <c:v>75.099999999999994</c:v>
                </c:pt>
              </c:numCache>
            </c:numRef>
          </c:xVal>
          <c:yVal>
            <c:numRef>
              <c:f>'SENSE MAN'!$T$45:$T$58</c:f>
              <c:numCache>
                <c:formatCode>General</c:formatCode>
                <c:ptCount val="14"/>
                <c:pt idx="0">
                  <c:v>14.000000000000002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7.0000000000000009</c:v>
                </c:pt>
                <c:pt idx="8">
                  <c:v>6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7AE-8549-9A37-295E2903D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028624"/>
        <c:axId val="555994144"/>
      </c:scatterChart>
      <c:valAx>
        <c:axId val="55602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555994144"/>
        <c:crosses val="autoZero"/>
        <c:crossBetween val="midCat"/>
      </c:valAx>
      <c:valAx>
        <c:axId val="55599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55602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00" b="0" i="0" baseline="0">
                <a:effectLst/>
              </a:rPr>
              <a:t>Altura Vs. Temps de descàrrega.</a:t>
            </a:r>
            <a:endParaRPr lang="en-ES" sz="1000">
              <a:effectLst/>
            </a:endParaRPr>
          </a:p>
          <a:p>
            <a:pPr>
              <a:defRPr/>
            </a:pPr>
            <a:r>
              <a:rPr lang="en-GB" sz="1000" b="0" i="0" baseline="0">
                <a:effectLst/>
              </a:rPr>
              <a:t>Orifici de diàmetre d = 3,70 </a:t>
            </a:r>
            <a:r>
              <a:rPr lang="en-ES" sz="1000" b="0" i="0" baseline="0">
                <a:effectLst/>
              </a:rPr>
              <a:t>± 0,05</a:t>
            </a:r>
            <a:r>
              <a:rPr lang="en-GB" sz="1000" b="0" i="0" baseline="0">
                <a:effectLst/>
              </a:rPr>
              <a:t> mm. Manguera de 25 cm</a:t>
            </a:r>
            <a:endParaRPr lang="en-ES" sz="10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Altura Experimental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100"/>
            <c:dispRSqr val="0"/>
            <c:dispEq val="0"/>
          </c:trendline>
          <c:xVal>
            <c:numRef>
              <c:f>'Manguera 1'!$B$24:$B$38</c:f>
              <c:numCache>
                <c:formatCode>General</c:formatCode>
                <c:ptCount val="15"/>
                <c:pt idx="0">
                  <c:v>0</c:v>
                </c:pt>
                <c:pt idx="1">
                  <c:v>29.6</c:v>
                </c:pt>
                <c:pt idx="2">
                  <c:v>58.8</c:v>
                </c:pt>
                <c:pt idx="3">
                  <c:v>91</c:v>
                </c:pt>
                <c:pt idx="4">
                  <c:v>122.3</c:v>
                </c:pt>
                <c:pt idx="5">
                  <c:v>157.1</c:v>
                </c:pt>
                <c:pt idx="6">
                  <c:v>193</c:v>
                </c:pt>
                <c:pt idx="7">
                  <c:v>231.6</c:v>
                </c:pt>
                <c:pt idx="8">
                  <c:v>272.5</c:v>
                </c:pt>
                <c:pt idx="9">
                  <c:v>315.60000000000002</c:v>
                </c:pt>
                <c:pt idx="10">
                  <c:v>363.5</c:v>
                </c:pt>
                <c:pt idx="11">
                  <c:v>413.8</c:v>
                </c:pt>
                <c:pt idx="12">
                  <c:v>467</c:v>
                </c:pt>
                <c:pt idx="13">
                  <c:v>533.9</c:v>
                </c:pt>
                <c:pt idx="14">
                  <c:v>608.29999999999995</c:v>
                </c:pt>
              </c:numCache>
            </c:numRef>
          </c:xVal>
          <c:yVal>
            <c:numRef>
              <c:f>'Manguera 1'!$C$44:$C$58</c:f>
              <c:numCache>
                <c:formatCode>General</c:formatCode>
                <c:ptCount val="15"/>
                <c:pt idx="0">
                  <c:v>15</c:v>
                </c:pt>
                <c:pt idx="1">
                  <c:v>14.000000000000002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7.0000000000000009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2A-484D-8986-6392749F4E26}"/>
            </c:ext>
          </c:extLst>
        </c:ser>
        <c:ser>
          <c:idx val="1"/>
          <c:order val="1"/>
          <c:tx>
            <c:v>Altura Teòrica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'Manguera 1'!$B$44:$B$58</c:f>
              <c:numCache>
                <c:formatCode>General</c:formatCode>
                <c:ptCount val="15"/>
                <c:pt idx="0">
                  <c:v>0</c:v>
                </c:pt>
                <c:pt idx="1">
                  <c:v>29.6</c:v>
                </c:pt>
                <c:pt idx="2">
                  <c:v>58.8</c:v>
                </c:pt>
                <c:pt idx="3">
                  <c:v>91</c:v>
                </c:pt>
                <c:pt idx="4">
                  <c:v>122.3</c:v>
                </c:pt>
                <c:pt idx="5">
                  <c:v>157.1</c:v>
                </c:pt>
                <c:pt idx="6">
                  <c:v>193</c:v>
                </c:pt>
                <c:pt idx="7">
                  <c:v>231.6</c:v>
                </c:pt>
                <c:pt idx="8">
                  <c:v>272.5</c:v>
                </c:pt>
                <c:pt idx="9">
                  <c:v>315.60000000000002</c:v>
                </c:pt>
                <c:pt idx="10">
                  <c:v>363.5</c:v>
                </c:pt>
                <c:pt idx="11">
                  <c:v>413.8</c:v>
                </c:pt>
                <c:pt idx="12">
                  <c:v>467</c:v>
                </c:pt>
                <c:pt idx="13">
                  <c:v>533.9</c:v>
                </c:pt>
                <c:pt idx="14">
                  <c:v>608.29999999999995</c:v>
                </c:pt>
              </c:numCache>
            </c:numRef>
          </c:xVal>
          <c:yVal>
            <c:numRef>
              <c:f>'Manguera 1'!$D$44:$D$56</c:f>
              <c:numCache>
                <c:formatCode>General</c:formatCode>
                <c:ptCount val="13"/>
                <c:pt idx="0">
                  <c:v>15</c:v>
                </c:pt>
                <c:pt idx="1">
                  <c:v>13.226355717641574</c:v>
                </c:pt>
                <c:pt idx="2">
                  <c:v>11.58923063423992</c:v>
                </c:pt>
                <c:pt idx="3">
                  <c:v>9.9065464700311363</c:v>
                </c:pt>
                <c:pt idx="4">
                  <c:v>8.3991726418178043</c:v>
                </c:pt>
                <c:pt idx="5">
                  <c:v>6.8653085090088659</c:v>
                </c:pt>
                <c:pt idx="6">
                  <c:v>5.4479344702070254</c:v>
                </c:pt>
                <c:pt idx="7">
                  <c:v>4.1052479615194137</c:v>
                </c:pt>
                <c:pt idx="8">
                  <c:v>2.8911574420846473</c:v>
                </c:pt>
                <c:pt idx="9">
                  <c:v>1.84101008221767</c:v>
                </c:pt>
                <c:pt idx="10">
                  <c:v>0.94981496950574951</c:v>
                </c:pt>
                <c:pt idx="11">
                  <c:v>0.32910020876225354</c:v>
                </c:pt>
                <c:pt idx="12">
                  <c:v>2.2224566238121524E-2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2A-484D-8986-6392749F4E26}"/>
            </c:ext>
          </c:extLst>
        </c:ser>
        <c:ser>
          <c:idx val="2"/>
          <c:order val="2"/>
          <c:tx>
            <c:v>Altura amb Fregament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olid"/>
              </a:ln>
              <a:effectLst/>
            </c:spPr>
            <c:trendlineType val="poly"/>
            <c:order val="2"/>
            <c:forward val="100"/>
            <c:dispRSqr val="0"/>
            <c:dispEq val="0"/>
          </c:trendline>
          <c:xVal>
            <c:numRef>
              <c:f>'Manguera 1'!$B$73:$B$87</c:f>
              <c:numCache>
                <c:formatCode>General</c:formatCode>
                <c:ptCount val="15"/>
                <c:pt idx="0">
                  <c:v>0</c:v>
                </c:pt>
                <c:pt idx="1">
                  <c:v>29.6</c:v>
                </c:pt>
                <c:pt idx="2">
                  <c:v>58.8</c:v>
                </c:pt>
                <c:pt idx="3">
                  <c:v>91</c:v>
                </c:pt>
                <c:pt idx="4">
                  <c:v>122.3</c:v>
                </c:pt>
                <c:pt idx="5">
                  <c:v>157.1</c:v>
                </c:pt>
                <c:pt idx="6">
                  <c:v>193</c:v>
                </c:pt>
                <c:pt idx="7">
                  <c:v>231.6</c:v>
                </c:pt>
                <c:pt idx="8">
                  <c:v>272.5</c:v>
                </c:pt>
                <c:pt idx="9">
                  <c:v>315.60000000000002</c:v>
                </c:pt>
                <c:pt idx="10">
                  <c:v>363.5</c:v>
                </c:pt>
                <c:pt idx="11">
                  <c:v>413.8</c:v>
                </c:pt>
                <c:pt idx="12">
                  <c:v>467</c:v>
                </c:pt>
                <c:pt idx="13">
                  <c:v>533.9</c:v>
                </c:pt>
                <c:pt idx="14">
                  <c:v>608.29999999999995</c:v>
                </c:pt>
              </c:numCache>
            </c:numRef>
          </c:xVal>
          <c:yVal>
            <c:numRef>
              <c:f>'Manguera 1'!$D$73:$D$87</c:f>
              <c:numCache>
                <c:formatCode>General</c:formatCode>
                <c:ptCount val="15"/>
                <c:pt idx="0">
                  <c:v>15.000000000000002</c:v>
                </c:pt>
                <c:pt idx="1">
                  <c:v>13.93396989750789</c:v>
                </c:pt>
                <c:pt idx="2">
                  <c:v>12.920842451404313</c:v>
                </c:pt>
                <c:pt idx="3">
                  <c:v>11.847955697701151</c:v>
                </c:pt>
                <c:pt idx="4">
                  <c:v>10.8496203438634</c:v>
                </c:pt>
                <c:pt idx="5">
                  <c:v>9.7912258085597372</c:v>
                </c:pt>
                <c:pt idx="6">
                  <c:v>8.7562849931457123</c:v>
                </c:pt>
                <c:pt idx="7">
                  <c:v>7.7079849536610361</c:v>
                </c:pt>
                <c:pt idx="8">
                  <c:v>6.6701261170373183</c:v>
                </c:pt>
                <c:pt idx="9">
                  <c:v>5.6576159852030319</c:v>
                </c:pt>
                <c:pt idx="10">
                  <c:v>4.630076845337169</c:v>
                </c:pt>
                <c:pt idx="11">
                  <c:v>3.6618036655967687</c:v>
                </c:pt>
                <c:pt idx="12">
                  <c:v>2.7611629360479002</c:v>
                </c:pt>
                <c:pt idx="13">
                  <c:v>1.8087402107146284</c:v>
                </c:pt>
                <c:pt idx="14">
                  <c:v>0.98525474518561718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72A-484D-8986-6392749F4E26}"/>
            </c:ext>
          </c:extLst>
        </c:ser>
        <c:ser>
          <c:idx val="3"/>
          <c:order val="3"/>
          <c:tx>
            <c:v>Fregament Real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olid"/>
              </a:ln>
              <a:effectLst/>
            </c:spPr>
            <c:trendlineType val="poly"/>
            <c:order val="2"/>
            <c:forward val="300"/>
            <c:dispRSqr val="0"/>
            <c:dispEq val="0"/>
          </c:trendline>
          <c:xVal>
            <c:numRef>
              <c:f>'Manguera 1'!$B$93:$B$107</c:f>
              <c:numCache>
                <c:formatCode>General</c:formatCode>
                <c:ptCount val="15"/>
                <c:pt idx="0">
                  <c:v>0</c:v>
                </c:pt>
                <c:pt idx="1">
                  <c:v>29.6</c:v>
                </c:pt>
                <c:pt idx="2">
                  <c:v>58.8</c:v>
                </c:pt>
                <c:pt idx="3">
                  <c:v>91</c:v>
                </c:pt>
                <c:pt idx="4">
                  <c:v>122.3</c:v>
                </c:pt>
                <c:pt idx="5">
                  <c:v>157.1</c:v>
                </c:pt>
                <c:pt idx="6">
                  <c:v>193</c:v>
                </c:pt>
                <c:pt idx="7">
                  <c:v>231.6</c:v>
                </c:pt>
                <c:pt idx="8">
                  <c:v>272.5</c:v>
                </c:pt>
                <c:pt idx="9">
                  <c:v>315.60000000000002</c:v>
                </c:pt>
                <c:pt idx="10">
                  <c:v>363.5</c:v>
                </c:pt>
                <c:pt idx="11">
                  <c:v>413.8</c:v>
                </c:pt>
                <c:pt idx="12">
                  <c:v>467</c:v>
                </c:pt>
                <c:pt idx="13">
                  <c:v>533.9</c:v>
                </c:pt>
                <c:pt idx="14">
                  <c:v>608.29999999999995</c:v>
                </c:pt>
              </c:numCache>
            </c:numRef>
          </c:xVal>
          <c:yVal>
            <c:numRef>
              <c:f>'Manguera 1'!$D$93:$D$107</c:f>
              <c:numCache>
                <c:formatCode>General</c:formatCode>
                <c:ptCount val="15"/>
                <c:pt idx="0">
                  <c:v>15.000000000000002</c:v>
                </c:pt>
                <c:pt idx="1">
                  <c:v>14.008523514988722</c:v>
                </c:pt>
                <c:pt idx="2">
                  <c:v>13.063658724643526</c:v>
                </c:pt>
                <c:pt idx="3">
                  <c:v>12.059963983839499</c:v>
                </c:pt>
                <c:pt idx="4">
                  <c:v>11.122770556646804</c:v>
                </c:pt>
                <c:pt idx="5">
                  <c:v>10.12527641457428</c:v>
                </c:pt>
                <c:pt idx="6">
                  <c:v>9.1453505956556693</c:v>
                </c:pt>
                <c:pt idx="7">
                  <c:v>8.1473539811724027</c:v>
                </c:pt>
                <c:pt idx="8">
                  <c:v>7.1527901574702222</c:v>
                </c:pt>
                <c:pt idx="9">
                  <c:v>6.1747630630428514</c:v>
                </c:pt>
                <c:pt idx="10">
                  <c:v>5.1721339620648417</c:v>
                </c:pt>
                <c:pt idx="11">
                  <c:v>4.214819070069507</c:v>
                </c:pt>
                <c:pt idx="12">
                  <c:v>3.3088245757222099</c:v>
                </c:pt>
                <c:pt idx="13">
                  <c:v>2.3249448033566544</c:v>
                </c:pt>
                <c:pt idx="14">
                  <c:v>1.4341256611953703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57-C54B-ADED-B488E5060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573791"/>
        <c:axId val="601660655"/>
      </c:scatterChart>
      <c:valAx>
        <c:axId val="601573791"/>
        <c:scaling>
          <c:orientation val="minMax"/>
          <c:max val="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 (± 0,1 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601660655"/>
        <c:crosses val="autoZero"/>
        <c:crossBetween val="midCat"/>
      </c:valAx>
      <c:valAx>
        <c:axId val="6016606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</a:t>
                </a:r>
                <a:r>
                  <a:rPr lang="en-GB" baseline="0"/>
                  <a:t> (± 0,1 cm)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601573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52293954551752519"/>
          <c:y val="0.21949074074074071"/>
          <c:w val="0.41581844118768846"/>
          <c:h val="0.2373503986037506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00" b="0" i="0" baseline="0">
                <a:effectLst/>
              </a:rPr>
              <a:t>Altura Vs. Temps de descàrrega.</a:t>
            </a:r>
            <a:endParaRPr lang="en-ES" sz="1000">
              <a:effectLst/>
            </a:endParaRPr>
          </a:p>
          <a:p>
            <a:pPr>
              <a:defRPr/>
            </a:pPr>
            <a:r>
              <a:rPr lang="en-GB" sz="1000" b="0" i="0" baseline="0">
                <a:effectLst/>
              </a:rPr>
              <a:t>Orifici de diàmetre d = 5,85 </a:t>
            </a:r>
            <a:r>
              <a:rPr lang="en-ES" sz="1000" b="0" i="0" baseline="0">
                <a:effectLst/>
              </a:rPr>
              <a:t>± 0,05</a:t>
            </a:r>
            <a:r>
              <a:rPr lang="en-GB" sz="1000" b="0" i="0" baseline="0">
                <a:effectLst/>
              </a:rPr>
              <a:t> mm. Manguera de 25 cm</a:t>
            </a:r>
            <a:endParaRPr lang="en-ES" sz="10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Altura Experimental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50"/>
            <c:dispRSqr val="0"/>
            <c:dispEq val="0"/>
          </c:trendline>
          <c:xVal>
            <c:numRef>
              <c:f>'Manguera 1'!$K$44:$K$58</c:f>
              <c:numCache>
                <c:formatCode>General</c:formatCode>
                <c:ptCount val="15"/>
                <c:pt idx="0">
                  <c:v>0</c:v>
                </c:pt>
                <c:pt idx="1">
                  <c:v>12.9</c:v>
                </c:pt>
                <c:pt idx="2">
                  <c:v>22.3</c:v>
                </c:pt>
                <c:pt idx="3">
                  <c:v>33.799999999999997</c:v>
                </c:pt>
                <c:pt idx="4">
                  <c:v>44.3</c:v>
                </c:pt>
                <c:pt idx="5">
                  <c:v>55.9</c:v>
                </c:pt>
                <c:pt idx="6">
                  <c:v>68.8</c:v>
                </c:pt>
                <c:pt idx="7">
                  <c:v>81.900000000000006</c:v>
                </c:pt>
                <c:pt idx="8">
                  <c:v>95.7</c:v>
                </c:pt>
                <c:pt idx="9">
                  <c:v>112</c:v>
                </c:pt>
                <c:pt idx="10">
                  <c:v>129</c:v>
                </c:pt>
                <c:pt idx="11">
                  <c:v>146.80000000000001</c:v>
                </c:pt>
                <c:pt idx="12">
                  <c:v>166.3</c:v>
                </c:pt>
                <c:pt idx="13">
                  <c:v>190.6</c:v>
                </c:pt>
                <c:pt idx="14">
                  <c:v>217</c:v>
                </c:pt>
              </c:numCache>
            </c:numRef>
          </c:xVal>
          <c:yVal>
            <c:numRef>
              <c:f>'Manguera 1'!$L$44:$L$58</c:f>
              <c:numCache>
                <c:formatCode>General</c:formatCode>
                <c:ptCount val="15"/>
                <c:pt idx="0">
                  <c:v>15</c:v>
                </c:pt>
                <c:pt idx="1">
                  <c:v>14.000000000000002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7.0000000000000009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D0-0C4F-ABCD-F1C77F4032A2}"/>
            </c:ext>
          </c:extLst>
        </c:ser>
        <c:ser>
          <c:idx val="1"/>
          <c:order val="1"/>
          <c:tx>
            <c:v>Altura Teòrica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'Manguera 1'!$K$44:$K$58</c:f>
              <c:numCache>
                <c:formatCode>General</c:formatCode>
                <c:ptCount val="15"/>
                <c:pt idx="0">
                  <c:v>0</c:v>
                </c:pt>
                <c:pt idx="1">
                  <c:v>12.9</c:v>
                </c:pt>
                <c:pt idx="2">
                  <c:v>22.3</c:v>
                </c:pt>
                <c:pt idx="3">
                  <c:v>33.799999999999997</c:v>
                </c:pt>
                <c:pt idx="4">
                  <c:v>44.3</c:v>
                </c:pt>
                <c:pt idx="5">
                  <c:v>55.9</c:v>
                </c:pt>
                <c:pt idx="6">
                  <c:v>68.8</c:v>
                </c:pt>
                <c:pt idx="7">
                  <c:v>81.900000000000006</c:v>
                </c:pt>
                <c:pt idx="8">
                  <c:v>95.7</c:v>
                </c:pt>
                <c:pt idx="9">
                  <c:v>112</c:v>
                </c:pt>
                <c:pt idx="10">
                  <c:v>129</c:v>
                </c:pt>
                <c:pt idx="11">
                  <c:v>146.80000000000001</c:v>
                </c:pt>
                <c:pt idx="12">
                  <c:v>166.3</c:v>
                </c:pt>
                <c:pt idx="13">
                  <c:v>190.6</c:v>
                </c:pt>
                <c:pt idx="14">
                  <c:v>217</c:v>
                </c:pt>
              </c:numCache>
            </c:numRef>
          </c:xVal>
          <c:yVal>
            <c:numRef>
              <c:f>'Manguera 1'!$M$44:$M$57</c:f>
              <c:numCache>
                <c:formatCode>General</c:formatCode>
                <c:ptCount val="14"/>
                <c:pt idx="0">
                  <c:v>15</c:v>
                </c:pt>
                <c:pt idx="1">
                  <c:v>13.075841307344019</c:v>
                </c:pt>
                <c:pt idx="2">
                  <c:v>11.758633012732474</c:v>
                </c:pt>
                <c:pt idx="3">
                  <c:v>10.239119668859894</c:v>
                </c:pt>
                <c:pt idx="4">
                  <c:v>8.9435153751066707</c:v>
                </c:pt>
                <c:pt idx="5">
                  <c:v>7.6074355454229972</c:v>
                </c:pt>
                <c:pt idx="6">
                  <c:v>6.2591328613520973</c:v>
                </c:pt>
                <c:pt idx="7">
                  <c:v>5.0207813474085539</c:v>
                </c:pt>
                <c:pt idx="8">
                  <c:v>3.8613954881033798</c:v>
                </c:pt>
                <c:pt idx="9">
                  <c:v>2.6946493858607541</c:v>
                </c:pt>
                <c:pt idx="10">
                  <c:v>1.6964716315840331</c:v>
                </c:pt>
                <c:pt idx="11">
                  <c:v>0.89660202071874529</c:v>
                </c:pt>
                <c:pt idx="12">
                  <c:v>0.31270840971980018</c:v>
                </c:pt>
                <c:pt idx="13">
                  <c:v>5.5420133450945208E-3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D0-0C4F-ABCD-F1C77F4032A2}"/>
            </c:ext>
          </c:extLst>
        </c:ser>
        <c:ser>
          <c:idx val="2"/>
          <c:order val="2"/>
          <c:tx>
            <c:v>Altura amb Fregament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olid"/>
              </a:ln>
              <a:effectLst/>
            </c:spPr>
            <c:trendlineType val="poly"/>
            <c:order val="2"/>
            <c:forward val="50"/>
            <c:dispRSqr val="0"/>
            <c:dispEq val="0"/>
          </c:trendline>
          <c:xVal>
            <c:numRef>
              <c:f>'Manguera 1'!$K$73:$K$87</c:f>
              <c:numCache>
                <c:formatCode>General</c:formatCode>
                <c:ptCount val="15"/>
                <c:pt idx="0">
                  <c:v>0</c:v>
                </c:pt>
                <c:pt idx="1">
                  <c:v>12.89</c:v>
                </c:pt>
                <c:pt idx="2">
                  <c:v>22.27</c:v>
                </c:pt>
                <c:pt idx="3">
                  <c:v>33.770000000000003</c:v>
                </c:pt>
                <c:pt idx="4">
                  <c:v>44.27</c:v>
                </c:pt>
                <c:pt idx="5">
                  <c:v>55.93</c:v>
                </c:pt>
                <c:pt idx="6">
                  <c:v>68.790000000000006</c:v>
                </c:pt>
                <c:pt idx="7">
                  <c:v>81.89</c:v>
                </c:pt>
                <c:pt idx="8">
                  <c:v>95.72</c:v>
                </c:pt>
                <c:pt idx="9">
                  <c:v>111.95</c:v>
                </c:pt>
                <c:pt idx="10">
                  <c:v>128.96</c:v>
                </c:pt>
                <c:pt idx="11">
                  <c:v>146.80000000000001</c:v>
                </c:pt>
                <c:pt idx="12">
                  <c:v>166.25</c:v>
                </c:pt>
                <c:pt idx="13">
                  <c:v>190.57</c:v>
                </c:pt>
                <c:pt idx="14">
                  <c:v>216.96</c:v>
                </c:pt>
              </c:numCache>
            </c:numRef>
          </c:xVal>
          <c:yVal>
            <c:numRef>
              <c:f>'Manguera 1'!$M$73:$M$87</c:f>
              <c:numCache>
                <c:formatCode>General</c:formatCode>
                <c:ptCount val="15"/>
                <c:pt idx="0">
                  <c:v>15.000000000000002</c:v>
                </c:pt>
                <c:pt idx="1">
                  <c:v>13.492745445571577</c:v>
                </c:pt>
                <c:pt idx="2">
                  <c:v>12.44607935729894</c:v>
                </c:pt>
                <c:pt idx="3">
                  <c:v>11.220508155378191</c:v>
                </c:pt>
                <c:pt idx="4">
                  <c:v>10.156973386825635</c:v>
                </c:pt>
                <c:pt idx="5">
                  <c:v>9.0379838838246496</c:v>
                </c:pt>
                <c:pt idx="6">
                  <c:v>7.8795451986466976</c:v>
                </c:pt>
                <c:pt idx="7">
                  <c:v>6.7811422098251226</c:v>
                </c:pt>
                <c:pt idx="8">
                  <c:v>5.7109569079078222</c:v>
                </c:pt>
                <c:pt idx="9">
                  <c:v>4.572198716246203</c:v>
                </c:pt>
                <c:pt idx="10">
                  <c:v>3.5144730019532049</c:v>
                </c:pt>
                <c:pt idx="11">
                  <c:v>2.554416856972368</c:v>
                </c:pt>
                <c:pt idx="12">
                  <c:v>1.6818671653803341</c:v>
                </c:pt>
                <c:pt idx="13">
                  <c:v>0.84643564522167947</c:v>
                </c:pt>
                <c:pt idx="14">
                  <c:v>0.26121809009905728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D0-0C4F-ABCD-F1C77F4032A2}"/>
            </c:ext>
          </c:extLst>
        </c:ser>
        <c:ser>
          <c:idx val="3"/>
          <c:order val="3"/>
          <c:tx>
            <c:v>Fregament Real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olid"/>
              </a:ln>
              <a:effectLst/>
            </c:spPr>
            <c:trendlineType val="poly"/>
            <c:order val="2"/>
            <c:forward val="50"/>
            <c:dispRSqr val="0"/>
            <c:dispEq val="0"/>
          </c:trendline>
          <c:xVal>
            <c:numRef>
              <c:f>'Manguera 1'!$K$93:$K$107</c:f>
              <c:numCache>
                <c:formatCode>General</c:formatCode>
                <c:ptCount val="15"/>
                <c:pt idx="0">
                  <c:v>0</c:v>
                </c:pt>
                <c:pt idx="1">
                  <c:v>12.9</c:v>
                </c:pt>
                <c:pt idx="2">
                  <c:v>22.3</c:v>
                </c:pt>
                <c:pt idx="3">
                  <c:v>33.799999999999997</c:v>
                </c:pt>
                <c:pt idx="4">
                  <c:v>44.3</c:v>
                </c:pt>
                <c:pt idx="5">
                  <c:v>55.9</c:v>
                </c:pt>
                <c:pt idx="6">
                  <c:v>68.8</c:v>
                </c:pt>
                <c:pt idx="7">
                  <c:v>81.900000000000006</c:v>
                </c:pt>
                <c:pt idx="8">
                  <c:v>95.7</c:v>
                </c:pt>
                <c:pt idx="9">
                  <c:v>112</c:v>
                </c:pt>
                <c:pt idx="10">
                  <c:v>129</c:v>
                </c:pt>
                <c:pt idx="11">
                  <c:v>146.80000000000001</c:v>
                </c:pt>
                <c:pt idx="12">
                  <c:v>166.3</c:v>
                </c:pt>
                <c:pt idx="13">
                  <c:v>190.6</c:v>
                </c:pt>
                <c:pt idx="14">
                  <c:v>217</c:v>
                </c:pt>
              </c:numCache>
            </c:numRef>
          </c:xVal>
          <c:yVal>
            <c:numRef>
              <c:f>'Manguera 1'!$M$93:$M$107</c:f>
              <c:numCache>
                <c:formatCode>General</c:formatCode>
                <c:ptCount val="15"/>
                <c:pt idx="0">
                  <c:v>15.000000000000002</c:v>
                </c:pt>
                <c:pt idx="1">
                  <c:v>13.757137900595303</c:v>
                </c:pt>
                <c:pt idx="2">
                  <c:v>12.885333938957633</c:v>
                </c:pt>
                <c:pt idx="3">
                  <c:v>11.857574748106368</c:v>
                </c:pt>
                <c:pt idx="4">
                  <c:v>10.956485656140444</c:v>
                </c:pt>
                <c:pt idx="5">
                  <c:v>10.002391386258877</c:v>
                </c:pt>
                <c:pt idx="6">
                  <c:v>8.9924055770617137</c:v>
                </c:pt>
                <c:pt idx="7">
                  <c:v>8.0217579976429789</c:v>
                </c:pt>
                <c:pt idx="8">
                  <c:v>7.0591849113701226</c:v>
                </c:pt>
                <c:pt idx="9">
                  <c:v>6.0014550182119519</c:v>
                </c:pt>
                <c:pt idx="10">
                  <c:v>4.9897097119543776</c:v>
                </c:pt>
                <c:pt idx="11">
                  <c:v>4.0303742796913875</c:v>
                </c:pt>
                <c:pt idx="12">
                  <c:v>3.0968626464688018</c:v>
                </c:pt>
                <c:pt idx="13">
                  <c:v>2.1054232718700097</c:v>
                </c:pt>
                <c:pt idx="14">
                  <c:v>1.244429269866713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EC4-F642-9911-58EF6BE2D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691679"/>
        <c:axId val="636065375"/>
      </c:scatterChart>
      <c:valAx>
        <c:axId val="488691679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 (± 0,1 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636065375"/>
        <c:crosses val="autoZero"/>
        <c:crossBetween val="midCat"/>
      </c:valAx>
      <c:valAx>
        <c:axId val="6360653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 (± 0,1 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488691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52000898770073378"/>
          <c:y val="0.23337972952041033"/>
          <c:w val="0.41407544002645275"/>
          <c:h val="0.23204565733870594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00" b="0" i="0" baseline="0">
                <a:effectLst/>
              </a:rPr>
              <a:t>Altura Vs. Temps de descàrrega.</a:t>
            </a:r>
            <a:endParaRPr lang="en-ES" sz="1000">
              <a:effectLst/>
            </a:endParaRPr>
          </a:p>
          <a:p>
            <a:pPr>
              <a:defRPr/>
            </a:pPr>
            <a:r>
              <a:rPr lang="en-GB" sz="1000" b="0" i="0" baseline="0">
                <a:effectLst/>
              </a:rPr>
              <a:t>Orifici de diàmetre d = 8,85 </a:t>
            </a:r>
            <a:r>
              <a:rPr lang="en-ES" sz="1000" b="0" i="0" baseline="0">
                <a:effectLst/>
              </a:rPr>
              <a:t>± 0,05</a:t>
            </a:r>
            <a:r>
              <a:rPr lang="en-GB" sz="1000" b="0" i="0" baseline="0">
                <a:effectLst/>
              </a:rPr>
              <a:t> mm. Manguera de 25 cm</a:t>
            </a:r>
            <a:endParaRPr lang="en-ES" sz="10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Altura Experimental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10"/>
            <c:dispRSqr val="0"/>
            <c:dispEq val="0"/>
          </c:trendline>
          <c:xVal>
            <c:numRef>
              <c:f>'Manguera 1'!$U$44:$U$58</c:f>
              <c:numCache>
                <c:formatCode>General</c:formatCode>
                <c:ptCount val="15"/>
                <c:pt idx="0">
                  <c:v>0</c:v>
                </c:pt>
                <c:pt idx="1">
                  <c:v>4.2</c:v>
                </c:pt>
                <c:pt idx="2">
                  <c:v>7.9</c:v>
                </c:pt>
                <c:pt idx="3">
                  <c:v>11.9</c:v>
                </c:pt>
                <c:pt idx="4">
                  <c:v>15.8</c:v>
                </c:pt>
                <c:pt idx="5">
                  <c:v>20.2</c:v>
                </c:pt>
                <c:pt idx="6">
                  <c:v>24.7</c:v>
                </c:pt>
                <c:pt idx="7">
                  <c:v>29.9</c:v>
                </c:pt>
                <c:pt idx="8">
                  <c:v>34.9</c:v>
                </c:pt>
                <c:pt idx="9">
                  <c:v>40.700000000000003</c:v>
                </c:pt>
                <c:pt idx="10">
                  <c:v>47.2</c:v>
                </c:pt>
                <c:pt idx="11">
                  <c:v>54.1</c:v>
                </c:pt>
                <c:pt idx="12">
                  <c:v>62</c:v>
                </c:pt>
                <c:pt idx="13">
                  <c:v>71.099999999999994</c:v>
                </c:pt>
                <c:pt idx="14">
                  <c:v>83.4</c:v>
                </c:pt>
              </c:numCache>
            </c:numRef>
          </c:xVal>
          <c:yVal>
            <c:numRef>
              <c:f>'Manguera 1'!$V$44:$V$58</c:f>
              <c:numCache>
                <c:formatCode>General</c:formatCode>
                <c:ptCount val="15"/>
                <c:pt idx="0">
                  <c:v>15</c:v>
                </c:pt>
                <c:pt idx="1">
                  <c:v>14.000000000000002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7.0000000000000009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36-AB46-8AB4-91A3EB597EB0}"/>
            </c:ext>
          </c:extLst>
        </c:ser>
        <c:ser>
          <c:idx val="1"/>
          <c:order val="1"/>
          <c:tx>
            <c:v>Altura Teòrica</c:v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2"/>
            <c:forward val="100"/>
            <c:dispRSqr val="0"/>
            <c:dispEq val="0"/>
          </c:trendline>
          <c:xVal>
            <c:numRef>
              <c:f>'Manguera 1'!$U$44:$U$58</c:f>
              <c:numCache>
                <c:formatCode>General</c:formatCode>
                <c:ptCount val="15"/>
                <c:pt idx="0">
                  <c:v>0</c:v>
                </c:pt>
                <c:pt idx="1">
                  <c:v>4.2</c:v>
                </c:pt>
                <c:pt idx="2">
                  <c:v>7.9</c:v>
                </c:pt>
                <c:pt idx="3">
                  <c:v>11.9</c:v>
                </c:pt>
                <c:pt idx="4">
                  <c:v>15.8</c:v>
                </c:pt>
                <c:pt idx="5">
                  <c:v>20.2</c:v>
                </c:pt>
                <c:pt idx="6">
                  <c:v>24.7</c:v>
                </c:pt>
                <c:pt idx="7">
                  <c:v>29.9</c:v>
                </c:pt>
                <c:pt idx="8">
                  <c:v>34.9</c:v>
                </c:pt>
                <c:pt idx="9">
                  <c:v>40.700000000000003</c:v>
                </c:pt>
                <c:pt idx="10">
                  <c:v>47.2</c:v>
                </c:pt>
                <c:pt idx="11">
                  <c:v>54.1</c:v>
                </c:pt>
                <c:pt idx="12">
                  <c:v>62</c:v>
                </c:pt>
                <c:pt idx="13">
                  <c:v>71.099999999999994</c:v>
                </c:pt>
                <c:pt idx="14">
                  <c:v>83.4</c:v>
                </c:pt>
              </c:numCache>
            </c:numRef>
          </c:xVal>
          <c:yVal>
            <c:numRef>
              <c:f>'Manguera 1'!$W$44:$W$58</c:f>
              <c:numCache>
                <c:formatCode>General</c:formatCode>
                <c:ptCount val="15"/>
                <c:pt idx="0">
                  <c:v>15</c:v>
                </c:pt>
                <c:pt idx="1">
                  <c:v>13.545897164083062</c:v>
                </c:pt>
                <c:pt idx="2">
                  <c:v>12.344773763545467</c:v>
                </c:pt>
                <c:pt idx="3">
                  <c:v>11.098871984441926</c:v>
                </c:pt>
                <c:pt idx="4">
                  <c:v>9.9307270875067246</c:v>
                </c:pt>
                <c:pt idx="5">
                  <c:v>8.7221181023707093</c:v>
                </c:pt>
                <c:pt idx="6">
                  <c:v>7.5392037508845933</c:v>
                </c:pt>
                <c:pt idx="7">
                  <c:v>6.2996766923533247</c:v>
                </c:pt>
                <c:pt idx="8">
                  <c:v>5.2067270092066549</c:v>
                </c:pt>
                <c:pt idx="9">
                  <c:v>4.0655796158138395</c:v>
                </c:pt>
                <c:pt idx="10">
                  <c:v>2.9561804877807631</c:v>
                </c:pt>
                <c:pt idx="11">
                  <c:v>1.9792858754274203</c:v>
                </c:pt>
                <c:pt idx="12">
                  <c:v>1.0913219226005952</c:v>
                </c:pt>
                <c:pt idx="13">
                  <c:v>0.39402544934415556</c:v>
                </c:pt>
                <c:pt idx="14">
                  <c:v>4.5595813244786454E-3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C36-AB46-8AB4-91A3EB597EB0}"/>
            </c:ext>
          </c:extLst>
        </c:ser>
        <c:ser>
          <c:idx val="2"/>
          <c:order val="2"/>
          <c:tx>
            <c:v>Altura amb Fregament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olid"/>
              </a:ln>
              <a:effectLst/>
            </c:spPr>
            <c:trendlineType val="poly"/>
            <c:order val="2"/>
            <c:forward val="10"/>
            <c:dispRSqr val="0"/>
            <c:dispEq val="0"/>
          </c:trendline>
          <c:xVal>
            <c:numRef>
              <c:f>'Manguera 1'!$U$73:$U$87</c:f>
              <c:numCache>
                <c:formatCode>General</c:formatCode>
                <c:ptCount val="15"/>
                <c:pt idx="0">
                  <c:v>0</c:v>
                </c:pt>
                <c:pt idx="1">
                  <c:v>4.2</c:v>
                </c:pt>
                <c:pt idx="2">
                  <c:v>7.9</c:v>
                </c:pt>
                <c:pt idx="3">
                  <c:v>11.9</c:v>
                </c:pt>
                <c:pt idx="4">
                  <c:v>15.8</c:v>
                </c:pt>
                <c:pt idx="5">
                  <c:v>20.2</c:v>
                </c:pt>
                <c:pt idx="6">
                  <c:v>24.7</c:v>
                </c:pt>
                <c:pt idx="7">
                  <c:v>29.9</c:v>
                </c:pt>
                <c:pt idx="8">
                  <c:v>34.9</c:v>
                </c:pt>
                <c:pt idx="9">
                  <c:v>40.700000000000003</c:v>
                </c:pt>
                <c:pt idx="10">
                  <c:v>47.2</c:v>
                </c:pt>
                <c:pt idx="11">
                  <c:v>54.1</c:v>
                </c:pt>
                <c:pt idx="12">
                  <c:v>62</c:v>
                </c:pt>
                <c:pt idx="13">
                  <c:v>71.099999999999994</c:v>
                </c:pt>
                <c:pt idx="14">
                  <c:v>83.4</c:v>
                </c:pt>
              </c:numCache>
            </c:numRef>
          </c:xVal>
          <c:yVal>
            <c:numRef>
              <c:f>'Manguera 1'!$W$73:$W$87</c:f>
              <c:numCache>
                <c:formatCode>General</c:formatCode>
                <c:ptCount val="15"/>
                <c:pt idx="0">
                  <c:v>15.000000000000002</c:v>
                </c:pt>
                <c:pt idx="1">
                  <c:v>13.702288034938126</c:v>
                </c:pt>
                <c:pt idx="2">
                  <c:v>12.607702105253619</c:v>
                </c:pt>
                <c:pt idx="3">
                  <c:v>11.475614842385525</c:v>
                </c:pt>
                <c:pt idx="4">
                  <c:v>10.423095277666397</c:v>
                </c:pt>
                <c:pt idx="5">
                  <c:v>9.2964038331926755</c:v>
                </c:pt>
                <c:pt idx="6">
                  <c:v>8.2107459447575906</c:v>
                </c:pt>
                <c:pt idx="7">
                  <c:v>7.0401362965967866</c:v>
                </c:pt>
                <c:pt idx="8">
                  <c:v>5.9994102504648996</c:v>
                </c:pt>
                <c:pt idx="9">
                  <c:v>4.8963962731868875</c:v>
                </c:pt>
                <c:pt idx="10">
                  <c:v>3.7932906902058861</c:v>
                </c:pt>
                <c:pt idx="11">
                  <c:v>2.7761481542031912</c:v>
                </c:pt>
                <c:pt idx="12">
                  <c:v>1.8061397193695601</c:v>
                </c:pt>
                <c:pt idx="13">
                  <c:v>0.9461973650124319</c:v>
                </c:pt>
                <c:pt idx="14">
                  <c:v>0.22183592946562886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C36-AB46-8AB4-91A3EB597EB0}"/>
            </c:ext>
          </c:extLst>
        </c:ser>
        <c:ser>
          <c:idx val="3"/>
          <c:order val="3"/>
          <c:tx>
            <c:v>Fregament Real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olid"/>
              </a:ln>
              <a:effectLst/>
            </c:spPr>
            <c:trendlineType val="poly"/>
            <c:order val="2"/>
            <c:forward val="10"/>
            <c:dispRSqr val="0"/>
            <c:dispEq val="0"/>
          </c:trendline>
          <c:xVal>
            <c:numRef>
              <c:f>'Manguera 1'!$U$93:$U$107</c:f>
              <c:numCache>
                <c:formatCode>General</c:formatCode>
                <c:ptCount val="15"/>
                <c:pt idx="0">
                  <c:v>0</c:v>
                </c:pt>
                <c:pt idx="1">
                  <c:v>4.2</c:v>
                </c:pt>
                <c:pt idx="2">
                  <c:v>7.9</c:v>
                </c:pt>
                <c:pt idx="3">
                  <c:v>11.9</c:v>
                </c:pt>
                <c:pt idx="4">
                  <c:v>15.8</c:v>
                </c:pt>
                <c:pt idx="5">
                  <c:v>20.2</c:v>
                </c:pt>
                <c:pt idx="6">
                  <c:v>24.7</c:v>
                </c:pt>
                <c:pt idx="7">
                  <c:v>29.9</c:v>
                </c:pt>
                <c:pt idx="8">
                  <c:v>34.9</c:v>
                </c:pt>
                <c:pt idx="9">
                  <c:v>40.700000000000003</c:v>
                </c:pt>
                <c:pt idx="10">
                  <c:v>47.2</c:v>
                </c:pt>
                <c:pt idx="11">
                  <c:v>54.1</c:v>
                </c:pt>
                <c:pt idx="12">
                  <c:v>62</c:v>
                </c:pt>
                <c:pt idx="13">
                  <c:v>71.099999999999994</c:v>
                </c:pt>
                <c:pt idx="14">
                  <c:v>83.4</c:v>
                </c:pt>
              </c:numCache>
            </c:numRef>
          </c:xVal>
          <c:yVal>
            <c:numRef>
              <c:f>'Manguera 1'!$W$93:$W$107</c:f>
              <c:numCache>
                <c:formatCode>General</c:formatCode>
                <c:ptCount val="15"/>
                <c:pt idx="0">
                  <c:v>15.000000000000002</c:v>
                </c:pt>
                <c:pt idx="1">
                  <c:v>13.869600599929829</c:v>
                </c:pt>
                <c:pt idx="2">
                  <c:v>12.910457669448666</c:v>
                </c:pt>
                <c:pt idx="3">
                  <c:v>11.912201934240986</c:v>
                </c:pt>
                <c:pt idx="4">
                  <c:v>10.977570683901993</c:v>
                </c:pt>
                <c:pt idx="5">
                  <c:v>9.9689493414604566</c:v>
                </c:pt>
                <c:pt idx="6">
                  <c:v>8.9876695404756521</c:v>
                </c:pt>
                <c:pt idx="7">
                  <c:v>7.9170509385115011</c:v>
                </c:pt>
                <c:pt idx="8">
                  <c:v>6.9516175267206908</c:v>
                </c:pt>
                <c:pt idx="9">
                  <c:v>5.9103311030530632</c:v>
                </c:pt>
                <c:pt idx="10">
                  <c:v>4.8437134300423512</c:v>
                </c:pt>
                <c:pt idx="11">
                  <c:v>3.8274996723512671</c:v>
                </c:pt>
                <c:pt idx="12">
                  <c:v>2.8107490082242736</c:v>
                </c:pt>
                <c:pt idx="13">
                  <c:v>1.833711445205866</c:v>
                </c:pt>
                <c:pt idx="14">
                  <c:v>0.84345450309853354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0A-2045-86C2-F8227C2BE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71663"/>
        <c:axId val="602172191"/>
      </c:scatterChart>
      <c:valAx>
        <c:axId val="207471663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 (± 0,1 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602172191"/>
        <c:crosses val="autoZero"/>
        <c:crossBetween val="midCat"/>
      </c:valAx>
      <c:valAx>
        <c:axId val="602172191"/>
        <c:scaling>
          <c:orientation val="minMax"/>
          <c:max val="1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 (±</a:t>
                </a:r>
                <a:r>
                  <a:rPr lang="en-GB" baseline="0"/>
                  <a:t> 0,1 cm)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207471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53468307514041225"/>
          <c:y val="0.22874999999999995"/>
          <c:w val="0.41330761534406102"/>
          <c:h val="0.23263998250218718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m1 exp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20"/>
            <c:dispRSqr val="0"/>
            <c:dispEq val="0"/>
          </c:trendline>
          <c:xVal>
            <c:numRef>
              <c:f>'Manguera 1'!$U$44:$U$58</c:f>
              <c:numCache>
                <c:formatCode>General</c:formatCode>
                <c:ptCount val="15"/>
                <c:pt idx="0">
                  <c:v>0</c:v>
                </c:pt>
                <c:pt idx="1">
                  <c:v>4.2</c:v>
                </c:pt>
                <c:pt idx="2">
                  <c:v>7.9</c:v>
                </c:pt>
                <c:pt idx="3">
                  <c:v>11.9</c:v>
                </c:pt>
                <c:pt idx="4">
                  <c:v>15.8</c:v>
                </c:pt>
                <c:pt idx="5">
                  <c:v>20.2</c:v>
                </c:pt>
                <c:pt idx="6">
                  <c:v>24.7</c:v>
                </c:pt>
                <c:pt idx="7">
                  <c:v>29.9</c:v>
                </c:pt>
                <c:pt idx="8">
                  <c:v>34.9</c:v>
                </c:pt>
                <c:pt idx="9">
                  <c:v>40.700000000000003</c:v>
                </c:pt>
                <c:pt idx="10">
                  <c:v>47.2</c:v>
                </c:pt>
                <c:pt idx="11">
                  <c:v>54.1</c:v>
                </c:pt>
                <c:pt idx="12">
                  <c:v>62</c:v>
                </c:pt>
                <c:pt idx="13">
                  <c:v>71.099999999999994</c:v>
                </c:pt>
                <c:pt idx="14">
                  <c:v>83.4</c:v>
                </c:pt>
              </c:numCache>
            </c:numRef>
          </c:xVal>
          <c:yVal>
            <c:numRef>
              <c:f>'Manguera 1'!$L$44:$L$58</c:f>
              <c:numCache>
                <c:formatCode>General</c:formatCode>
                <c:ptCount val="15"/>
                <c:pt idx="0">
                  <c:v>15</c:v>
                </c:pt>
                <c:pt idx="1">
                  <c:v>14.000000000000002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7.0000000000000009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21-A340-B3CB-789E58C27760}"/>
            </c:ext>
          </c:extLst>
        </c:ser>
        <c:ser>
          <c:idx val="1"/>
          <c:order val="1"/>
          <c:tx>
            <c:v>m1 teo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'Manguera 1'!$U$44:$U$58</c:f>
              <c:numCache>
                <c:formatCode>General</c:formatCode>
                <c:ptCount val="15"/>
                <c:pt idx="0">
                  <c:v>0</c:v>
                </c:pt>
                <c:pt idx="1">
                  <c:v>4.2</c:v>
                </c:pt>
                <c:pt idx="2">
                  <c:v>7.9</c:v>
                </c:pt>
                <c:pt idx="3">
                  <c:v>11.9</c:v>
                </c:pt>
                <c:pt idx="4">
                  <c:v>15.8</c:v>
                </c:pt>
                <c:pt idx="5">
                  <c:v>20.2</c:v>
                </c:pt>
                <c:pt idx="6">
                  <c:v>24.7</c:v>
                </c:pt>
                <c:pt idx="7">
                  <c:v>29.9</c:v>
                </c:pt>
                <c:pt idx="8">
                  <c:v>34.9</c:v>
                </c:pt>
                <c:pt idx="9">
                  <c:v>40.700000000000003</c:v>
                </c:pt>
                <c:pt idx="10">
                  <c:v>47.2</c:v>
                </c:pt>
                <c:pt idx="11">
                  <c:v>54.1</c:v>
                </c:pt>
                <c:pt idx="12">
                  <c:v>62</c:v>
                </c:pt>
                <c:pt idx="13">
                  <c:v>71.099999999999994</c:v>
                </c:pt>
                <c:pt idx="14">
                  <c:v>83.4</c:v>
                </c:pt>
              </c:numCache>
            </c:numRef>
          </c:xVal>
          <c:yVal>
            <c:numRef>
              <c:f>'Manguera 1'!$W$44:$W$58</c:f>
              <c:numCache>
                <c:formatCode>General</c:formatCode>
                <c:ptCount val="15"/>
                <c:pt idx="0">
                  <c:v>15</c:v>
                </c:pt>
                <c:pt idx="1">
                  <c:v>13.545897164083062</c:v>
                </c:pt>
                <c:pt idx="2">
                  <c:v>12.344773763545467</c:v>
                </c:pt>
                <c:pt idx="3">
                  <c:v>11.098871984441926</c:v>
                </c:pt>
                <c:pt idx="4">
                  <c:v>9.9307270875067246</c:v>
                </c:pt>
                <c:pt idx="5">
                  <c:v>8.7221181023707093</c:v>
                </c:pt>
                <c:pt idx="6">
                  <c:v>7.5392037508845933</c:v>
                </c:pt>
                <c:pt idx="7">
                  <c:v>6.2996766923533247</c:v>
                </c:pt>
                <c:pt idx="8">
                  <c:v>5.2067270092066549</c:v>
                </c:pt>
                <c:pt idx="9">
                  <c:v>4.0655796158138395</c:v>
                </c:pt>
                <c:pt idx="10">
                  <c:v>2.9561804877807631</c:v>
                </c:pt>
                <c:pt idx="11">
                  <c:v>1.9792858754274203</c:v>
                </c:pt>
                <c:pt idx="12">
                  <c:v>1.0913219226005952</c:v>
                </c:pt>
                <c:pt idx="13">
                  <c:v>0.39402544934415556</c:v>
                </c:pt>
                <c:pt idx="14">
                  <c:v>4.5595813244786454E-3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21-A340-B3CB-789E58C27760}"/>
            </c:ext>
          </c:extLst>
        </c:ser>
        <c:ser>
          <c:idx val="2"/>
          <c:order val="2"/>
          <c:tx>
            <c:v>m1 f teo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olid"/>
              </a:ln>
              <a:effectLst/>
            </c:spPr>
            <c:trendlineType val="poly"/>
            <c:order val="2"/>
            <c:forward val="10"/>
            <c:dispRSqr val="0"/>
            <c:dispEq val="0"/>
          </c:trendline>
          <c:xVal>
            <c:numRef>
              <c:f>'Manguera 1'!$U$73:$U$87</c:f>
              <c:numCache>
                <c:formatCode>General</c:formatCode>
                <c:ptCount val="15"/>
                <c:pt idx="0">
                  <c:v>0</c:v>
                </c:pt>
                <c:pt idx="1">
                  <c:v>4.2</c:v>
                </c:pt>
                <c:pt idx="2">
                  <c:v>7.9</c:v>
                </c:pt>
                <c:pt idx="3">
                  <c:v>11.9</c:v>
                </c:pt>
                <c:pt idx="4">
                  <c:v>15.8</c:v>
                </c:pt>
                <c:pt idx="5">
                  <c:v>20.2</c:v>
                </c:pt>
                <c:pt idx="6">
                  <c:v>24.7</c:v>
                </c:pt>
                <c:pt idx="7">
                  <c:v>29.9</c:v>
                </c:pt>
                <c:pt idx="8">
                  <c:v>34.9</c:v>
                </c:pt>
                <c:pt idx="9">
                  <c:v>40.700000000000003</c:v>
                </c:pt>
                <c:pt idx="10">
                  <c:v>47.2</c:v>
                </c:pt>
                <c:pt idx="11">
                  <c:v>54.1</c:v>
                </c:pt>
                <c:pt idx="12">
                  <c:v>62</c:v>
                </c:pt>
                <c:pt idx="13">
                  <c:v>71.099999999999994</c:v>
                </c:pt>
                <c:pt idx="14">
                  <c:v>83.4</c:v>
                </c:pt>
              </c:numCache>
            </c:numRef>
          </c:xVal>
          <c:yVal>
            <c:numRef>
              <c:f>'Manguera 1'!$W$73:$W$87</c:f>
              <c:numCache>
                <c:formatCode>General</c:formatCode>
                <c:ptCount val="15"/>
                <c:pt idx="0">
                  <c:v>15.000000000000002</c:v>
                </c:pt>
                <c:pt idx="1">
                  <c:v>13.702288034938126</c:v>
                </c:pt>
                <c:pt idx="2">
                  <c:v>12.607702105253619</c:v>
                </c:pt>
                <c:pt idx="3">
                  <c:v>11.475614842385525</c:v>
                </c:pt>
                <c:pt idx="4">
                  <c:v>10.423095277666397</c:v>
                </c:pt>
                <c:pt idx="5">
                  <c:v>9.2964038331926755</c:v>
                </c:pt>
                <c:pt idx="6">
                  <c:v>8.2107459447575906</c:v>
                </c:pt>
                <c:pt idx="7">
                  <c:v>7.0401362965967866</c:v>
                </c:pt>
                <c:pt idx="8">
                  <c:v>5.9994102504648996</c:v>
                </c:pt>
                <c:pt idx="9">
                  <c:v>4.8963962731868875</c:v>
                </c:pt>
                <c:pt idx="10">
                  <c:v>3.7932906902058861</c:v>
                </c:pt>
                <c:pt idx="11">
                  <c:v>2.7761481542031912</c:v>
                </c:pt>
                <c:pt idx="12">
                  <c:v>1.8061397193695601</c:v>
                </c:pt>
                <c:pt idx="13">
                  <c:v>0.9461973650124319</c:v>
                </c:pt>
                <c:pt idx="14">
                  <c:v>0.22183592946562886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21-A340-B3CB-789E58C27760}"/>
            </c:ext>
          </c:extLst>
        </c:ser>
        <c:ser>
          <c:idx val="3"/>
          <c:order val="3"/>
          <c:tx>
            <c:v>m2 exp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forward val="10"/>
            <c:dispRSqr val="0"/>
            <c:dispEq val="0"/>
          </c:trendline>
          <c:xVal>
            <c:numRef>
              <c:f>'Manguera 2'!$Y$24:$Y$38</c:f>
              <c:numCache>
                <c:formatCode>0.0</c:formatCode>
                <c:ptCount val="15"/>
                <c:pt idx="0">
                  <c:v>0</c:v>
                </c:pt>
                <c:pt idx="1">
                  <c:v>3.58</c:v>
                </c:pt>
                <c:pt idx="2">
                  <c:v>7.78</c:v>
                </c:pt>
                <c:pt idx="3">
                  <c:v>12.29</c:v>
                </c:pt>
                <c:pt idx="4">
                  <c:v>17.27</c:v>
                </c:pt>
                <c:pt idx="5">
                  <c:v>22.07</c:v>
                </c:pt>
                <c:pt idx="6">
                  <c:v>27.47</c:v>
                </c:pt>
                <c:pt idx="7">
                  <c:v>33.200000000000003</c:v>
                </c:pt>
                <c:pt idx="8">
                  <c:v>39.659999999999997</c:v>
                </c:pt>
                <c:pt idx="9">
                  <c:v>45.86</c:v>
                </c:pt>
                <c:pt idx="10">
                  <c:v>53.05</c:v>
                </c:pt>
                <c:pt idx="11">
                  <c:v>60.7</c:v>
                </c:pt>
                <c:pt idx="12">
                  <c:v>69.37</c:v>
                </c:pt>
                <c:pt idx="13">
                  <c:v>81.44</c:v>
                </c:pt>
                <c:pt idx="14">
                  <c:v>94.13</c:v>
                </c:pt>
              </c:numCache>
            </c:numRef>
          </c:xVal>
          <c:yVal>
            <c:numRef>
              <c:f>'Manguera 2'!$Z$24:$Z$38</c:f>
              <c:numCache>
                <c:formatCode>General</c:formatCode>
                <c:ptCount val="15"/>
                <c:pt idx="0">
                  <c:v>15</c:v>
                </c:pt>
                <c:pt idx="1">
                  <c:v>14.000000000000002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7.0000000000000009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21-A340-B3CB-789E58C27760}"/>
            </c:ext>
          </c:extLst>
        </c:ser>
        <c:ser>
          <c:idx val="4"/>
          <c:order val="4"/>
          <c:tx>
            <c:v>m2 teo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'Manguera 2'!$Y$24:$Y$38</c:f>
              <c:numCache>
                <c:formatCode>0.0</c:formatCode>
                <c:ptCount val="15"/>
                <c:pt idx="0">
                  <c:v>0</c:v>
                </c:pt>
                <c:pt idx="1">
                  <c:v>3.58</c:v>
                </c:pt>
                <c:pt idx="2">
                  <c:v>7.78</c:v>
                </c:pt>
                <c:pt idx="3">
                  <c:v>12.29</c:v>
                </c:pt>
                <c:pt idx="4">
                  <c:v>17.27</c:v>
                </c:pt>
                <c:pt idx="5">
                  <c:v>22.07</c:v>
                </c:pt>
                <c:pt idx="6">
                  <c:v>27.47</c:v>
                </c:pt>
                <c:pt idx="7">
                  <c:v>33.200000000000003</c:v>
                </c:pt>
                <c:pt idx="8">
                  <c:v>39.659999999999997</c:v>
                </c:pt>
                <c:pt idx="9">
                  <c:v>45.86</c:v>
                </c:pt>
                <c:pt idx="10">
                  <c:v>53.05</c:v>
                </c:pt>
                <c:pt idx="11">
                  <c:v>60.7</c:v>
                </c:pt>
                <c:pt idx="12">
                  <c:v>69.37</c:v>
                </c:pt>
                <c:pt idx="13">
                  <c:v>81.44</c:v>
                </c:pt>
                <c:pt idx="14">
                  <c:v>94.13</c:v>
                </c:pt>
              </c:numCache>
            </c:numRef>
          </c:xVal>
          <c:yVal>
            <c:numRef>
              <c:f>'Manguera 2'!$AA$24:$AA$37</c:f>
              <c:numCache>
                <c:formatCode>General</c:formatCode>
                <c:ptCount val="14"/>
                <c:pt idx="0">
                  <c:v>15</c:v>
                </c:pt>
                <c:pt idx="1">
                  <c:v>13.80241229227568</c:v>
                </c:pt>
                <c:pt idx="2">
                  <c:v>12.460925913850662</c:v>
                </c:pt>
                <c:pt idx="3">
                  <c:v>11.096768601050197</c:v>
                </c:pt>
                <c:pt idx="4">
                  <c:v>9.682297277750731</c:v>
                </c:pt>
                <c:pt idx="5">
                  <c:v>8.4101856241095199</c:v>
                </c:pt>
                <c:pt idx="6">
                  <c:v>7.086106276199013</c:v>
                </c:pt>
                <c:pt idx="7">
                  <c:v>5.8050554975904918</c:v>
                </c:pt>
                <c:pt idx="8">
                  <c:v>4.5138424132387724</c:v>
                </c:pt>
                <c:pt idx="9">
                  <c:v>3.4271444117369514</c:v>
                </c:pt>
                <c:pt idx="10">
                  <c:v>2.3540309889641224</c:v>
                </c:pt>
                <c:pt idx="11">
                  <c:v>1.4328964281750858</c:v>
                </c:pt>
                <c:pt idx="12">
                  <c:v>0.66393388011605903</c:v>
                </c:pt>
                <c:pt idx="13">
                  <c:v>7.9929438824719035E-2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21-A340-B3CB-789E58C27760}"/>
            </c:ext>
          </c:extLst>
        </c:ser>
        <c:ser>
          <c:idx val="5"/>
          <c:order val="5"/>
          <c:tx>
            <c:v>m2 f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6"/>
                </a:solidFill>
                <a:prstDash val="solid"/>
              </a:ln>
              <a:effectLst/>
            </c:spPr>
            <c:trendlineType val="poly"/>
            <c:order val="2"/>
            <c:forward val="10"/>
            <c:dispRSqr val="0"/>
            <c:dispEq val="0"/>
          </c:trendline>
          <c:xVal>
            <c:numRef>
              <c:f>'Manguera 2'!$Y$24:$Y$38</c:f>
              <c:numCache>
                <c:formatCode>0.0</c:formatCode>
                <c:ptCount val="15"/>
                <c:pt idx="0">
                  <c:v>0</c:v>
                </c:pt>
                <c:pt idx="1">
                  <c:v>3.58</c:v>
                </c:pt>
                <c:pt idx="2">
                  <c:v>7.78</c:v>
                </c:pt>
                <c:pt idx="3">
                  <c:v>12.29</c:v>
                </c:pt>
                <c:pt idx="4">
                  <c:v>17.27</c:v>
                </c:pt>
                <c:pt idx="5">
                  <c:v>22.07</c:v>
                </c:pt>
                <c:pt idx="6">
                  <c:v>27.47</c:v>
                </c:pt>
                <c:pt idx="7">
                  <c:v>33.200000000000003</c:v>
                </c:pt>
                <c:pt idx="8">
                  <c:v>39.659999999999997</c:v>
                </c:pt>
                <c:pt idx="9">
                  <c:v>45.86</c:v>
                </c:pt>
                <c:pt idx="10">
                  <c:v>53.05</c:v>
                </c:pt>
                <c:pt idx="11">
                  <c:v>60.7</c:v>
                </c:pt>
                <c:pt idx="12">
                  <c:v>69.37</c:v>
                </c:pt>
                <c:pt idx="13">
                  <c:v>81.44</c:v>
                </c:pt>
                <c:pt idx="14">
                  <c:v>94.13</c:v>
                </c:pt>
              </c:numCache>
            </c:numRef>
          </c:xVal>
          <c:yVal>
            <c:numRef>
              <c:f>'Manguera 2'!$AB$24:$AB$38</c:f>
              <c:numCache>
                <c:formatCode>General</c:formatCode>
                <c:ptCount val="15"/>
                <c:pt idx="0">
                  <c:v>15.000000000000002</c:v>
                </c:pt>
                <c:pt idx="1">
                  <c:v>14.038949057516826</c:v>
                </c:pt>
                <c:pt idx="2">
                  <c:v>12.952015929605517</c:v>
                </c:pt>
                <c:pt idx="3">
                  <c:v>11.833612950320342</c:v>
                </c:pt>
                <c:pt idx="4">
                  <c:v>10.657316422644451</c:v>
                </c:pt>
                <c:pt idx="5">
                  <c:v>9.5818026008099704</c:v>
                </c:pt>
                <c:pt idx="6">
                  <c:v>8.4402137573291114</c:v>
                </c:pt>
                <c:pt idx="7">
                  <c:v>7.3080172951002833</c:v>
                </c:pt>
                <c:pt idx="8">
                  <c:v>6.1293191134005038</c:v>
                </c:pt>
                <c:pt idx="9">
                  <c:v>5.0954835138076726</c:v>
                </c:pt>
                <c:pt idx="10">
                  <c:v>4.0160612214932465</c:v>
                </c:pt>
                <c:pt idx="11">
                  <c:v>3.0084861477544109</c:v>
                </c:pt>
                <c:pt idx="12">
                  <c:v>2.0421877802545545</c:v>
                </c:pt>
                <c:pt idx="13">
                  <c:v>1.0076557531017338</c:v>
                </c:pt>
                <c:pt idx="14">
                  <c:v>0.30996717657714556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21-A340-B3CB-789E58C27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514816"/>
        <c:axId val="1174269568"/>
      </c:scatterChart>
      <c:valAx>
        <c:axId val="117351481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174269568"/>
        <c:crosses val="autoZero"/>
        <c:crossBetween val="midCat"/>
      </c:valAx>
      <c:valAx>
        <c:axId val="117426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173514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egendEntry>
        <c:idx val="2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8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46831987908891609"/>
          <c:y val="0.18537742839031632"/>
          <c:w val="0.4701909658673713"/>
          <c:h val="0.1999904606591393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00" b="0" i="0" baseline="0">
                <a:effectLst/>
              </a:rPr>
              <a:t>Altura Vs. Temps de descàrrega.</a:t>
            </a:r>
            <a:endParaRPr lang="en-ES" sz="1000">
              <a:effectLst/>
            </a:endParaRPr>
          </a:p>
          <a:p>
            <a:pPr>
              <a:defRPr/>
            </a:pPr>
            <a:r>
              <a:rPr lang="en-GB" sz="1000" b="0" i="0" baseline="0">
                <a:effectLst/>
              </a:rPr>
              <a:t>Orifici de diàmetre d = 8,70 </a:t>
            </a:r>
            <a:r>
              <a:rPr lang="en-ES" sz="1000" b="0" i="0" baseline="0">
                <a:effectLst/>
              </a:rPr>
              <a:t>± 0,05</a:t>
            </a:r>
            <a:r>
              <a:rPr lang="en-GB" sz="1000" b="0" i="0" baseline="0">
                <a:effectLst/>
              </a:rPr>
              <a:t> mm. Manguera de 50 cm</a:t>
            </a:r>
            <a:endParaRPr lang="en-ES" sz="10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Altura Experimental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10"/>
            <c:dispRSqr val="0"/>
            <c:dispEq val="0"/>
          </c:trendline>
          <c:xVal>
            <c:numRef>
              <c:f>'Manguera 2'!$Y$24:$Y$38</c:f>
              <c:numCache>
                <c:formatCode>0.0</c:formatCode>
                <c:ptCount val="15"/>
                <c:pt idx="0">
                  <c:v>0</c:v>
                </c:pt>
                <c:pt idx="1">
                  <c:v>3.58</c:v>
                </c:pt>
                <c:pt idx="2">
                  <c:v>7.78</c:v>
                </c:pt>
                <c:pt idx="3">
                  <c:v>12.29</c:v>
                </c:pt>
                <c:pt idx="4">
                  <c:v>17.27</c:v>
                </c:pt>
                <c:pt idx="5">
                  <c:v>22.07</c:v>
                </c:pt>
                <c:pt idx="6">
                  <c:v>27.47</c:v>
                </c:pt>
                <c:pt idx="7">
                  <c:v>33.200000000000003</c:v>
                </c:pt>
                <c:pt idx="8">
                  <c:v>39.659999999999997</c:v>
                </c:pt>
                <c:pt idx="9">
                  <c:v>45.86</c:v>
                </c:pt>
                <c:pt idx="10">
                  <c:v>53.05</c:v>
                </c:pt>
                <c:pt idx="11">
                  <c:v>60.7</c:v>
                </c:pt>
                <c:pt idx="12">
                  <c:v>69.37</c:v>
                </c:pt>
                <c:pt idx="13">
                  <c:v>81.44</c:v>
                </c:pt>
                <c:pt idx="14">
                  <c:v>94.13</c:v>
                </c:pt>
              </c:numCache>
            </c:numRef>
          </c:xVal>
          <c:yVal>
            <c:numRef>
              <c:f>'Manguera 2'!$Z$24:$Z$38</c:f>
              <c:numCache>
                <c:formatCode>General</c:formatCode>
                <c:ptCount val="15"/>
                <c:pt idx="0">
                  <c:v>15</c:v>
                </c:pt>
                <c:pt idx="1">
                  <c:v>14.000000000000002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7.0000000000000009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65-CF47-8459-300C856527BE}"/>
            </c:ext>
          </c:extLst>
        </c:ser>
        <c:ser>
          <c:idx val="1"/>
          <c:order val="1"/>
          <c:tx>
            <c:v>Altura Teòrica</c:v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'Manguera 2'!$Y$24:$Y$38</c:f>
              <c:numCache>
                <c:formatCode>0.0</c:formatCode>
                <c:ptCount val="15"/>
                <c:pt idx="0">
                  <c:v>0</c:v>
                </c:pt>
                <c:pt idx="1">
                  <c:v>3.58</c:v>
                </c:pt>
                <c:pt idx="2">
                  <c:v>7.78</c:v>
                </c:pt>
                <c:pt idx="3">
                  <c:v>12.29</c:v>
                </c:pt>
                <c:pt idx="4">
                  <c:v>17.27</c:v>
                </c:pt>
                <c:pt idx="5">
                  <c:v>22.07</c:v>
                </c:pt>
                <c:pt idx="6">
                  <c:v>27.47</c:v>
                </c:pt>
                <c:pt idx="7">
                  <c:v>33.200000000000003</c:v>
                </c:pt>
                <c:pt idx="8">
                  <c:v>39.659999999999997</c:v>
                </c:pt>
                <c:pt idx="9">
                  <c:v>45.86</c:v>
                </c:pt>
                <c:pt idx="10">
                  <c:v>53.05</c:v>
                </c:pt>
                <c:pt idx="11">
                  <c:v>60.7</c:v>
                </c:pt>
                <c:pt idx="12">
                  <c:v>69.37</c:v>
                </c:pt>
                <c:pt idx="13">
                  <c:v>81.44</c:v>
                </c:pt>
                <c:pt idx="14">
                  <c:v>94.13</c:v>
                </c:pt>
              </c:numCache>
            </c:numRef>
          </c:xVal>
          <c:yVal>
            <c:numRef>
              <c:f>'Manguera 2'!$AA$24:$AA$38</c:f>
              <c:numCache>
                <c:formatCode>General</c:formatCode>
                <c:ptCount val="15"/>
                <c:pt idx="0">
                  <c:v>15</c:v>
                </c:pt>
                <c:pt idx="1">
                  <c:v>13.80241229227568</c:v>
                </c:pt>
                <c:pt idx="2">
                  <c:v>12.460925913850662</c:v>
                </c:pt>
                <c:pt idx="3">
                  <c:v>11.096768601050197</c:v>
                </c:pt>
                <c:pt idx="4">
                  <c:v>9.682297277750731</c:v>
                </c:pt>
                <c:pt idx="5">
                  <c:v>8.4101856241095199</c:v>
                </c:pt>
                <c:pt idx="6">
                  <c:v>7.086106276199013</c:v>
                </c:pt>
                <c:pt idx="7">
                  <c:v>5.8050554975904918</c:v>
                </c:pt>
                <c:pt idx="8">
                  <c:v>4.5138424132387724</c:v>
                </c:pt>
                <c:pt idx="9">
                  <c:v>3.4271444117369514</c:v>
                </c:pt>
                <c:pt idx="10">
                  <c:v>2.3540309889641224</c:v>
                </c:pt>
                <c:pt idx="11">
                  <c:v>1.4328964281750858</c:v>
                </c:pt>
                <c:pt idx="12">
                  <c:v>0.66393388011605903</c:v>
                </c:pt>
                <c:pt idx="13">
                  <c:v>7.9929438824719035E-2</c:v>
                </c:pt>
                <c:pt idx="14">
                  <c:v>7.6572879936773197E-2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65-CF47-8459-300C856527BE}"/>
            </c:ext>
          </c:extLst>
        </c:ser>
        <c:ser>
          <c:idx val="2"/>
          <c:order val="2"/>
          <c:tx>
            <c:v>Altura amb Fregament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olid"/>
              </a:ln>
              <a:effectLst/>
            </c:spPr>
            <c:trendlineType val="poly"/>
            <c:order val="2"/>
            <c:forward val="10"/>
            <c:dispRSqr val="0"/>
            <c:dispEq val="0"/>
          </c:trendline>
          <c:xVal>
            <c:numRef>
              <c:f>'Manguera 2'!$Y$24:$Y$38</c:f>
              <c:numCache>
                <c:formatCode>0.0</c:formatCode>
                <c:ptCount val="15"/>
                <c:pt idx="0">
                  <c:v>0</c:v>
                </c:pt>
                <c:pt idx="1">
                  <c:v>3.58</c:v>
                </c:pt>
                <c:pt idx="2">
                  <c:v>7.78</c:v>
                </c:pt>
                <c:pt idx="3">
                  <c:v>12.29</c:v>
                </c:pt>
                <c:pt idx="4">
                  <c:v>17.27</c:v>
                </c:pt>
                <c:pt idx="5">
                  <c:v>22.07</c:v>
                </c:pt>
                <c:pt idx="6">
                  <c:v>27.47</c:v>
                </c:pt>
                <c:pt idx="7">
                  <c:v>33.200000000000003</c:v>
                </c:pt>
                <c:pt idx="8">
                  <c:v>39.659999999999997</c:v>
                </c:pt>
                <c:pt idx="9">
                  <c:v>45.86</c:v>
                </c:pt>
                <c:pt idx="10">
                  <c:v>53.05</c:v>
                </c:pt>
                <c:pt idx="11">
                  <c:v>60.7</c:v>
                </c:pt>
                <c:pt idx="12">
                  <c:v>69.37</c:v>
                </c:pt>
                <c:pt idx="13">
                  <c:v>81.44</c:v>
                </c:pt>
                <c:pt idx="14">
                  <c:v>94.13</c:v>
                </c:pt>
              </c:numCache>
            </c:numRef>
          </c:xVal>
          <c:yVal>
            <c:numRef>
              <c:f>'Manguera 2'!$AB$24:$AB$38</c:f>
              <c:numCache>
                <c:formatCode>General</c:formatCode>
                <c:ptCount val="15"/>
                <c:pt idx="0">
                  <c:v>15.000000000000002</c:v>
                </c:pt>
                <c:pt idx="1">
                  <c:v>14.038949057516826</c:v>
                </c:pt>
                <c:pt idx="2">
                  <c:v>12.952015929605517</c:v>
                </c:pt>
                <c:pt idx="3">
                  <c:v>11.833612950320342</c:v>
                </c:pt>
                <c:pt idx="4">
                  <c:v>10.657316422644451</c:v>
                </c:pt>
                <c:pt idx="5">
                  <c:v>9.5818026008099704</c:v>
                </c:pt>
                <c:pt idx="6">
                  <c:v>8.4402137573291114</c:v>
                </c:pt>
                <c:pt idx="7">
                  <c:v>7.3080172951002833</c:v>
                </c:pt>
                <c:pt idx="8">
                  <c:v>6.1293191134005038</c:v>
                </c:pt>
                <c:pt idx="9">
                  <c:v>5.0954835138076726</c:v>
                </c:pt>
                <c:pt idx="10">
                  <c:v>4.0160612214932465</c:v>
                </c:pt>
                <c:pt idx="11">
                  <c:v>3.0084861477544109</c:v>
                </c:pt>
                <c:pt idx="12">
                  <c:v>2.0421877802545545</c:v>
                </c:pt>
                <c:pt idx="13">
                  <c:v>1.0076557531017338</c:v>
                </c:pt>
                <c:pt idx="14">
                  <c:v>0.30996717657714556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865-CF47-8459-300C856527BE}"/>
            </c:ext>
          </c:extLst>
        </c:ser>
        <c:ser>
          <c:idx val="3"/>
          <c:order val="3"/>
          <c:tx>
            <c:v>Fregament Real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olid"/>
              </a:ln>
              <a:effectLst/>
            </c:spPr>
            <c:trendlineType val="poly"/>
            <c:order val="2"/>
            <c:forward val="20"/>
            <c:dispRSqr val="0"/>
            <c:dispEq val="0"/>
          </c:trendline>
          <c:xVal>
            <c:numRef>
              <c:f>'Manguera 2'!$AD$24:$AD$38</c:f>
              <c:numCache>
                <c:formatCode>General</c:formatCode>
                <c:ptCount val="15"/>
                <c:pt idx="0">
                  <c:v>0</c:v>
                </c:pt>
                <c:pt idx="1">
                  <c:v>3.58</c:v>
                </c:pt>
                <c:pt idx="2">
                  <c:v>7.78</c:v>
                </c:pt>
                <c:pt idx="3">
                  <c:v>12.29</c:v>
                </c:pt>
                <c:pt idx="4">
                  <c:v>17.27</c:v>
                </c:pt>
                <c:pt idx="5">
                  <c:v>22.07</c:v>
                </c:pt>
                <c:pt idx="6">
                  <c:v>27.47</c:v>
                </c:pt>
                <c:pt idx="7">
                  <c:v>33.200000000000003</c:v>
                </c:pt>
                <c:pt idx="8">
                  <c:v>39.659999999999997</c:v>
                </c:pt>
                <c:pt idx="9">
                  <c:v>45.86</c:v>
                </c:pt>
                <c:pt idx="10">
                  <c:v>53.05</c:v>
                </c:pt>
                <c:pt idx="11">
                  <c:v>60.7</c:v>
                </c:pt>
                <c:pt idx="12">
                  <c:v>69.37</c:v>
                </c:pt>
                <c:pt idx="13">
                  <c:v>81.44</c:v>
                </c:pt>
                <c:pt idx="14">
                  <c:v>94.13</c:v>
                </c:pt>
              </c:numCache>
            </c:numRef>
          </c:xVal>
          <c:yVal>
            <c:numRef>
              <c:f>'Manguera 2'!$AF$24:$AF$38</c:f>
              <c:numCache>
                <c:formatCode>General</c:formatCode>
                <c:ptCount val="15"/>
                <c:pt idx="0">
                  <c:v>15.000000000000002</c:v>
                </c:pt>
                <c:pt idx="1">
                  <c:v>14.152915527722859</c:v>
                </c:pt>
                <c:pt idx="2">
                  <c:v>13.190512385551692</c:v>
                </c:pt>
                <c:pt idx="3">
                  <c:v>12.194802552712286</c:v>
                </c:pt>
                <c:pt idx="4">
                  <c:v>11.140717208008386</c:v>
                </c:pt>
                <c:pt idx="5">
                  <c:v>10.169817902520665</c:v>
                </c:pt>
                <c:pt idx="6">
                  <c:v>9.130456836037375</c:v>
                </c:pt>
                <c:pt idx="7">
                  <c:v>8.0888307814203646</c:v>
                </c:pt>
                <c:pt idx="8">
                  <c:v>6.9901335362849384</c:v>
                </c:pt>
                <c:pt idx="9">
                  <c:v>6.0110426147820784</c:v>
                </c:pt>
                <c:pt idx="10">
                  <c:v>4.9680778087630229</c:v>
                </c:pt>
                <c:pt idx="11">
                  <c:v>3.9674205864041343</c:v>
                </c:pt>
                <c:pt idx="12">
                  <c:v>2.9692382986909545</c:v>
                </c:pt>
                <c:pt idx="13">
                  <c:v>1.8200389098411005</c:v>
                </c:pt>
                <c:pt idx="14">
                  <c:v>0.9135808555226973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14-1D45-B1C0-2B4BF97C0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715168"/>
        <c:axId val="911170160"/>
      </c:scatterChart>
      <c:valAx>
        <c:axId val="99771516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 (± 0,1 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911170160"/>
        <c:crosses val="autoZero"/>
        <c:crossBetween val="midCat"/>
      </c:valAx>
      <c:valAx>
        <c:axId val="91117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 (± 0,1 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997715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51215537552671719"/>
          <c:y val="0.22284453368964743"/>
          <c:w val="0.41163644842468106"/>
          <c:h val="0.22573190650541097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00" b="0" i="0" baseline="0">
                <a:effectLst/>
              </a:rPr>
              <a:t>Altura Vs. Temps de descàrrega.</a:t>
            </a:r>
            <a:endParaRPr lang="en-ES" sz="1000">
              <a:effectLst/>
            </a:endParaRPr>
          </a:p>
          <a:p>
            <a:pPr>
              <a:defRPr/>
            </a:pPr>
            <a:r>
              <a:rPr lang="en-GB" sz="1000" b="0" i="0" baseline="0">
                <a:effectLst/>
              </a:rPr>
              <a:t>Orifici de diàmetre d = 8,80 </a:t>
            </a:r>
            <a:r>
              <a:rPr lang="en-ES" sz="1000" b="0" i="0" baseline="0">
                <a:effectLst/>
              </a:rPr>
              <a:t>± 0,05</a:t>
            </a:r>
            <a:r>
              <a:rPr lang="en-GB" sz="1000" b="0" i="0" baseline="0">
                <a:effectLst/>
              </a:rPr>
              <a:t> mm. Manguera de 75 cm</a:t>
            </a:r>
            <a:endParaRPr lang="en-ES" sz="10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Altura Experimental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30"/>
            <c:dispRSqr val="0"/>
            <c:dispEq val="0"/>
          </c:trendline>
          <c:errBars>
            <c:errDir val="x"/>
            <c:errBarType val="both"/>
            <c:errValType val="fixedVal"/>
            <c:noEndCap val="0"/>
            <c:val val="5.000000000000001E-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fixedVal"/>
            <c:noEndCap val="0"/>
            <c:val val="5.000000000000001E-2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'Manguera 3'!$N$45:$N$59</c:f>
              <c:numCache>
                <c:formatCode>0.0</c:formatCode>
                <c:ptCount val="15"/>
                <c:pt idx="0">
                  <c:v>0</c:v>
                </c:pt>
                <c:pt idx="1">
                  <c:v>5.38</c:v>
                </c:pt>
                <c:pt idx="2">
                  <c:v>10.68</c:v>
                </c:pt>
                <c:pt idx="3">
                  <c:v>16.53</c:v>
                </c:pt>
                <c:pt idx="4">
                  <c:v>22.69</c:v>
                </c:pt>
                <c:pt idx="5">
                  <c:v>28.94</c:v>
                </c:pt>
                <c:pt idx="6">
                  <c:v>35.58</c:v>
                </c:pt>
                <c:pt idx="7">
                  <c:v>43.08</c:v>
                </c:pt>
                <c:pt idx="8">
                  <c:v>51.4</c:v>
                </c:pt>
                <c:pt idx="9">
                  <c:v>60.22</c:v>
                </c:pt>
                <c:pt idx="10">
                  <c:v>69.87</c:v>
                </c:pt>
                <c:pt idx="11">
                  <c:v>79.8</c:v>
                </c:pt>
                <c:pt idx="12">
                  <c:v>90.38</c:v>
                </c:pt>
                <c:pt idx="13">
                  <c:v>105.55</c:v>
                </c:pt>
                <c:pt idx="14">
                  <c:v>120.51</c:v>
                </c:pt>
              </c:numCache>
            </c:numRef>
          </c:xVal>
          <c:yVal>
            <c:numRef>
              <c:f>'Manguera 3'!$O$45:$O$59</c:f>
              <c:numCache>
                <c:formatCode>General</c:formatCode>
                <c:ptCount val="15"/>
                <c:pt idx="0">
                  <c:v>15</c:v>
                </c:pt>
                <c:pt idx="1">
                  <c:v>14.000000000000002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7.0000000000000009</c:v>
                </c:pt>
                <c:pt idx="9">
                  <c:v>6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FB-5347-98F2-0BF0C20C81A0}"/>
            </c:ext>
          </c:extLst>
        </c:ser>
        <c:ser>
          <c:idx val="1"/>
          <c:order val="1"/>
          <c:tx>
            <c:v>Altura Teòrica</c:v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'Manguera 3'!$Q$25:$Q$39</c:f>
              <c:numCache>
                <c:formatCode>General</c:formatCode>
                <c:ptCount val="15"/>
                <c:pt idx="0">
                  <c:v>0</c:v>
                </c:pt>
                <c:pt idx="1">
                  <c:v>5.38</c:v>
                </c:pt>
                <c:pt idx="2">
                  <c:v>10.68</c:v>
                </c:pt>
                <c:pt idx="3">
                  <c:v>16.53</c:v>
                </c:pt>
                <c:pt idx="4">
                  <c:v>22.69</c:v>
                </c:pt>
                <c:pt idx="5">
                  <c:v>28.94</c:v>
                </c:pt>
                <c:pt idx="6">
                  <c:v>35.58</c:v>
                </c:pt>
                <c:pt idx="7">
                  <c:v>43.08</c:v>
                </c:pt>
                <c:pt idx="8">
                  <c:v>51.4</c:v>
                </c:pt>
                <c:pt idx="9">
                  <c:v>60.22</c:v>
                </c:pt>
                <c:pt idx="10">
                  <c:v>69.87</c:v>
                </c:pt>
                <c:pt idx="11">
                  <c:v>79.8</c:v>
                </c:pt>
                <c:pt idx="12">
                  <c:v>90.38</c:v>
                </c:pt>
                <c:pt idx="13">
                  <c:v>105.55</c:v>
                </c:pt>
                <c:pt idx="14">
                  <c:v>120.51</c:v>
                </c:pt>
              </c:numCache>
            </c:numRef>
          </c:xVal>
          <c:yVal>
            <c:numRef>
              <c:f>'Manguera 3'!$P$45:$P$57</c:f>
              <c:numCache>
                <c:formatCode>General</c:formatCode>
                <c:ptCount val="13"/>
                <c:pt idx="0">
                  <c:v>15</c:v>
                </c:pt>
                <c:pt idx="1">
                  <c:v>13.179248775165531</c:v>
                </c:pt>
                <c:pt idx="2">
                  <c:v>11.500725745347475</c:v>
                </c:pt>
                <c:pt idx="3">
                  <c:v>9.780713633433292</c:v>
                </c:pt>
                <c:pt idx="4">
                  <c:v>8.1200619828192533</c:v>
                </c:pt>
                <c:pt idx="5">
                  <c:v>6.5929388643967251</c:v>
                </c:pt>
                <c:pt idx="6">
                  <c:v>5.1446447039592735</c:v>
                </c:pt>
                <c:pt idx="7">
                  <c:v>3.7245158660239435</c:v>
                </c:pt>
                <c:pt idx="8">
                  <c:v>2.4168890792966415</c:v>
                </c:pt>
                <c:pt idx="9">
                  <c:v>1.3382253589976494</c:v>
                </c:pt>
                <c:pt idx="10">
                  <c:v>0.52065278486190381</c:v>
                </c:pt>
                <c:pt idx="11">
                  <c:v>7.4900431110255794E-2</c:v>
                </c:pt>
                <c:pt idx="12">
                  <c:v>4.1421006588640563E-2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FB-5347-98F2-0BF0C20C81A0}"/>
            </c:ext>
          </c:extLst>
        </c:ser>
        <c:ser>
          <c:idx val="2"/>
          <c:order val="2"/>
          <c:tx>
            <c:v>Altura amb Fregament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'Manguera 3'!$Y$25:$Y$39</c:f>
              <c:numCache>
                <c:formatCode>General</c:formatCode>
                <c:ptCount val="15"/>
                <c:pt idx="0">
                  <c:v>0</c:v>
                </c:pt>
                <c:pt idx="1">
                  <c:v>5.38</c:v>
                </c:pt>
                <c:pt idx="2">
                  <c:v>10.68</c:v>
                </c:pt>
                <c:pt idx="3">
                  <c:v>16.53</c:v>
                </c:pt>
                <c:pt idx="4">
                  <c:v>22.69</c:v>
                </c:pt>
                <c:pt idx="5">
                  <c:v>28.94</c:v>
                </c:pt>
                <c:pt idx="6">
                  <c:v>35.58</c:v>
                </c:pt>
                <c:pt idx="7">
                  <c:v>43.08</c:v>
                </c:pt>
                <c:pt idx="8">
                  <c:v>51.4</c:v>
                </c:pt>
                <c:pt idx="9">
                  <c:v>60.22</c:v>
                </c:pt>
                <c:pt idx="10">
                  <c:v>69.87</c:v>
                </c:pt>
                <c:pt idx="11">
                  <c:v>79.8</c:v>
                </c:pt>
                <c:pt idx="12">
                  <c:v>90.38</c:v>
                </c:pt>
                <c:pt idx="13">
                  <c:v>105.55</c:v>
                </c:pt>
                <c:pt idx="14">
                  <c:v>120.51</c:v>
                </c:pt>
              </c:numCache>
            </c:numRef>
          </c:xVal>
          <c:yVal>
            <c:numRef>
              <c:f>'Manguera 3'!$AA$25:$AA$39</c:f>
              <c:numCache>
                <c:formatCode>General</c:formatCode>
                <c:ptCount val="15"/>
                <c:pt idx="0">
                  <c:v>15.000000000000002</c:v>
                </c:pt>
                <c:pt idx="1">
                  <c:v>13.728282887229657</c:v>
                </c:pt>
                <c:pt idx="2">
                  <c:v>12.530548827376139</c:v>
                </c:pt>
                <c:pt idx="3">
                  <c:v>11.271984590655688</c:v>
                </c:pt>
                <c:pt idx="4">
                  <c:v>10.018707472684637</c:v>
                </c:pt>
                <c:pt idx="5">
                  <c:v>8.8225837843622248</c:v>
                </c:pt>
                <c:pt idx="6">
                  <c:v>7.6350962272101768</c:v>
                </c:pt>
                <c:pt idx="7">
                  <c:v>6.3969887299545531</c:v>
                </c:pt>
                <c:pt idx="8">
                  <c:v>5.1515765933311437</c:v>
                </c:pt>
                <c:pt idx="9">
                  <c:v>3.9784052305324642</c:v>
                </c:pt>
                <c:pt idx="10">
                  <c:v>2.8682473012117344</c:v>
                </c:pt>
                <c:pt idx="11">
                  <c:v>1.9150472750432332</c:v>
                </c:pt>
                <c:pt idx="12">
                  <c:v>1.1105781620661817</c:v>
                </c:pt>
                <c:pt idx="13">
                  <c:v>0.33716056972630037</c:v>
                </c:pt>
                <c:pt idx="14">
                  <c:v>1.3000835962694659E-2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AFB-5347-98F2-0BF0C20C81A0}"/>
            </c:ext>
          </c:extLst>
        </c:ser>
        <c:ser>
          <c:idx val="3"/>
          <c:order val="3"/>
          <c:tx>
            <c:v>Fregament Real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olid"/>
              </a:ln>
              <a:effectLst/>
            </c:spPr>
            <c:trendlineType val="poly"/>
            <c:order val="2"/>
            <c:forward val="20"/>
            <c:dispRSqr val="0"/>
            <c:dispEq val="0"/>
          </c:trendline>
          <c:xVal>
            <c:numRef>
              <c:f>'Manguera 3'!$AL$25:$AL$39</c:f>
              <c:numCache>
                <c:formatCode>General</c:formatCode>
                <c:ptCount val="15"/>
                <c:pt idx="0">
                  <c:v>0</c:v>
                </c:pt>
                <c:pt idx="1">
                  <c:v>5.38</c:v>
                </c:pt>
                <c:pt idx="2">
                  <c:v>10.68</c:v>
                </c:pt>
                <c:pt idx="3">
                  <c:v>16.53</c:v>
                </c:pt>
                <c:pt idx="4">
                  <c:v>22.69</c:v>
                </c:pt>
                <c:pt idx="5">
                  <c:v>28.94</c:v>
                </c:pt>
                <c:pt idx="6">
                  <c:v>35.58</c:v>
                </c:pt>
                <c:pt idx="7">
                  <c:v>43.08</c:v>
                </c:pt>
                <c:pt idx="8">
                  <c:v>51.4</c:v>
                </c:pt>
                <c:pt idx="9">
                  <c:v>60.22</c:v>
                </c:pt>
                <c:pt idx="10">
                  <c:v>69.87</c:v>
                </c:pt>
                <c:pt idx="11">
                  <c:v>79.8</c:v>
                </c:pt>
                <c:pt idx="12">
                  <c:v>90.38</c:v>
                </c:pt>
                <c:pt idx="13">
                  <c:v>105.55</c:v>
                </c:pt>
                <c:pt idx="14">
                  <c:v>120.51</c:v>
                </c:pt>
              </c:numCache>
            </c:numRef>
          </c:xVal>
          <c:yVal>
            <c:numRef>
              <c:f>'Manguera 3'!$AN$25:$AN$39</c:f>
              <c:numCache>
                <c:formatCode>General</c:formatCode>
                <c:ptCount val="15"/>
                <c:pt idx="0">
                  <c:v>15.000000000000002</c:v>
                </c:pt>
                <c:pt idx="1">
                  <c:v>14.026851779104801</c:v>
                </c:pt>
                <c:pt idx="2">
                  <c:v>13.100084597802891</c:v>
                </c:pt>
                <c:pt idx="3">
                  <c:v>12.113915385122692</c:v>
                </c:pt>
                <c:pt idx="4">
                  <c:v>11.117194667272029</c:v>
                </c:pt>
                <c:pt idx="5">
                  <c:v>10.149637233594026</c:v>
                </c:pt>
                <c:pt idx="6">
                  <c:v>9.1699552458151867</c:v>
                </c:pt>
                <c:pt idx="7">
                  <c:v>8.1231722901476697</c:v>
                </c:pt>
                <c:pt idx="8">
                  <c:v>7.0361430277444637</c:v>
                </c:pt>
                <c:pt idx="9">
                  <c:v>5.9690120916384197</c:v>
                </c:pt>
                <c:pt idx="10">
                  <c:v>4.9019395766336773</c:v>
                </c:pt>
                <c:pt idx="11">
                  <c:v>3.9135147027144392</c:v>
                </c:pt>
                <c:pt idx="12">
                  <c:v>2.9827204187128289</c:v>
                </c:pt>
                <c:pt idx="13">
                  <c:v>1.8683284991972497</c:v>
                </c:pt>
                <c:pt idx="14">
                  <c:v>1.0234700474114768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635-284A-9226-B123468A8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805344"/>
        <c:axId val="1382587712"/>
      </c:scatterChart>
      <c:valAx>
        <c:axId val="1812805344"/>
        <c:scaling>
          <c:orientation val="minMax"/>
          <c:max val="14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 (± 0,1 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382587712"/>
        <c:crosses val="autoZero"/>
        <c:crossBetween val="midCat"/>
      </c:valAx>
      <c:valAx>
        <c:axId val="1382587712"/>
        <c:scaling>
          <c:orientation val="minMax"/>
          <c:max val="1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</a:t>
                </a:r>
                <a:r>
                  <a:rPr lang="en-GB" baseline="0"/>
                  <a:t> (± 0,1 cm)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812805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57281152423838566"/>
          <c:y val="0.22121581303553911"/>
          <c:w val="0.3710106242925108"/>
          <c:h val="0.2255663162060051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203200</xdr:colOff>
      <xdr:row>44</xdr:row>
      <xdr:rowOff>6350</xdr:rowOff>
    </xdr:from>
    <xdr:to>
      <xdr:col>26</xdr:col>
      <xdr:colOff>647700</xdr:colOff>
      <xdr:row>57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6E26DC-9285-D1F8-5EAD-485181BA0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241300</xdr:colOff>
      <xdr:row>41</xdr:row>
      <xdr:rowOff>133350</xdr:rowOff>
    </xdr:from>
    <xdr:to>
      <xdr:col>8</xdr:col>
      <xdr:colOff>444500</xdr:colOff>
      <xdr:row>55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B392DC-FB8B-A229-FA88-8FD827AA4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304800</xdr:colOff>
      <xdr:row>43</xdr:row>
      <xdr:rowOff>120650</xdr:rowOff>
    </xdr:from>
    <xdr:to>
      <xdr:col>17</xdr:col>
      <xdr:colOff>419100</xdr:colOff>
      <xdr:row>57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E58700-3B31-CB02-F06A-461CDAEE11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946150</xdr:colOff>
      <xdr:row>25</xdr:row>
      <xdr:rowOff>95250</xdr:rowOff>
    </xdr:from>
    <xdr:to>
      <xdr:col>26</xdr:col>
      <xdr:colOff>387350</xdr:colOff>
      <xdr:row>38</xdr:row>
      <xdr:rowOff>196850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7C4088-3A80-4217-9D3F-7EC605F2C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187481</xdr:colOff>
      <xdr:row>43</xdr:row>
      <xdr:rowOff>9472</xdr:rowOff>
    </xdr:from>
    <xdr:to>
      <xdr:col>17</xdr:col>
      <xdr:colOff>416081</xdr:colOff>
      <xdr:row>56</xdr:row>
      <xdr:rowOff>116069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30BEFA-C45D-C365-4B8A-C8C3E4608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439295</xdr:colOff>
      <xdr:row>43</xdr:row>
      <xdr:rowOff>28209</xdr:rowOff>
    </xdr:from>
    <xdr:to>
      <xdr:col>9</xdr:col>
      <xdr:colOff>61418</xdr:colOff>
      <xdr:row>56</xdr:row>
      <xdr:rowOff>129810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F328AA-0A8F-EF99-2A26-F24CFF92E5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156425</xdr:colOff>
      <xdr:row>43</xdr:row>
      <xdr:rowOff>46289</xdr:rowOff>
    </xdr:from>
    <xdr:to>
      <xdr:col>26</xdr:col>
      <xdr:colOff>623896</xdr:colOff>
      <xdr:row>56</xdr:row>
      <xdr:rowOff>82932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49D0B4C-E676-FF70-347C-A04A8AE5A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704850</xdr:colOff>
      <xdr:row>73</xdr:row>
      <xdr:rowOff>50800</xdr:rowOff>
    </xdr:from>
    <xdr:to>
      <xdr:col>11</xdr:col>
      <xdr:colOff>247650</xdr:colOff>
      <xdr:row>86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BD5588-AF82-F576-716C-47F66D0C51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382351</xdr:colOff>
      <xdr:row>43</xdr:row>
      <xdr:rowOff>47016</xdr:rowOff>
    </xdr:from>
    <xdr:to>
      <xdr:col>9</xdr:col>
      <xdr:colOff>158074</xdr:colOff>
      <xdr:row>56</xdr:row>
      <xdr:rowOff>155641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446AAE-D6A9-B541-8493-56CFC6185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416127</xdr:colOff>
      <xdr:row>42</xdr:row>
      <xdr:rowOff>47017</xdr:rowOff>
    </xdr:from>
    <xdr:to>
      <xdr:col>18</xdr:col>
      <xdr:colOff>691744</xdr:colOff>
      <xdr:row>55</xdr:row>
      <xdr:rowOff>155643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EEF15D-5AFF-5F4F-9E96-58FB89A9E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294531</xdr:colOff>
      <xdr:row>42</xdr:row>
      <xdr:rowOff>87549</xdr:rowOff>
    </xdr:from>
    <xdr:to>
      <xdr:col>28</xdr:col>
      <xdr:colOff>745787</xdr:colOff>
      <xdr:row>55</xdr:row>
      <xdr:rowOff>196175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F3677F0-43CA-774F-9D47-3DFCD6C0A1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424616</xdr:colOff>
      <xdr:row>73</xdr:row>
      <xdr:rowOff>127065</xdr:rowOff>
    </xdr:from>
    <xdr:to>
      <xdr:col>32</xdr:col>
      <xdr:colOff>811389</xdr:colOff>
      <xdr:row>87</xdr:row>
      <xdr:rowOff>46118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6E1E99-ED32-4128-0DD4-000743E18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664520</xdr:colOff>
      <xdr:row>46</xdr:row>
      <xdr:rowOff>107360</xdr:rowOff>
    </xdr:from>
    <xdr:to>
      <xdr:col>30</xdr:col>
      <xdr:colOff>278295</xdr:colOff>
      <xdr:row>60</xdr:row>
      <xdr:rowOff>8224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AF5FB2-21AD-EB46-8786-2A8775368A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268955</xdr:colOff>
      <xdr:row>33</xdr:row>
      <xdr:rowOff>155188</xdr:rowOff>
    </xdr:from>
    <xdr:to>
      <xdr:col>33</xdr:col>
      <xdr:colOff>815056</xdr:colOff>
      <xdr:row>47</xdr:row>
      <xdr:rowOff>38632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8AD65E-219B-264A-A7E5-2E4E3F77C1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91502-6407-984A-BE1E-2200D539509B}">
  <dimension ref="B3:V95"/>
  <sheetViews>
    <sheetView topLeftCell="A45" workbookViewId="0">
      <selection activeCell="O62" sqref="O62"/>
    </sheetView>
  </sheetViews>
  <sheetFormatPr baseColWidth="10" defaultColWidth="11" defaultRowHeight="16" x14ac:dyDescent="0.2"/>
  <cols>
    <col min="2" max="2" width="15.1640625" customWidth="1"/>
    <col min="4" max="4" width="13.83203125" customWidth="1"/>
    <col min="5" max="5" width="15.83203125" customWidth="1"/>
    <col min="6" max="6" width="12.1640625" bestFit="1" customWidth="1"/>
    <col min="7" max="7" width="16.33203125" customWidth="1"/>
    <col min="8" max="8" width="13" customWidth="1"/>
    <col min="9" max="9" width="12.6640625" customWidth="1"/>
    <col min="12" max="12" width="15.1640625" customWidth="1"/>
    <col min="14" max="14" width="15.1640625" customWidth="1"/>
    <col min="21" max="21" width="13.1640625" customWidth="1"/>
  </cols>
  <sheetData>
    <row r="3" spans="2:21" x14ac:dyDescent="0.2">
      <c r="B3" t="s">
        <v>0</v>
      </c>
      <c r="G3" t="s">
        <v>1</v>
      </c>
      <c r="Q3" s="1"/>
      <c r="R3" s="1" t="s">
        <v>2</v>
      </c>
      <c r="S3" s="1" t="s">
        <v>3</v>
      </c>
      <c r="T3" s="1"/>
      <c r="U3" s="1" t="s">
        <v>4</v>
      </c>
    </row>
    <row r="4" spans="2:21" ht="17" thickBot="1" x14ac:dyDescent="0.25">
      <c r="L4" s="1"/>
      <c r="M4" s="2" t="s">
        <v>5</v>
      </c>
      <c r="N4" s="2" t="s">
        <v>6</v>
      </c>
      <c r="O4" s="2" t="s">
        <v>7</v>
      </c>
      <c r="Q4" s="1" t="s">
        <v>8</v>
      </c>
      <c r="R4" s="1">
        <v>0.19500000000000001</v>
      </c>
      <c r="S4" s="1">
        <f>PI()*(R4/2)^2</f>
        <v>2.9864765163187975E-2</v>
      </c>
      <c r="T4" s="1"/>
      <c r="U4" s="1">
        <v>0.14000000000000001</v>
      </c>
    </row>
    <row r="5" spans="2:21" x14ac:dyDescent="0.2">
      <c r="B5" s="5" t="s">
        <v>9</v>
      </c>
      <c r="C5" s="5" t="s">
        <v>10</v>
      </c>
      <c r="D5" s="5" t="s">
        <v>11</v>
      </c>
      <c r="E5" s="5" t="s">
        <v>12</v>
      </c>
      <c r="G5" s="7" t="s">
        <v>13</v>
      </c>
      <c r="H5" s="8" t="s">
        <v>14</v>
      </c>
      <c r="I5" s="9" t="s">
        <v>15</v>
      </c>
      <c r="K5" s="1"/>
      <c r="L5" s="2" t="s">
        <v>9</v>
      </c>
      <c r="M5" s="2">
        <v>1.6</v>
      </c>
      <c r="N5" s="2">
        <v>3.85</v>
      </c>
      <c r="O5" s="2">
        <v>6.05</v>
      </c>
      <c r="Q5" s="1" t="s">
        <v>16</v>
      </c>
      <c r="R5" s="1">
        <v>8.0499999999999999E-3</v>
      </c>
      <c r="S5" s="1">
        <f>PI()*(R5/2)^2</f>
        <v>5.0895764483563144E-5</v>
      </c>
      <c r="T5" s="1"/>
      <c r="U5" s="1"/>
    </row>
    <row r="6" spans="2:21" ht="17" thickBot="1" x14ac:dyDescent="0.25">
      <c r="B6" s="5">
        <v>195</v>
      </c>
      <c r="C6" s="5">
        <f>B6/2</f>
        <v>97.5</v>
      </c>
      <c r="D6" s="5">
        <f>PI()*C6^2</f>
        <v>29864.765163187971</v>
      </c>
      <c r="E6" s="6"/>
      <c r="G6" s="10">
        <v>1</v>
      </c>
      <c r="H6" s="11">
        <f>G6/1000</f>
        <v>1E-3</v>
      </c>
      <c r="I6" s="12" t="s">
        <v>17</v>
      </c>
      <c r="K6" s="1"/>
      <c r="L6" s="2" t="s">
        <v>18</v>
      </c>
      <c r="M6" s="2">
        <f>M5/1000</f>
        <v>1.6000000000000001E-3</v>
      </c>
      <c r="N6" s="2">
        <f t="shared" ref="N6:O6" si="0">N5/1000</f>
        <v>3.8500000000000001E-3</v>
      </c>
      <c r="O6" s="2">
        <f t="shared" si="0"/>
        <v>6.0499999999999998E-3</v>
      </c>
      <c r="R6" t="s">
        <v>19</v>
      </c>
    </row>
    <row r="7" spans="2:21" x14ac:dyDescent="0.2">
      <c r="B7" t="s">
        <v>20</v>
      </c>
      <c r="L7" s="2" t="s">
        <v>11</v>
      </c>
      <c r="M7" s="2">
        <f>PI()*(M5/2)^2</f>
        <v>2.0106192982974678</v>
      </c>
      <c r="N7" s="2">
        <f t="shared" ref="N7:O7" si="1">PI()*(N5/2)^2</f>
        <v>11.641564276958679</v>
      </c>
      <c r="O7" s="2">
        <f t="shared" si="1"/>
        <v>28.747536275755099</v>
      </c>
    </row>
    <row r="8" spans="2:21" x14ac:dyDescent="0.2">
      <c r="L8" s="2" t="s">
        <v>21</v>
      </c>
      <c r="M8" s="2">
        <f>PI()*(M6/2)^2</f>
        <v>2.0106192982974676E-6</v>
      </c>
      <c r="N8" s="2">
        <f t="shared" ref="N8:O8" si="2">PI()*(N6/2)^2</f>
        <v>1.1641564276958678E-5</v>
      </c>
      <c r="O8" s="2">
        <f t="shared" si="2"/>
        <v>2.87475362757551E-5</v>
      </c>
    </row>
    <row r="9" spans="2:21" x14ac:dyDescent="0.2">
      <c r="B9" s="2" t="s">
        <v>18</v>
      </c>
      <c r="C9" s="2" t="s">
        <v>22</v>
      </c>
      <c r="D9" s="2" t="s">
        <v>21</v>
      </c>
      <c r="E9" s="2" t="s">
        <v>23</v>
      </c>
    </row>
    <row r="10" spans="2:21" x14ac:dyDescent="0.2">
      <c r="B10" s="2">
        <f>B6/1000</f>
        <v>0.19500000000000001</v>
      </c>
      <c r="C10" s="2">
        <f>B10/2</f>
        <v>9.7500000000000003E-2</v>
      </c>
      <c r="D10" s="2">
        <f>PI()*C10^2</f>
        <v>2.9864765163187975E-2</v>
      </c>
      <c r="E10" s="2">
        <f>E6/1000</f>
        <v>0</v>
      </c>
      <c r="H10" s="1" t="s">
        <v>24</v>
      </c>
      <c r="N10" t="s">
        <v>25</v>
      </c>
      <c r="O10" t="s">
        <v>26</v>
      </c>
    </row>
    <row r="11" spans="2:21" x14ac:dyDescent="0.2">
      <c r="H11">
        <f>0.15*D10</f>
        <v>4.4797147744781961E-3</v>
      </c>
      <c r="I11" t="s">
        <v>27</v>
      </c>
    </row>
    <row r="14" spans="2:21" x14ac:dyDescent="0.2">
      <c r="G14" s="1" t="s">
        <v>28</v>
      </c>
      <c r="H14" s="1">
        <v>0.14000000000000001</v>
      </c>
    </row>
    <row r="15" spans="2:21" x14ac:dyDescent="0.2">
      <c r="E15" s="4" t="s">
        <v>29</v>
      </c>
      <c r="G15" t="s">
        <v>30</v>
      </c>
      <c r="H15" t="s">
        <v>31</v>
      </c>
      <c r="I15" t="s">
        <v>32</v>
      </c>
    </row>
    <row r="18" spans="2:21" x14ac:dyDescent="0.2">
      <c r="C18" s="1"/>
      <c r="D18" s="1" t="s">
        <v>33</v>
      </c>
      <c r="E18" s="1" t="s">
        <v>34</v>
      </c>
      <c r="J18" s="1"/>
      <c r="K18" s="1" t="s">
        <v>33</v>
      </c>
      <c r="L18" s="1" t="s">
        <v>34</v>
      </c>
      <c r="Q18" s="1"/>
      <c r="R18" s="1" t="s">
        <v>33</v>
      </c>
      <c r="S18" s="1" t="s">
        <v>34</v>
      </c>
    </row>
    <row r="19" spans="2:21" x14ac:dyDescent="0.2">
      <c r="C19" s="1" t="s">
        <v>5</v>
      </c>
      <c r="D19" s="1">
        <f>$M$6</f>
        <v>1.6000000000000001E-3</v>
      </c>
      <c r="E19" s="1">
        <f>$B$10</f>
        <v>0.19500000000000001</v>
      </c>
      <c r="J19" s="1" t="s">
        <v>6</v>
      </c>
      <c r="K19" s="1">
        <f>$N$6</f>
        <v>3.8500000000000001E-3</v>
      </c>
      <c r="L19" s="1">
        <f>$B$10</f>
        <v>0.19500000000000001</v>
      </c>
      <c r="Q19" s="1" t="s">
        <v>7</v>
      </c>
      <c r="R19" s="1">
        <f>$O$6</f>
        <v>6.0499999999999998E-3</v>
      </c>
      <c r="S19" s="1">
        <f>$B$10</f>
        <v>0.19500000000000001</v>
      </c>
    </row>
    <row r="20" spans="2:21" x14ac:dyDescent="0.2">
      <c r="B20" s="1"/>
      <c r="I20" s="1"/>
      <c r="P20" s="1"/>
    </row>
    <row r="21" spans="2:21" x14ac:dyDescent="0.2">
      <c r="B21" s="1"/>
      <c r="I21" s="1"/>
      <c r="P21" s="1"/>
    </row>
    <row r="22" spans="2:21" x14ac:dyDescent="0.2">
      <c r="B22" s="4" t="s">
        <v>35</v>
      </c>
      <c r="E22" s="4" t="s">
        <v>36</v>
      </c>
      <c r="I22" s="4" t="s">
        <v>35</v>
      </c>
      <c r="L22" s="4" t="s">
        <v>36</v>
      </c>
      <c r="P22" s="4" t="s">
        <v>35</v>
      </c>
      <c r="S22" s="4" t="s">
        <v>36</v>
      </c>
    </row>
    <row r="25" spans="2:21" x14ac:dyDescent="0.2">
      <c r="B25" s="2" t="s">
        <v>15</v>
      </c>
      <c r="C25" s="2" t="s">
        <v>37</v>
      </c>
      <c r="E25" s="2" t="s">
        <v>15</v>
      </c>
      <c r="F25" s="2" t="s">
        <v>37</v>
      </c>
      <c r="G25" s="2"/>
      <c r="I25" s="2" t="s">
        <v>15</v>
      </c>
      <c r="J25" s="2" t="s">
        <v>37</v>
      </c>
      <c r="L25" s="2" t="s">
        <v>15</v>
      </c>
      <c r="M25" s="2" t="s">
        <v>37</v>
      </c>
      <c r="N25" s="2"/>
      <c r="P25" s="2" t="s">
        <v>15</v>
      </c>
      <c r="Q25" s="2" t="s">
        <v>37</v>
      </c>
      <c r="S25" s="2" t="s">
        <v>15</v>
      </c>
      <c r="T25" s="2" t="s">
        <v>37</v>
      </c>
      <c r="U25" s="15"/>
    </row>
    <row r="26" spans="2:21" x14ac:dyDescent="0.2">
      <c r="B26" s="2">
        <v>0</v>
      </c>
      <c r="C26" s="2">
        <v>0.14000000000000001</v>
      </c>
      <c r="E26" s="2">
        <f t="shared" ref="E26:E39" si="3">B26</f>
        <v>0</v>
      </c>
      <c r="F26" s="2">
        <f t="shared" ref="F26:F39" si="4">$H$14-($M$6^2/$B$10^2)*SQRT(2*9.81*$H$14)*E26+((($M$6^2/$B$10^2)^2)*(9.81/2)*E26^2)</f>
        <v>0.14000000000000001</v>
      </c>
      <c r="G26" s="3"/>
      <c r="I26" s="2">
        <v>0</v>
      </c>
      <c r="J26" s="2">
        <v>0.14000000000000001</v>
      </c>
      <c r="L26" s="2">
        <f t="shared" ref="L26:L39" si="5">I26</f>
        <v>0</v>
      </c>
      <c r="M26" s="2">
        <f>$H$14-($N$6^2/$B$10^2)*SQRT(2*9.81*$H$14)*L26+((($N$6^2/$B$10^2)^2)*(9.81/2)*L26^2)</f>
        <v>0.14000000000000001</v>
      </c>
      <c r="N26" s="3"/>
      <c r="P26" s="2">
        <v>0</v>
      </c>
      <c r="Q26" s="2">
        <v>0.14000000000000001</v>
      </c>
      <c r="S26" s="2">
        <f t="shared" ref="S26:S39" si="6">P26</f>
        <v>0</v>
      </c>
      <c r="T26" s="2">
        <f>$H$14-($M$6^2/$B$10^2)*SQRT(2*9.81*$H$14)*S26+((($M$6^2/$B$10^2)^2)*(9.81/2)*S26^2)</f>
        <v>0.14000000000000001</v>
      </c>
      <c r="U26" s="3">
        <f>$U$4-((($R$5^2)/($R$4^2))*SQRT(2*9.81*$U$4)*S26)+(((($R$5^2)/($R$4^2))^2)*9.81*0.5*S26^2)</f>
        <v>0.14000000000000001</v>
      </c>
    </row>
    <row r="27" spans="2:21" x14ac:dyDescent="0.2">
      <c r="B27" s="2">
        <v>22.02</v>
      </c>
      <c r="C27" s="2">
        <v>0.13</v>
      </c>
      <c r="E27" s="2">
        <f t="shared" si="3"/>
        <v>22.02</v>
      </c>
      <c r="F27" s="2">
        <f>$H$14-($M$6^2/$B$10^2)*SQRT(2*9.81*$H$14)*E27+((($M$6^2/$B$10^2)^2)*(9.81/2)*E27^2)</f>
        <v>0.13755380016278795</v>
      </c>
      <c r="G27" s="3"/>
      <c r="I27" s="2">
        <v>7.91</v>
      </c>
      <c r="J27" s="2">
        <v>0.13</v>
      </c>
      <c r="L27" s="2">
        <f t="shared" si="5"/>
        <v>7.91</v>
      </c>
      <c r="M27" s="2">
        <f>$H$14-($N$6^2/$B$10^2)*SQRT(2*9.81*$H$14)*L27+((($N$6^2/$B$10^2)^2)*(9.81/2)*L27^2)</f>
        <v>0.13493638224691476</v>
      </c>
      <c r="N27" s="3"/>
      <c r="P27" s="2">
        <v>3.58</v>
      </c>
      <c r="Q27" s="2">
        <v>0.13</v>
      </c>
      <c r="S27" s="2">
        <f t="shared" si="6"/>
        <v>3.58</v>
      </c>
      <c r="T27" s="2">
        <f>$H$14-(($O$6^2)/($B$10^2))*SQRT(2*9.81*$H$14)*S27 + (($O$6^4)/($B$10^4))*(9.81/2)*(S27^2)</f>
        <v>0.1343469081921484</v>
      </c>
      <c r="U27" s="3">
        <f t="shared" ref="U27:U39" si="7">$U$4-((($R$5^2)/($R$4^2))*SQRT(2*9.81*$U$4)*S27)+(((($R$5^2)/($R$4^2))^2)*9.81*0.5*S27^2)</f>
        <v>0.1300709972741789</v>
      </c>
    </row>
    <row r="28" spans="2:21" x14ac:dyDescent="0.2">
      <c r="B28" s="2">
        <v>47.45</v>
      </c>
      <c r="C28" s="2">
        <v>0.12</v>
      </c>
      <c r="E28" s="2">
        <f t="shared" si="3"/>
        <v>47.45</v>
      </c>
      <c r="F28" s="2">
        <f t="shared" si="4"/>
        <v>0.13475561017140567</v>
      </c>
      <c r="G28" s="3"/>
      <c r="I28" s="2">
        <v>17.18</v>
      </c>
      <c r="J28" s="2">
        <v>0.12</v>
      </c>
      <c r="L28" s="2">
        <f t="shared" si="5"/>
        <v>17.18</v>
      </c>
      <c r="M28" s="2">
        <f t="shared" ref="M28:M39" si="8">$H$14-($N$6^2/$B$10^2)*SQRT(2*9.81*$H$14)*L28+((($N$6^2/$B$10^2)^2)*(9.81/2)*L28^2)</f>
        <v>0.12912085393388681</v>
      </c>
      <c r="N28" s="3"/>
      <c r="P28" s="2">
        <v>7.56</v>
      </c>
      <c r="Q28" s="2">
        <v>0.12</v>
      </c>
      <c r="S28" s="2">
        <f t="shared" si="6"/>
        <v>7.56</v>
      </c>
      <c r="T28" s="2">
        <f t="shared" ref="T28:T38" si="9">$H$14-(($O$6^2)/($B$10^2))*SQRT(2*9.81*$H$14)*S28 + (($O$6^4)/($B$10^4))*(9.81/2)*(S28^2)</f>
        <v>0.12819893588794859</v>
      </c>
      <c r="U28" s="3">
        <f t="shared" si="7"/>
        <v>0.11946124507670737</v>
      </c>
    </row>
    <row r="29" spans="2:21" x14ac:dyDescent="0.2">
      <c r="B29" s="2">
        <v>71.86</v>
      </c>
      <c r="C29" s="2">
        <v>0.11</v>
      </c>
      <c r="E29" s="2">
        <f t="shared" si="3"/>
        <v>71.86</v>
      </c>
      <c r="F29" s="2">
        <f t="shared" si="4"/>
        <v>0.13209670332663401</v>
      </c>
      <c r="G29" s="3"/>
      <c r="I29" s="2">
        <v>26.09</v>
      </c>
      <c r="J29" s="2">
        <v>0.11</v>
      </c>
      <c r="L29" s="2">
        <f t="shared" si="5"/>
        <v>26.09</v>
      </c>
      <c r="M29" s="2">
        <f t="shared" si="8"/>
        <v>0.12365190134350143</v>
      </c>
      <c r="N29" s="3"/>
      <c r="P29" s="2">
        <v>11.4</v>
      </c>
      <c r="Q29" s="2">
        <v>0.11</v>
      </c>
      <c r="S29" s="2">
        <f t="shared" si="6"/>
        <v>11.4</v>
      </c>
      <c r="T29" s="2">
        <f t="shared" si="9"/>
        <v>0.12240370109672508</v>
      </c>
      <c r="U29" s="3">
        <f t="shared" si="7"/>
        <v>0.10965248180815945</v>
      </c>
    </row>
    <row r="30" spans="2:21" x14ac:dyDescent="0.2">
      <c r="B30" s="2">
        <v>109.42</v>
      </c>
      <c r="C30" s="2">
        <v>0.1</v>
      </c>
      <c r="E30" s="2">
        <f t="shared" si="3"/>
        <v>109.42</v>
      </c>
      <c r="F30" s="2">
        <f t="shared" si="4"/>
        <v>0.12805715437784224</v>
      </c>
      <c r="G30" s="3"/>
      <c r="I30" s="2">
        <v>36.479999999999997</v>
      </c>
      <c r="J30" s="2">
        <v>0.1</v>
      </c>
      <c r="L30" s="2">
        <f t="shared" si="5"/>
        <v>36.479999999999997</v>
      </c>
      <c r="M30" s="2">
        <f t="shared" si="8"/>
        <v>0.11742398267931842</v>
      </c>
      <c r="N30" s="3"/>
      <c r="P30" s="2">
        <v>15.61</v>
      </c>
      <c r="Q30" s="2">
        <v>0.1</v>
      </c>
      <c r="S30" s="2">
        <f t="shared" si="6"/>
        <v>15.61</v>
      </c>
      <c r="T30" s="2">
        <f t="shared" si="9"/>
        <v>0.116204099415932</v>
      </c>
      <c r="U30" s="3">
        <f t="shared" si="7"/>
        <v>9.9381397550893077E-2</v>
      </c>
    </row>
    <row r="31" spans="2:21" x14ac:dyDescent="0.2">
      <c r="B31" s="2">
        <v>127.08</v>
      </c>
      <c r="C31" s="2">
        <v>0.09</v>
      </c>
      <c r="E31" s="2">
        <f t="shared" si="3"/>
        <v>127.08</v>
      </c>
      <c r="F31" s="2">
        <f t="shared" si="4"/>
        <v>0.12617951545253672</v>
      </c>
      <c r="G31" s="3"/>
      <c r="I31" s="2">
        <v>46.89</v>
      </c>
      <c r="J31" s="2">
        <v>0.09</v>
      </c>
      <c r="L31" s="2">
        <f t="shared" si="5"/>
        <v>46.89</v>
      </c>
      <c r="M31" s="2">
        <f t="shared" si="8"/>
        <v>0.11134545863369305</v>
      </c>
      <c r="N31" s="3"/>
      <c r="P31" s="2">
        <v>19.62</v>
      </c>
      <c r="Q31" s="2">
        <v>0.09</v>
      </c>
      <c r="S31" s="2">
        <f t="shared" si="6"/>
        <v>19.62</v>
      </c>
      <c r="T31" s="2">
        <f t="shared" si="9"/>
        <v>0.1104488247504444</v>
      </c>
      <c r="U31" s="3">
        <f t="shared" si="7"/>
        <v>9.0067820717841668E-2</v>
      </c>
    </row>
    <row r="32" spans="2:21" x14ac:dyDescent="0.2">
      <c r="B32" s="2">
        <v>158.76</v>
      </c>
      <c r="C32" s="2">
        <v>0.08</v>
      </c>
      <c r="E32" s="2">
        <f t="shared" si="3"/>
        <v>158.76</v>
      </c>
      <c r="F32" s="2">
        <f t="shared" si="4"/>
        <v>0.12284599891718176</v>
      </c>
      <c r="G32" s="3"/>
      <c r="I32" s="2">
        <v>58.38</v>
      </c>
      <c r="J32" s="2">
        <v>0.08</v>
      </c>
      <c r="L32" s="2">
        <f t="shared" si="5"/>
        <v>58.38</v>
      </c>
      <c r="M32" s="2">
        <f t="shared" si="8"/>
        <v>0.10482385553813203</v>
      </c>
      <c r="N32" s="3"/>
      <c r="P32" s="2">
        <v>24.28</v>
      </c>
      <c r="Q32" s="2">
        <v>0.08</v>
      </c>
      <c r="S32" s="2">
        <f t="shared" si="6"/>
        <v>24.28</v>
      </c>
      <c r="T32" s="2">
        <f t="shared" si="9"/>
        <v>0.10394427320173591</v>
      </c>
      <c r="U32" s="3">
        <f t="shared" si="7"/>
        <v>7.9820119863914712E-2</v>
      </c>
    </row>
    <row r="33" spans="2:21" x14ac:dyDescent="0.2">
      <c r="B33" s="2">
        <v>189.58</v>
      </c>
      <c r="C33" s="2">
        <v>7.0000000000000007E-2</v>
      </c>
      <c r="E33" s="2">
        <f t="shared" si="3"/>
        <v>189.58</v>
      </c>
      <c r="F33" s="2">
        <f t="shared" si="4"/>
        <v>0.11964580015417965</v>
      </c>
      <c r="G33" s="3"/>
      <c r="I33" s="2">
        <v>70.58</v>
      </c>
      <c r="J33" s="2">
        <v>7.0000000000000007E-2</v>
      </c>
      <c r="L33" s="2">
        <f t="shared" si="5"/>
        <v>70.58</v>
      </c>
      <c r="M33" s="2">
        <f t="shared" si="8"/>
        <v>9.8114675161031464E-2</v>
      </c>
      <c r="N33" s="3"/>
      <c r="P33" s="2">
        <v>29.26</v>
      </c>
      <c r="Q33" s="2">
        <v>7.0000000000000007E-2</v>
      </c>
      <c r="S33" s="2">
        <f t="shared" si="6"/>
        <v>29.26</v>
      </c>
      <c r="T33" s="2">
        <f t="shared" si="9"/>
        <v>9.7211243953274781E-2</v>
      </c>
      <c r="U33" s="3">
        <f t="shared" si="7"/>
        <v>6.9552610861438227E-2</v>
      </c>
    </row>
    <row r="34" spans="2:21" x14ac:dyDescent="0.2">
      <c r="B34" s="2">
        <v>225.94</v>
      </c>
      <c r="C34" s="2">
        <v>0.06</v>
      </c>
      <c r="E34" s="2">
        <f t="shared" si="3"/>
        <v>225.94</v>
      </c>
      <c r="F34" s="2">
        <f t="shared" si="4"/>
        <v>0.11592466033014696</v>
      </c>
      <c r="G34" s="3"/>
      <c r="I34" s="2">
        <v>84.7</v>
      </c>
      <c r="J34" s="2">
        <v>0.06</v>
      </c>
      <c r="L34" s="2">
        <f t="shared" si="5"/>
        <v>84.7</v>
      </c>
      <c r="M34" s="2">
        <f t="shared" si="8"/>
        <v>9.0626613758251429E-2</v>
      </c>
      <c r="N34" s="3"/>
      <c r="P34" s="2">
        <v>34.26</v>
      </c>
      <c r="Q34" s="2">
        <v>0.06</v>
      </c>
      <c r="S34" s="2">
        <f t="shared" si="6"/>
        <v>34.26</v>
      </c>
      <c r="T34" s="2">
        <f t="shared" si="9"/>
        <v>9.0677963752798338E-2</v>
      </c>
      <c r="U34" s="3">
        <f t="shared" si="7"/>
        <v>5.9954727793346041E-2</v>
      </c>
    </row>
    <row r="35" spans="2:21" x14ac:dyDescent="0.2">
      <c r="B35" s="2">
        <v>263.17</v>
      </c>
      <c r="C35" s="2">
        <v>0.05</v>
      </c>
      <c r="E35" s="2">
        <f t="shared" si="3"/>
        <v>263.17</v>
      </c>
      <c r="F35" s="2">
        <f t="shared" si="4"/>
        <v>0.11217539385615954</v>
      </c>
      <c r="G35" s="3"/>
      <c r="I35" s="2">
        <v>98.82</v>
      </c>
      <c r="J35" s="2">
        <v>0.05</v>
      </c>
      <c r="L35" s="2">
        <f t="shared" si="5"/>
        <v>98.82</v>
      </c>
      <c r="M35" s="2">
        <f t="shared" si="8"/>
        <v>8.3435748296273732E-2</v>
      </c>
      <c r="N35" s="3"/>
      <c r="P35" s="2">
        <v>40.020000000000003</v>
      </c>
      <c r="Q35" s="2">
        <v>0.05</v>
      </c>
      <c r="S35" s="2">
        <f t="shared" si="6"/>
        <v>40.020000000000003</v>
      </c>
      <c r="T35" s="2">
        <f t="shared" si="9"/>
        <v>8.3433305485631729E-2</v>
      </c>
      <c r="U35" s="3">
        <f t="shared" si="7"/>
        <v>4.9780881391771101E-2</v>
      </c>
    </row>
    <row r="36" spans="2:21" x14ac:dyDescent="0.2">
      <c r="B36" s="2">
        <v>307.7</v>
      </c>
      <c r="C36" s="2">
        <v>0.04</v>
      </c>
      <c r="E36" s="2">
        <f t="shared" si="3"/>
        <v>307.7</v>
      </c>
      <c r="F36" s="2">
        <f t="shared" si="4"/>
        <v>0.10777191911992209</v>
      </c>
      <c r="G36" s="3"/>
      <c r="I36" s="2">
        <v>115.58</v>
      </c>
      <c r="J36" s="2">
        <v>0.04</v>
      </c>
      <c r="L36" s="2">
        <f t="shared" si="5"/>
        <v>115.58</v>
      </c>
      <c r="M36" s="2">
        <f t="shared" si="8"/>
        <v>7.5286155172221592E-2</v>
      </c>
      <c r="N36" s="3"/>
      <c r="P36" s="2">
        <v>46.71</v>
      </c>
      <c r="Q36" s="2">
        <v>0.04</v>
      </c>
      <c r="S36" s="2">
        <f t="shared" si="6"/>
        <v>46.71</v>
      </c>
      <c r="T36" s="2">
        <f t="shared" si="9"/>
        <v>7.5397481786409093E-2</v>
      </c>
      <c r="U36" s="3">
        <f t="shared" si="7"/>
        <v>3.9150914984146905E-2</v>
      </c>
    </row>
    <row r="37" spans="2:21" x14ac:dyDescent="0.2">
      <c r="B37" s="2">
        <v>359.67</v>
      </c>
      <c r="C37" s="2">
        <v>0.03</v>
      </c>
      <c r="E37" s="2">
        <f t="shared" si="3"/>
        <v>359.67</v>
      </c>
      <c r="F37" s="2">
        <f t="shared" si="4"/>
        <v>0.10274421530258269</v>
      </c>
      <c r="G37" s="3"/>
      <c r="I37" s="2">
        <v>134.29</v>
      </c>
      <c r="J37" s="2">
        <v>0.03</v>
      </c>
      <c r="L37" s="2">
        <f t="shared" si="5"/>
        <v>134.29</v>
      </c>
      <c r="M37" s="2">
        <f t="shared" si="8"/>
        <v>6.6682997260739896E-2</v>
      </c>
      <c r="N37" s="3"/>
      <c r="P37" s="2">
        <v>53.84</v>
      </c>
      <c r="Q37" s="2">
        <v>0.03</v>
      </c>
      <c r="S37" s="2">
        <f t="shared" si="6"/>
        <v>53.84</v>
      </c>
      <c r="T37" s="2">
        <f t="shared" si="9"/>
        <v>6.7280980179505762E-2</v>
      </c>
      <c r="U37" s="3">
        <f t="shared" si="7"/>
        <v>2.9225541542562308E-2</v>
      </c>
    </row>
    <row r="38" spans="2:21" x14ac:dyDescent="0.2">
      <c r="B38" s="2">
        <v>434.48</v>
      </c>
      <c r="C38" s="2">
        <v>0.02</v>
      </c>
      <c r="E38" s="2">
        <f t="shared" si="3"/>
        <v>434.48</v>
      </c>
      <c r="F38" s="2">
        <f t="shared" si="4"/>
        <v>9.5717772898867265E-2</v>
      </c>
      <c r="G38" s="3"/>
      <c r="I38" s="2">
        <v>159.97</v>
      </c>
      <c r="J38" s="2">
        <v>0.02</v>
      </c>
      <c r="L38" s="2">
        <f t="shared" si="5"/>
        <v>159.97</v>
      </c>
      <c r="M38" s="2">
        <f t="shared" si="8"/>
        <v>5.5724539514120923E-2</v>
      </c>
      <c r="N38" s="3"/>
      <c r="P38" s="2">
        <v>64.430000000000007</v>
      </c>
      <c r="Q38" s="2">
        <v>0.02</v>
      </c>
      <c r="S38" s="2">
        <f t="shared" si="6"/>
        <v>64.430000000000007</v>
      </c>
      <c r="T38" s="2">
        <f t="shared" si="9"/>
        <v>5.6078623340965847E-2</v>
      </c>
      <c r="U38" s="3">
        <f>$U$4-((($R$5^2)/($R$4^2))*SQRT(2*9.81*$U$4)*S38)+(((($R$5^2)/($R$4^2))^2)*9.81*0.5*S38^2)</f>
        <v>1.7156923259312527E-2</v>
      </c>
    </row>
    <row r="39" spans="2:21" x14ac:dyDescent="0.2">
      <c r="B39" s="2">
        <v>522.83000000000004</v>
      </c>
      <c r="C39" s="2">
        <v>0.01</v>
      </c>
      <c r="E39" s="2">
        <f t="shared" si="3"/>
        <v>522.83000000000004</v>
      </c>
      <c r="F39" s="2">
        <f t="shared" si="4"/>
        <v>8.7740081577419513E-2</v>
      </c>
      <c r="G39" s="3"/>
      <c r="I39" s="2">
        <v>195.42</v>
      </c>
      <c r="J39" s="2">
        <v>0.01</v>
      </c>
      <c r="L39" s="2">
        <f t="shared" si="5"/>
        <v>195.42</v>
      </c>
      <c r="M39" s="2">
        <f t="shared" si="8"/>
        <v>4.221207241966294E-2</v>
      </c>
      <c r="N39" s="3"/>
      <c r="P39" s="2">
        <v>75.14</v>
      </c>
      <c r="Q39" s="2">
        <v>0.01</v>
      </c>
      <c r="S39" s="2">
        <f t="shared" si="6"/>
        <v>75.14</v>
      </c>
      <c r="T39" s="2">
        <f>$H$14-(($O$6^2)/($B$10^2))*SQRT(2*9.81*$H$14)*S39 + (($O$6^4)/($B$10^4))*(9.81/2)*(S39^2)</f>
        <v>4.578611842507474E-2</v>
      </c>
      <c r="U39" s="3">
        <f t="shared" si="7"/>
        <v>8.2013241114973767E-3</v>
      </c>
    </row>
    <row r="40" spans="2:21" x14ac:dyDescent="0.2">
      <c r="B40" s="2"/>
      <c r="E40" s="2"/>
      <c r="F40" s="2"/>
      <c r="G40" s="3"/>
      <c r="I40" s="2"/>
      <c r="L40" s="2"/>
      <c r="M40" s="2"/>
      <c r="N40" s="3"/>
      <c r="P40" s="2"/>
      <c r="S40" s="2"/>
      <c r="T40" s="2"/>
      <c r="U40" s="3"/>
    </row>
    <row r="41" spans="2:21" x14ac:dyDescent="0.2">
      <c r="B41" s="2"/>
      <c r="C41" s="2"/>
      <c r="E41" s="2"/>
      <c r="F41" s="2"/>
      <c r="G41" s="3"/>
      <c r="I41" s="2"/>
      <c r="J41" s="2">
        <v>0</v>
      </c>
      <c r="L41" s="2"/>
      <c r="M41" s="2"/>
      <c r="N41" s="3"/>
      <c r="P41" s="2"/>
      <c r="Q41" s="2"/>
      <c r="S41" s="2"/>
      <c r="T41" s="2"/>
      <c r="U41" s="3"/>
    </row>
    <row r="42" spans="2:21" x14ac:dyDescent="0.2">
      <c r="B42" s="1"/>
      <c r="C42" s="1"/>
      <c r="E42" s="1"/>
      <c r="F42" s="1"/>
      <c r="H42" s="1"/>
      <c r="I42" s="1"/>
      <c r="K42" s="1"/>
      <c r="L42" s="1"/>
    </row>
    <row r="43" spans="2:21" x14ac:dyDescent="0.2">
      <c r="B43" s="1"/>
      <c r="C43" s="1"/>
      <c r="E43" s="1"/>
      <c r="F43" s="1"/>
      <c r="H43" s="1"/>
      <c r="I43" s="1"/>
      <c r="K43" s="1"/>
      <c r="L43" s="1"/>
    </row>
    <row r="44" spans="2:21" x14ac:dyDescent="0.2">
      <c r="B44" s="2" t="s">
        <v>15</v>
      </c>
      <c r="C44" s="2" t="s">
        <v>38</v>
      </c>
      <c r="D44" s="2" t="s">
        <v>39</v>
      </c>
      <c r="E44" s="1"/>
      <c r="H44" s="1"/>
      <c r="I44" s="1"/>
      <c r="J44" s="2" t="s">
        <v>15</v>
      </c>
      <c r="K44" s="2" t="s">
        <v>40</v>
      </c>
      <c r="L44" s="2" t="s">
        <v>39</v>
      </c>
      <c r="S44" s="2" t="s">
        <v>15</v>
      </c>
      <c r="T44" s="2" t="s">
        <v>40</v>
      </c>
      <c r="U44" s="2" t="s">
        <v>39</v>
      </c>
    </row>
    <row r="45" spans="2:21" x14ac:dyDescent="0.2">
      <c r="B45" s="2">
        <f>B26</f>
        <v>0</v>
      </c>
      <c r="C45" s="2">
        <f>C26*100</f>
        <v>14.000000000000002</v>
      </c>
      <c r="D45" s="2">
        <f>F26*100</f>
        <v>14.000000000000002</v>
      </c>
      <c r="E45" s="1"/>
      <c r="H45" s="1"/>
      <c r="I45" s="1"/>
      <c r="J45" s="2">
        <v>0</v>
      </c>
      <c r="K45" s="2">
        <f>J26*100</f>
        <v>14.000000000000002</v>
      </c>
      <c r="L45" s="2">
        <f>M26*100</f>
        <v>14.000000000000002</v>
      </c>
      <c r="S45" s="2">
        <v>0</v>
      </c>
      <c r="T45" s="2">
        <f>Q26*100</f>
        <v>14.000000000000002</v>
      </c>
      <c r="U45" s="2">
        <f>T26*100</f>
        <v>14.000000000000002</v>
      </c>
    </row>
    <row r="46" spans="2:21" x14ac:dyDescent="0.2">
      <c r="B46" s="2">
        <v>22</v>
      </c>
      <c r="C46" s="2">
        <f t="shared" ref="C46:C58" si="10">C27*100</f>
        <v>13</v>
      </c>
      <c r="D46" s="2">
        <f t="shared" ref="D46:D58" si="11">F27*100</f>
        <v>13.755380016278796</v>
      </c>
      <c r="E46" s="1"/>
      <c r="H46" s="1"/>
      <c r="I46" s="1"/>
      <c r="J46" s="2">
        <v>7.9</v>
      </c>
      <c r="K46" s="2">
        <f t="shared" ref="K46:K58" si="12">J27*100</f>
        <v>13</v>
      </c>
      <c r="L46" s="2">
        <f t="shared" ref="L46:L58" si="13">M27*100</f>
        <v>13.493638224691477</v>
      </c>
      <c r="S46" s="2">
        <v>3.6</v>
      </c>
      <c r="T46" s="2">
        <f t="shared" ref="T46:T58" si="14">Q27*100</f>
        <v>13</v>
      </c>
      <c r="U46" s="2">
        <f t="shared" ref="U46:U58" si="15">T27*100</f>
        <v>13.43469081921484</v>
      </c>
    </row>
    <row r="47" spans="2:21" x14ac:dyDescent="0.2">
      <c r="B47" s="2">
        <v>47.5</v>
      </c>
      <c r="C47" s="2">
        <f t="shared" si="10"/>
        <v>12</v>
      </c>
      <c r="D47" s="2">
        <f t="shared" si="11"/>
        <v>13.475561017140567</v>
      </c>
      <c r="E47" s="1"/>
      <c r="H47" s="1"/>
      <c r="I47" s="1"/>
      <c r="J47" s="2">
        <v>17.2</v>
      </c>
      <c r="K47" s="2">
        <f t="shared" si="12"/>
        <v>12</v>
      </c>
      <c r="L47" s="2">
        <f t="shared" si="13"/>
        <v>12.912085393388681</v>
      </c>
      <c r="S47" s="2">
        <v>7.6</v>
      </c>
      <c r="T47" s="2">
        <f t="shared" si="14"/>
        <v>12</v>
      </c>
      <c r="U47" s="2">
        <f t="shared" si="15"/>
        <v>12.819893588794859</v>
      </c>
    </row>
    <row r="48" spans="2:21" x14ac:dyDescent="0.2">
      <c r="B48" s="2">
        <v>71.900000000000006</v>
      </c>
      <c r="C48" s="2">
        <f t="shared" si="10"/>
        <v>11</v>
      </c>
      <c r="D48" s="2">
        <f t="shared" si="11"/>
        <v>13.2096703326634</v>
      </c>
      <c r="E48" s="1"/>
      <c r="H48" s="1"/>
      <c r="I48" s="1"/>
      <c r="J48" s="2">
        <v>26.1</v>
      </c>
      <c r="K48" s="2">
        <f t="shared" si="12"/>
        <v>11</v>
      </c>
      <c r="L48" s="2">
        <f t="shared" si="13"/>
        <v>12.365190134350144</v>
      </c>
      <c r="S48" s="2">
        <v>11.4</v>
      </c>
      <c r="T48" s="2">
        <f t="shared" si="14"/>
        <v>11</v>
      </c>
      <c r="U48" s="2">
        <f t="shared" si="15"/>
        <v>12.240370109672508</v>
      </c>
    </row>
    <row r="49" spans="2:22" x14ac:dyDescent="0.2">
      <c r="B49" s="2">
        <v>109.4</v>
      </c>
      <c r="C49" s="2">
        <f t="shared" si="10"/>
        <v>10</v>
      </c>
      <c r="D49" s="2">
        <f t="shared" si="11"/>
        <v>12.805715437784224</v>
      </c>
      <c r="E49" s="1"/>
      <c r="H49" s="1"/>
      <c r="I49" s="1"/>
      <c r="J49" s="2">
        <v>36.5</v>
      </c>
      <c r="K49" s="2">
        <f t="shared" si="12"/>
        <v>10</v>
      </c>
      <c r="L49" s="2">
        <f t="shared" si="13"/>
        <v>11.742398267931842</v>
      </c>
      <c r="S49" s="2">
        <v>15.6</v>
      </c>
      <c r="T49" s="2">
        <f t="shared" si="14"/>
        <v>10</v>
      </c>
      <c r="U49" s="2">
        <f t="shared" si="15"/>
        <v>11.6204099415932</v>
      </c>
    </row>
    <row r="50" spans="2:22" x14ac:dyDescent="0.2">
      <c r="B50" s="2">
        <v>127.1</v>
      </c>
      <c r="C50" s="2">
        <f t="shared" si="10"/>
        <v>9</v>
      </c>
      <c r="D50" s="2">
        <f t="shared" si="11"/>
        <v>12.617951545253673</v>
      </c>
      <c r="J50" s="2">
        <v>46.9</v>
      </c>
      <c r="K50" s="2">
        <f t="shared" si="12"/>
        <v>9</v>
      </c>
      <c r="L50" s="2">
        <f t="shared" si="13"/>
        <v>11.134545863369304</v>
      </c>
      <c r="S50" s="2">
        <v>19.600000000000001</v>
      </c>
      <c r="T50" s="2">
        <f t="shared" si="14"/>
        <v>9</v>
      </c>
      <c r="U50" s="2">
        <f t="shared" si="15"/>
        <v>11.044882475044441</v>
      </c>
    </row>
    <row r="51" spans="2:22" x14ac:dyDescent="0.2">
      <c r="B51" s="2">
        <v>158.80000000000001</v>
      </c>
      <c r="C51" s="2">
        <f t="shared" si="10"/>
        <v>8</v>
      </c>
      <c r="D51" s="2">
        <f t="shared" si="11"/>
        <v>12.284599891718177</v>
      </c>
      <c r="J51" s="2">
        <v>58.4</v>
      </c>
      <c r="K51" s="2">
        <f t="shared" si="12"/>
        <v>8</v>
      </c>
      <c r="L51" s="2">
        <f t="shared" si="13"/>
        <v>10.482385553813204</v>
      </c>
      <c r="S51" s="2">
        <v>24.3</v>
      </c>
      <c r="T51" s="2">
        <f t="shared" si="14"/>
        <v>8</v>
      </c>
      <c r="U51" s="2">
        <f t="shared" si="15"/>
        <v>10.394427320173591</v>
      </c>
    </row>
    <row r="52" spans="2:22" x14ac:dyDescent="0.2">
      <c r="B52" s="2">
        <v>189.6</v>
      </c>
      <c r="C52" s="2">
        <f t="shared" si="10"/>
        <v>7.0000000000000009</v>
      </c>
      <c r="D52" s="2">
        <f t="shared" si="11"/>
        <v>11.964580015417965</v>
      </c>
      <c r="J52" s="2">
        <v>70.599999999999994</v>
      </c>
      <c r="K52" s="2">
        <f t="shared" si="12"/>
        <v>7.0000000000000009</v>
      </c>
      <c r="L52" s="2">
        <f t="shared" si="13"/>
        <v>9.8114675161031464</v>
      </c>
      <c r="S52" s="2">
        <v>29.3</v>
      </c>
      <c r="T52" s="2">
        <f t="shared" si="14"/>
        <v>7.0000000000000009</v>
      </c>
      <c r="U52" s="2">
        <f t="shared" si="15"/>
        <v>9.7211243953274789</v>
      </c>
    </row>
    <row r="53" spans="2:22" x14ac:dyDescent="0.2">
      <c r="B53" s="2">
        <v>225.9</v>
      </c>
      <c r="C53" s="2">
        <f t="shared" si="10"/>
        <v>6</v>
      </c>
      <c r="D53" s="2">
        <f t="shared" si="11"/>
        <v>11.592466033014697</v>
      </c>
      <c r="H53" s="4"/>
      <c r="J53" s="2">
        <v>84.7</v>
      </c>
      <c r="K53" s="2">
        <f t="shared" si="12"/>
        <v>6</v>
      </c>
      <c r="L53" s="2">
        <f t="shared" si="13"/>
        <v>9.0626613758251438</v>
      </c>
      <c r="S53" s="2">
        <v>34.299999999999997</v>
      </c>
      <c r="T53" s="2">
        <f t="shared" si="14"/>
        <v>6</v>
      </c>
      <c r="U53" s="2">
        <f t="shared" si="15"/>
        <v>9.0677963752798334</v>
      </c>
    </row>
    <row r="54" spans="2:22" x14ac:dyDescent="0.2">
      <c r="B54" s="2">
        <v>263.2</v>
      </c>
      <c r="C54" s="2">
        <f t="shared" si="10"/>
        <v>5</v>
      </c>
      <c r="D54" s="2">
        <f t="shared" si="11"/>
        <v>11.217539385615954</v>
      </c>
      <c r="J54" s="2">
        <v>98.8</v>
      </c>
      <c r="K54" s="2">
        <f t="shared" si="12"/>
        <v>5</v>
      </c>
      <c r="L54" s="2">
        <f t="shared" si="13"/>
        <v>8.3435748296273733</v>
      </c>
      <c r="S54" s="2">
        <v>40</v>
      </c>
      <c r="T54" s="2">
        <f t="shared" si="14"/>
        <v>5</v>
      </c>
      <c r="U54" s="2">
        <f t="shared" si="15"/>
        <v>8.3433305485631735</v>
      </c>
    </row>
    <row r="55" spans="2:22" x14ac:dyDescent="0.2">
      <c r="B55" s="2">
        <v>307.7</v>
      </c>
      <c r="C55" s="2">
        <f t="shared" si="10"/>
        <v>4</v>
      </c>
      <c r="D55" s="2">
        <f t="shared" si="11"/>
        <v>10.77719191199221</v>
      </c>
      <c r="E55" s="1"/>
      <c r="H55" s="1"/>
      <c r="I55" s="1"/>
      <c r="J55" s="2">
        <v>115.6</v>
      </c>
      <c r="K55" s="2">
        <f t="shared" si="12"/>
        <v>4</v>
      </c>
      <c r="L55" s="2">
        <f t="shared" si="13"/>
        <v>7.5286155172221587</v>
      </c>
      <c r="S55" s="2">
        <v>46.7</v>
      </c>
      <c r="T55" s="2">
        <f t="shared" si="14"/>
        <v>4</v>
      </c>
      <c r="U55" s="2">
        <f t="shared" si="15"/>
        <v>7.5397481786409095</v>
      </c>
    </row>
    <row r="56" spans="2:22" x14ac:dyDescent="0.2">
      <c r="B56" s="2">
        <v>359.7</v>
      </c>
      <c r="C56" s="2">
        <f t="shared" si="10"/>
        <v>3</v>
      </c>
      <c r="D56" s="2">
        <f t="shared" si="11"/>
        <v>10.27442153025827</v>
      </c>
      <c r="E56" s="1"/>
      <c r="H56" s="1"/>
      <c r="I56" s="1"/>
      <c r="J56" s="2">
        <v>134.30000000000001</v>
      </c>
      <c r="K56" s="2">
        <f t="shared" si="12"/>
        <v>3</v>
      </c>
      <c r="L56" s="2">
        <f t="shared" si="13"/>
        <v>6.6682997260739896</v>
      </c>
      <c r="S56" s="2">
        <v>53.9</v>
      </c>
      <c r="T56" s="2">
        <f t="shared" si="14"/>
        <v>3</v>
      </c>
      <c r="U56" s="2">
        <f t="shared" si="15"/>
        <v>6.7280980179505763</v>
      </c>
    </row>
    <row r="57" spans="2:22" x14ac:dyDescent="0.2">
      <c r="B57" s="2">
        <v>434.5</v>
      </c>
      <c r="C57" s="2">
        <f t="shared" si="10"/>
        <v>2</v>
      </c>
      <c r="D57" s="2">
        <f t="shared" si="11"/>
        <v>9.571777289886727</v>
      </c>
      <c r="E57" s="1"/>
      <c r="H57" s="1"/>
      <c r="I57" s="1"/>
      <c r="J57" s="2">
        <v>160</v>
      </c>
      <c r="K57" s="2">
        <f t="shared" si="12"/>
        <v>2</v>
      </c>
      <c r="L57" s="2">
        <f t="shared" si="13"/>
        <v>5.5724539514120925</v>
      </c>
      <c r="S57" s="2">
        <v>64.400000000000006</v>
      </c>
      <c r="T57" s="2">
        <f t="shared" si="14"/>
        <v>2</v>
      </c>
      <c r="U57" s="2">
        <f t="shared" si="15"/>
        <v>5.607862334096585</v>
      </c>
    </row>
    <row r="58" spans="2:22" x14ac:dyDescent="0.2">
      <c r="B58" s="2">
        <v>522.79999999999995</v>
      </c>
      <c r="C58" s="2">
        <f t="shared" si="10"/>
        <v>1</v>
      </c>
      <c r="D58" s="2">
        <f t="shared" si="11"/>
        <v>8.7740081577419513</v>
      </c>
      <c r="E58" s="1"/>
      <c r="H58" s="1"/>
      <c r="I58" s="1"/>
      <c r="J58" s="2">
        <v>195.4</v>
      </c>
      <c r="K58" s="2">
        <f t="shared" si="12"/>
        <v>1</v>
      </c>
      <c r="L58" s="2">
        <f t="shared" si="13"/>
        <v>4.2212072419662938</v>
      </c>
      <c r="S58" s="2">
        <v>75.099999999999994</v>
      </c>
      <c r="T58" s="2">
        <f t="shared" si="14"/>
        <v>1</v>
      </c>
      <c r="U58" s="2">
        <f t="shared" si="15"/>
        <v>4.578611842507474</v>
      </c>
    </row>
    <row r="59" spans="2:22" x14ac:dyDescent="0.2">
      <c r="C59" s="1"/>
      <c r="E59" s="1"/>
      <c r="H59" s="1"/>
      <c r="I59" s="1"/>
      <c r="K59" s="1"/>
      <c r="L59" s="1"/>
    </row>
    <row r="60" spans="2:22" x14ac:dyDescent="0.2">
      <c r="C60" s="1"/>
      <c r="E60" s="1"/>
      <c r="G60" s="1" t="s">
        <v>41</v>
      </c>
      <c r="H60" s="1"/>
      <c r="I60" s="1"/>
      <c r="K60" s="1"/>
      <c r="L60" s="1"/>
    </row>
    <row r="61" spans="2:22" x14ac:dyDescent="0.2">
      <c r="B61" s="1" t="s">
        <v>42</v>
      </c>
      <c r="C61" s="1" t="s">
        <v>43</v>
      </c>
      <c r="D61" s="1" t="s">
        <v>44</v>
      </c>
      <c r="E61" s="1" t="s">
        <v>45</v>
      </c>
      <c r="H61" s="1"/>
      <c r="I61" s="1"/>
      <c r="J61" s="1" t="s">
        <v>42</v>
      </c>
      <c r="K61" s="1" t="s">
        <v>43</v>
      </c>
      <c r="L61" s="1" t="s">
        <v>44</v>
      </c>
      <c r="M61" s="1" t="s">
        <v>45</v>
      </c>
      <c r="S61" s="1" t="s">
        <v>42</v>
      </c>
      <c r="T61" s="1" t="s">
        <v>43</v>
      </c>
      <c r="U61" s="1" t="s">
        <v>44</v>
      </c>
      <c r="V61" s="1" t="s">
        <v>45</v>
      </c>
    </row>
    <row r="62" spans="2:22" x14ac:dyDescent="0.2">
      <c r="B62" s="1" t="s">
        <v>46</v>
      </c>
      <c r="C62" s="29">
        <v>1.9999999999999999E-6</v>
      </c>
      <c r="D62" s="1">
        <v>1</v>
      </c>
      <c r="E62" s="1"/>
      <c r="F62" s="1"/>
      <c r="G62" t="s">
        <v>47</v>
      </c>
      <c r="H62" s="1"/>
      <c r="I62" s="1"/>
      <c r="J62" s="1" t="s">
        <v>46</v>
      </c>
      <c r="K62" s="29">
        <v>6.9999999999999994E-5</v>
      </c>
      <c r="L62" s="1">
        <v>1</v>
      </c>
      <c r="M62" s="1"/>
      <c r="S62" s="1" t="s">
        <v>46</v>
      </c>
      <c r="T62" s="29">
        <v>5.0000000000000001E-4</v>
      </c>
      <c r="U62" s="1">
        <v>1</v>
      </c>
      <c r="V62" s="1"/>
    </row>
    <row r="63" spans="2:22" x14ac:dyDescent="0.2">
      <c r="B63" s="1" t="s">
        <v>48</v>
      </c>
      <c r="C63" s="1">
        <v>-1.12E-2</v>
      </c>
      <c r="D63" s="1"/>
      <c r="E63" s="1"/>
      <c r="F63" s="1"/>
      <c r="H63" s="1"/>
      <c r="I63" s="1"/>
      <c r="J63" s="1" t="s">
        <v>48</v>
      </c>
      <c r="K63" s="1">
        <v>-6.4600000000000005E-2</v>
      </c>
      <c r="L63" s="1"/>
      <c r="M63" s="1"/>
      <c r="S63" s="1" t="s">
        <v>48</v>
      </c>
      <c r="T63" s="1">
        <v>-0.15939999999999999</v>
      </c>
      <c r="U63" s="1"/>
      <c r="V63" s="1"/>
    </row>
    <row r="64" spans="2:22" x14ac:dyDescent="0.2">
      <c r="B64" s="1" t="s">
        <v>49</v>
      </c>
      <c r="C64" s="1">
        <v>14</v>
      </c>
      <c r="D64" s="1"/>
      <c r="E64" s="1"/>
      <c r="F64" s="1"/>
      <c r="G64" t="s">
        <v>50</v>
      </c>
      <c r="H64" s="1"/>
      <c r="I64" s="1"/>
      <c r="J64" s="1" t="s">
        <v>49</v>
      </c>
      <c r="K64" s="1">
        <v>14</v>
      </c>
      <c r="L64" s="1"/>
      <c r="M64" s="1"/>
      <c r="S64" s="1" t="s">
        <v>49</v>
      </c>
      <c r="T64" s="1">
        <v>14.000999999999999</v>
      </c>
      <c r="U64" s="1"/>
      <c r="V64" s="1"/>
    </row>
    <row r="65" spans="2:22" x14ac:dyDescent="0.2">
      <c r="B65" s="1"/>
      <c r="C65" s="1"/>
      <c r="D65" s="1"/>
      <c r="E65" s="1"/>
      <c r="F65" s="1"/>
      <c r="G65" t="s">
        <v>51</v>
      </c>
      <c r="H65" s="1"/>
      <c r="I65" s="1"/>
      <c r="J65" s="1"/>
      <c r="K65" s="1"/>
      <c r="L65" s="1"/>
      <c r="M65" s="1"/>
      <c r="S65" s="1"/>
      <c r="T65" s="1"/>
      <c r="U65" s="1"/>
      <c r="V65" s="1"/>
    </row>
    <row r="66" spans="2:22" x14ac:dyDescent="0.2">
      <c r="B66" s="1" t="s">
        <v>42</v>
      </c>
      <c r="C66" s="1" t="s">
        <v>52</v>
      </c>
      <c r="D66" s="1" t="s">
        <v>44</v>
      </c>
      <c r="E66" s="1" t="s">
        <v>53</v>
      </c>
      <c r="F66" s="1"/>
      <c r="H66" s="1"/>
      <c r="I66" s="1"/>
      <c r="J66" s="1" t="s">
        <v>42</v>
      </c>
      <c r="K66" s="1" t="s">
        <v>52</v>
      </c>
      <c r="L66" s="1" t="s">
        <v>44</v>
      </c>
      <c r="M66" s="1" t="s">
        <v>53</v>
      </c>
      <c r="S66" s="1" t="s">
        <v>42</v>
      </c>
      <c r="T66" s="1" t="s">
        <v>52</v>
      </c>
      <c r="U66" s="1" t="s">
        <v>44</v>
      </c>
      <c r="V66" s="1" t="s">
        <v>53</v>
      </c>
    </row>
    <row r="67" spans="2:22" x14ac:dyDescent="0.2">
      <c r="B67" s="1" t="s">
        <v>46</v>
      </c>
      <c r="C67" s="29">
        <v>4.0000000000000003E-5</v>
      </c>
      <c r="D67" s="1">
        <v>0.99939999999999996</v>
      </c>
      <c r="E67" s="1"/>
      <c r="G67" t="s">
        <v>54</v>
      </c>
      <c r="J67" s="1" t="s">
        <v>46</v>
      </c>
      <c r="K67" s="29">
        <v>2.9999999999999997E-4</v>
      </c>
      <c r="L67" s="1">
        <v>0.99990000000000001</v>
      </c>
      <c r="M67" s="1"/>
      <c r="S67" s="1" t="s">
        <v>46</v>
      </c>
      <c r="T67" s="29">
        <v>1.5E-3</v>
      </c>
      <c r="U67" s="1">
        <v>0.99990000000000001</v>
      </c>
      <c r="V67" s="1"/>
    </row>
    <row r="68" spans="2:22" x14ac:dyDescent="0.2">
      <c r="B68" s="1" t="s">
        <v>48</v>
      </c>
      <c r="C68" s="1">
        <v>-4.3299999999999998E-2</v>
      </c>
      <c r="D68" s="1"/>
      <c r="E68" s="1"/>
      <c r="G68" t="s">
        <v>55</v>
      </c>
      <c r="J68" s="1" t="s">
        <v>48</v>
      </c>
      <c r="K68" s="1">
        <v>-0.1153</v>
      </c>
      <c r="L68" s="1"/>
      <c r="M68" s="1"/>
      <c r="S68" s="1" t="s">
        <v>48</v>
      </c>
      <c r="T68" s="1">
        <v>-0.28370000000000001</v>
      </c>
      <c r="U68" s="1"/>
      <c r="V68" s="1"/>
    </row>
    <row r="69" spans="2:22" x14ac:dyDescent="0.2">
      <c r="B69" s="1" t="s">
        <v>49</v>
      </c>
      <c r="C69" s="1">
        <v>13.992000000000001</v>
      </c>
      <c r="D69" s="1"/>
      <c r="E69" s="1"/>
      <c r="J69" s="1" t="s">
        <v>49</v>
      </c>
      <c r="K69" s="1">
        <v>13.901</v>
      </c>
      <c r="L69" s="1"/>
      <c r="M69" s="1"/>
      <c r="S69" s="1" t="s">
        <v>49</v>
      </c>
      <c r="T69" s="1">
        <v>14.025</v>
      </c>
      <c r="U69" s="1"/>
      <c r="V69" s="1"/>
    </row>
    <row r="70" spans="2:22" x14ac:dyDescent="0.2">
      <c r="B70" s="1"/>
      <c r="C70" s="1"/>
      <c r="D70" s="1"/>
      <c r="E70" s="1"/>
    </row>
    <row r="71" spans="2:22" x14ac:dyDescent="0.2">
      <c r="B71" cm="1">
        <f t="array" ref="B71:D75">LINEST(C45:C58,B45:B58^COLUMN($A:$B), TRUE,TRUE)</f>
        <v>3.5416605653333822E-5</v>
      </c>
      <c r="C71">
        <v>-4.3271036910373456E-2</v>
      </c>
      <c r="D71">
        <v>13.992064916879665</v>
      </c>
    </row>
    <row r="72" spans="2:22" x14ac:dyDescent="0.2">
      <c r="B72">
        <v>1.2864567897541926E-6</v>
      </c>
      <c r="C72">
        <v>6.6488380881425007E-4</v>
      </c>
      <c r="D72">
        <v>6.7779809085743561E-2</v>
      </c>
    </row>
    <row r="73" spans="2:22" x14ac:dyDescent="0.2">
      <c r="B73">
        <v>0.99938773154134863</v>
      </c>
      <c r="C73">
        <v>0.11252921816261542</v>
      </c>
      <c r="D73" t="e">
        <v>#N/A</v>
      </c>
    </row>
    <row r="74" spans="2:22" x14ac:dyDescent="0.2">
      <c r="B74">
        <v>8977.4876458356448</v>
      </c>
      <c r="C74">
        <v>11</v>
      </c>
      <c r="D74" t="e">
        <v>#N/A</v>
      </c>
    </row>
    <row r="75" spans="2:22" x14ac:dyDescent="0.2">
      <c r="B75">
        <v>227.36070892565684</v>
      </c>
      <c r="C75">
        <v>0.13929107434318444</v>
      </c>
      <c r="D75" t="e">
        <v>#N/A</v>
      </c>
    </row>
    <row r="77" spans="2:22" x14ac:dyDescent="0.2">
      <c r="E77" t="s">
        <v>56</v>
      </c>
    </row>
    <row r="78" spans="2:22" x14ac:dyDescent="0.2">
      <c r="E78">
        <f>D19/E19</f>
        <v>8.2051282051282051E-3</v>
      </c>
    </row>
    <row r="81" spans="2:5" x14ac:dyDescent="0.2">
      <c r="B81" t="s">
        <v>15</v>
      </c>
      <c r="C81" t="s">
        <v>38</v>
      </c>
      <c r="E81" t="s">
        <v>57</v>
      </c>
    </row>
    <row r="82" spans="2:5" x14ac:dyDescent="0.2">
      <c r="B82">
        <v>0</v>
      </c>
      <c r="C82">
        <v>14.000000000000002</v>
      </c>
      <c r="E82">
        <f>0.14-($E$78^2)*SQRT(2*9.8*0.14)*B82+($E$78^4)*(9.81/2)*B82^2</f>
        <v>0.14000000000000001</v>
      </c>
    </row>
    <row r="83" spans="2:5" x14ac:dyDescent="0.2">
      <c r="B83">
        <v>22</v>
      </c>
      <c r="C83">
        <v>13</v>
      </c>
      <c r="E83">
        <f t="shared" ref="E83:E95" si="16">0.14-($E$78^2)*SQRT(2*9.8*0.14)*B83+($E$78^4)*(9.81/2)*B83^2</f>
        <v>0.13755726364373816</v>
      </c>
    </row>
    <row r="84" spans="2:5" x14ac:dyDescent="0.2">
      <c r="B84">
        <v>47.5</v>
      </c>
      <c r="C84">
        <v>12</v>
      </c>
      <c r="E84">
        <f t="shared" si="16"/>
        <v>0.13475283877161306</v>
      </c>
    </row>
    <row r="85" spans="2:5" x14ac:dyDescent="0.2">
      <c r="B85">
        <v>71.900000000000006</v>
      </c>
      <c r="C85">
        <v>11</v>
      </c>
      <c r="E85">
        <f t="shared" si="16"/>
        <v>0.1320964580063283</v>
      </c>
    </row>
    <row r="86" spans="2:5" x14ac:dyDescent="0.2">
      <c r="B86">
        <v>109.4</v>
      </c>
      <c r="C86">
        <v>10</v>
      </c>
      <c r="E86">
        <f t="shared" si="16"/>
        <v>0.12806551186393797</v>
      </c>
    </row>
    <row r="87" spans="2:5" x14ac:dyDescent="0.2">
      <c r="B87">
        <v>127.1</v>
      </c>
      <c r="C87">
        <v>9</v>
      </c>
      <c r="E87">
        <f t="shared" si="16"/>
        <v>0.12618462693619684</v>
      </c>
    </row>
    <row r="88" spans="2:5" x14ac:dyDescent="0.2">
      <c r="B88">
        <v>158.80000000000001</v>
      </c>
      <c r="C88">
        <v>8</v>
      </c>
      <c r="E88">
        <f t="shared" si="16"/>
        <v>0.12285085144062441</v>
      </c>
    </row>
    <row r="89" spans="2:5" x14ac:dyDescent="0.2">
      <c r="B89">
        <v>189.6</v>
      </c>
      <c r="C89">
        <v>7.0000000000000009</v>
      </c>
      <c r="E89">
        <f t="shared" si="16"/>
        <v>0.11965452251598063</v>
      </c>
    </row>
    <row r="90" spans="2:5" x14ac:dyDescent="0.2">
      <c r="B90">
        <v>225.9</v>
      </c>
      <c r="C90">
        <v>6</v>
      </c>
      <c r="E90">
        <f t="shared" si="16"/>
        <v>0.1159415719632164</v>
      </c>
    </row>
    <row r="91" spans="2:5" x14ac:dyDescent="0.2">
      <c r="B91">
        <v>263.2</v>
      </c>
      <c r="C91">
        <v>5</v>
      </c>
      <c r="E91">
        <f t="shared" si="16"/>
        <v>0.112187369612103</v>
      </c>
    </row>
    <row r="92" spans="2:5" x14ac:dyDescent="0.2">
      <c r="B92">
        <v>307.7</v>
      </c>
      <c r="C92">
        <v>4</v>
      </c>
      <c r="E92">
        <f t="shared" si="16"/>
        <v>0.10778942256249234</v>
      </c>
    </row>
    <row r="93" spans="2:5" x14ac:dyDescent="0.2">
      <c r="B93">
        <v>359.7</v>
      </c>
      <c r="C93">
        <v>3</v>
      </c>
      <c r="E93">
        <f t="shared" si="16"/>
        <v>0.1027618091623296</v>
      </c>
    </row>
    <row r="94" spans="2:5" x14ac:dyDescent="0.2">
      <c r="B94">
        <v>434.5</v>
      </c>
      <c r="C94">
        <v>2</v>
      </c>
      <c r="E94">
        <f t="shared" si="16"/>
        <v>9.5740644125575439E-2</v>
      </c>
    </row>
    <row r="95" spans="2:5" x14ac:dyDescent="0.2">
      <c r="B95">
        <v>522.79999999999995</v>
      </c>
      <c r="C95">
        <v>1</v>
      </c>
      <c r="E95">
        <f t="shared" si="16"/>
        <v>8.7772470920521012E-2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C824-5651-C041-853B-9DCB8BEDE84E}">
  <dimension ref="B3:X76"/>
  <sheetViews>
    <sheetView topLeftCell="A28" zoomScaleNormal="100" workbookViewId="0">
      <selection activeCell="V42" sqref="V42"/>
    </sheetView>
  </sheetViews>
  <sheetFormatPr baseColWidth="10" defaultColWidth="11" defaultRowHeight="16" x14ac:dyDescent="0.2"/>
  <cols>
    <col min="2" max="2" width="12.1640625" bestFit="1" customWidth="1"/>
    <col min="3" max="3" width="12.6640625" bestFit="1" customWidth="1"/>
    <col min="13" max="13" width="13.6640625" customWidth="1"/>
  </cols>
  <sheetData>
    <row r="3" spans="2:21" x14ac:dyDescent="0.2">
      <c r="B3" t="s">
        <v>0</v>
      </c>
      <c r="G3" t="s">
        <v>1</v>
      </c>
      <c r="Q3" s="1"/>
      <c r="R3" s="1"/>
      <c r="S3" s="1"/>
      <c r="T3" s="1"/>
      <c r="U3" s="1"/>
    </row>
    <row r="4" spans="2:21" ht="17" thickBot="1" x14ac:dyDescent="0.25">
      <c r="L4" s="1"/>
      <c r="M4" s="2" t="s">
        <v>5</v>
      </c>
      <c r="N4" s="2" t="s">
        <v>6</v>
      </c>
      <c r="O4" s="2" t="s">
        <v>7</v>
      </c>
      <c r="Q4" s="1"/>
      <c r="R4" s="1"/>
      <c r="S4" s="1"/>
      <c r="T4" s="1"/>
      <c r="U4" s="1"/>
    </row>
    <row r="5" spans="2:21" x14ac:dyDescent="0.2">
      <c r="B5" s="5" t="s">
        <v>9</v>
      </c>
      <c r="C5" s="5" t="s">
        <v>10</v>
      </c>
      <c r="D5" s="5" t="s">
        <v>11</v>
      </c>
      <c r="E5" s="5" t="s">
        <v>12</v>
      </c>
      <c r="G5" s="7" t="s">
        <v>13</v>
      </c>
      <c r="H5" s="8" t="s">
        <v>14</v>
      </c>
      <c r="I5" s="9" t="s">
        <v>15</v>
      </c>
      <c r="K5" s="1"/>
      <c r="L5" s="2" t="s">
        <v>9</v>
      </c>
      <c r="M5" s="2">
        <v>3.85</v>
      </c>
      <c r="N5" s="2">
        <v>6.05</v>
      </c>
      <c r="O5" s="2">
        <v>8.15</v>
      </c>
      <c r="Q5" s="1"/>
      <c r="R5" s="1"/>
      <c r="S5" s="1"/>
      <c r="T5" s="1"/>
      <c r="U5" s="1"/>
    </row>
    <row r="6" spans="2:21" ht="17" thickBot="1" x14ac:dyDescent="0.25">
      <c r="B6" s="5">
        <v>195</v>
      </c>
      <c r="C6" s="5">
        <f>B6/2</f>
        <v>97.5</v>
      </c>
      <c r="D6" s="5">
        <f>PI()*C6^2</f>
        <v>29864.765163187971</v>
      </c>
      <c r="E6" s="6"/>
      <c r="G6" s="10">
        <v>1</v>
      </c>
      <c r="H6" s="11">
        <f>G6/1000</f>
        <v>1E-3</v>
      </c>
      <c r="I6" s="12" t="s">
        <v>17</v>
      </c>
      <c r="K6" s="1"/>
      <c r="L6" s="2" t="s">
        <v>18</v>
      </c>
      <c r="M6" s="2">
        <f>M5/1000</f>
        <v>3.8500000000000001E-3</v>
      </c>
      <c r="N6" s="2">
        <f t="shared" ref="N6:O6" si="0">N5/1000</f>
        <v>6.0499999999999998E-3</v>
      </c>
      <c r="O6" s="2">
        <f t="shared" si="0"/>
        <v>8.150000000000001E-3</v>
      </c>
    </row>
    <row r="7" spans="2:21" x14ac:dyDescent="0.2">
      <c r="B7" t="s">
        <v>20</v>
      </c>
      <c r="L7" s="2" t="s">
        <v>11</v>
      </c>
      <c r="M7" s="2">
        <f>PI()*(M5/2)^2</f>
        <v>11.641564276958679</v>
      </c>
      <c r="N7" s="2">
        <f t="shared" ref="N7:O8" si="1">PI()*(N5/2)^2</f>
        <v>28.747536275755099</v>
      </c>
      <c r="O7" s="2">
        <f t="shared" si="1"/>
        <v>52.168109508267008</v>
      </c>
    </row>
    <row r="8" spans="2:21" x14ac:dyDescent="0.2">
      <c r="L8" s="2" t="s">
        <v>21</v>
      </c>
      <c r="M8" s="2">
        <f>PI()*(M6/2)^2</f>
        <v>1.1641564276958678E-5</v>
      </c>
      <c r="N8" s="2">
        <f t="shared" si="1"/>
        <v>2.87475362757551E-5</v>
      </c>
      <c r="O8" s="2">
        <f t="shared" si="1"/>
        <v>5.2168109508267023E-5</v>
      </c>
    </row>
    <row r="9" spans="2:21" x14ac:dyDescent="0.2">
      <c r="B9" s="2" t="s">
        <v>18</v>
      </c>
      <c r="C9" s="2" t="s">
        <v>22</v>
      </c>
      <c r="D9" s="2" t="s">
        <v>21</v>
      </c>
      <c r="E9" s="2" t="s">
        <v>23</v>
      </c>
      <c r="M9">
        <f>2*PI()*M5/2*$O$11/2</f>
        <v>0.30237829290801765</v>
      </c>
      <c r="N9">
        <f t="shared" ref="N9:O9" si="2">2*PI()*N5/2*$O$11/2</f>
        <v>0.47516588885545624</v>
      </c>
      <c r="O9">
        <f t="shared" si="2"/>
        <v>0.6400995031689205</v>
      </c>
    </row>
    <row r="10" spans="2:21" x14ac:dyDescent="0.2">
      <c r="B10" s="2">
        <f>B6/1000</f>
        <v>0.19500000000000001</v>
      </c>
      <c r="C10" s="2">
        <f>B10/2</f>
        <v>9.7500000000000003E-2</v>
      </c>
      <c r="D10" s="2">
        <f>PI()*C10^2</f>
        <v>2.9864765163187975E-2</v>
      </c>
      <c r="E10" s="2">
        <f>E6/1000</f>
        <v>0</v>
      </c>
      <c r="H10" s="1" t="s">
        <v>24</v>
      </c>
    </row>
    <row r="11" spans="2:21" x14ac:dyDescent="0.2">
      <c r="H11">
        <f>0.15*D10</f>
        <v>4.4797147744781961E-3</v>
      </c>
      <c r="I11" t="s">
        <v>27</v>
      </c>
      <c r="N11" t="s">
        <v>25</v>
      </c>
      <c r="O11" s="1">
        <v>0.05</v>
      </c>
    </row>
    <row r="14" spans="2:21" x14ac:dyDescent="0.2">
      <c r="G14" s="1" t="s">
        <v>28</v>
      </c>
      <c r="H14" s="1">
        <v>0.14000000000000001</v>
      </c>
    </row>
    <row r="15" spans="2:21" x14ac:dyDescent="0.2">
      <c r="E15" s="4" t="s">
        <v>29</v>
      </c>
      <c r="G15" t="s">
        <v>30</v>
      </c>
      <c r="H15" t="s">
        <v>31</v>
      </c>
      <c r="I15" t="s">
        <v>32</v>
      </c>
    </row>
    <row r="18" spans="2:22" x14ac:dyDescent="0.2">
      <c r="C18" s="1"/>
      <c r="D18" s="1" t="s">
        <v>33</v>
      </c>
      <c r="E18" s="1" t="s">
        <v>34</v>
      </c>
      <c r="K18" s="1"/>
      <c r="L18" s="1" t="s">
        <v>33</v>
      </c>
      <c r="M18" s="1" t="s">
        <v>34</v>
      </c>
      <c r="T18" s="1"/>
      <c r="U18" s="1" t="s">
        <v>33</v>
      </c>
      <c r="V18" s="1" t="s">
        <v>34</v>
      </c>
    </row>
    <row r="19" spans="2:22" x14ac:dyDescent="0.2">
      <c r="C19" s="1" t="s">
        <v>5</v>
      </c>
      <c r="D19" s="1">
        <f>$M$6</f>
        <v>3.8500000000000001E-3</v>
      </c>
      <c r="E19" s="1">
        <f>$B$10</f>
        <v>0.19500000000000001</v>
      </c>
      <c r="K19" s="1" t="s">
        <v>6</v>
      </c>
      <c r="L19" s="1">
        <f>$N$6</f>
        <v>6.0499999999999998E-3</v>
      </c>
      <c r="M19" s="1">
        <f>$B$10</f>
        <v>0.19500000000000001</v>
      </c>
      <c r="T19" s="1" t="s">
        <v>7</v>
      </c>
      <c r="U19" s="1">
        <f>$O$6</f>
        <v>8.150000000000001E-3</v>
      </c>
      <c r="V19" s="1">
        <f>$B$10</f>
        <v>0.19500000000000001</v>
      </c>
    </row>
    <row r="20" spans="2:22" x14ac:dyDescent="0.2">
      <c r="B20" s="1"/>
      <c r="I20" s="1"/>
      <c r="P20" s="1"/>
    </row>
    <row r="21" spans="2:22" x14ac:dyDescent="0.2">
      <c r="B21" s="1"/>
      <c r="I21" s="1"/>
      <c r="P21" s="1"/>
    </row>
    <row r="22" spans="2:22" x14ac:dyDescent="0.2">
      <c r="B22" s="4" t="s">
        <v>35</v>
      </c>
      <c r="E22" s="4" t="s">
        <v>36</v>
      </c>
      <c r="I22" s="4" t="s">
        <v>35</v>
      </c>
      <c r="L22" s="4" t="s">
        <v>36</v>
      </c>
      <c r="P22" s="4" t="s">
        <v>35</v>
      </c>
      <c r="S22" s="4" t="s">
        <v>36</v>
      </c>
    </row>
    <row r="25" spans="2:22" x14ac:dyDescent="0.2">
      <c r="B25" s="2" t="s">
        <v>15</v>
      </c>
      <c r="C25" s="2" t="s">
        <v>37</v>
      </c>
      <c r="E25" s="2" t="s">
        <v>15</v>
      </c>
      <c r="F25" s="2" t="s">
        <v>37</v>
      </c>
      <c r="G25" s="2"/>
      <c r="I25" s="2" t="s">
        <v>15</v>
      </c>
      <c r="J25" s="2" t="s">
        <v>37</v>
      </c>
      <c r="L25" s="2" t="s">
        <v>15</v>
      </c>
      <c r="M25" s="2" t="s">
        <v>37</v>
      </c>
      <c r="N25" s="2"/>
      <c r="P25" s="2" t="s">
        <v>15</v>
      </c>
      <c r="Q25" s="2" t="s">
        <v>37</v>
      </c>
      <c r="S25" s="2" t="s">
        <v>15</v>
      </c>
      <c r="T25" s="2" t="s">
        <v>37</v>
      </c>
      <c r="U25" s="15"/>
    </row>
    <row r="26" spans="2:22" x14ac:dyDescent="0.2">
      <c r="B26" s="2">
        <v>0</v>
      </c>
      <c r="C26" s="2">
        <v>0.14000000000000001</v>
      </c>
      <c r="E26" s="2">
        <f t="shared" ref="E26:E39" si="3">B26</f>
        <v>0</v>
      </c>
      <c r="F26" s="2">
        <f t="shared" ref="F26:F39" si="4">$H$14-($M$6^2/$B$10^2)*SQRT(2*9.81*$H$14)*E26+((($M$6^2/$B$10^2)^2)*(9.81/2)*E26^2)</f>
        <v>0.14000000000000001</v>
      </c>
      <c r="G26" s="3"/>
      <c r="I26" s="2">
        <v>0</v>
      </c>
      <c r="J26" s="2">
        <v>0.14000000000000001</v>
      </c>
      <c r="L26" s="2">
        <f t="shared" ref="L26:L39" si="5">I26</f>
        <v>0</v>
      </c>
      <c r="M26" s="2">
        <f>$H$14-($N$6^2/$B$10^2)*SQRT(2*9.81*$H$14)*L26+((($N$6^2/$B$10^2)^2)*(9.81/2)*L26^2)</f>
        <v>0.14000000000000001</v>
      </c>
      <c r="N26" s="3"/>
      <c r="P26" s="2">
        <v>0</v>
      </c>
      <c r="Q26" s="2">
        <v>0.14000000000000001</v>
      </c>
      <c r="S26" s="2">
        <f t="shared" ref="S26:S39" si="6">P26</f>
        <v>0</v>
      </c>
      <c r="T26" s="2">
        <f>$H$14-($M$6^2/$B$10^2)*SQRT(2*9.81*$H$14)*S26+((($M$6^2/$B$10^2)^2)*(9.81/2)*S26^2)</f>
        <v>0.14000000000000001</v>
      </c>
      <c r="U26" s="3"/>
    </row>
    <row r="27" spans="2:22" x14ac:dyDescent="0.2">
      <c r="B27" s="2">
        <v>22.02</v>
      </c>
      <c r="C27" s="2">
        <v>0.13</v>
      </c>
      <c r="E27" s="2">
        <f t="shared" si="3"/>
        <v>22.02</v>
      </c>
      <c r="F27" s="2">
        <f>$H$14-($M$6^2/$B$10^2)*SQRT(2*9.81*$H$14)*E27+((($M$6^2/$B$10^2)^2)*(9.81/2)*E27^2)</f>
        <v>0.12613538293885795</v>
      </c>
      <c r="G27" s="3"/>
      <c r="I27" s="2">
        <v>7.91</v>
      </c>
      <c r="J27" s="2">
        <v>0.13</v>
      </c>
      <c r="L27" s="2">
        <f t="shared" si="5"/>
        <v>7.91</v>
      </c>
      <c r="M27" s="2">
        <f>$H$14-($N$6^2/$B$10^2)*SQRT(2*9.81*$H$14)*L27+((($N$6^2/$B$10^2)^2)*(9.81/2)*L27^2)</f>
        <v>0.12766517281717107</v>
      </c>
      <c r="N27" s="3"/>
      <c r="P27" s="2">
        <v>3.58</v>
      </c>
      <c r="Q27" s="2">
        <v>0.13</v>
      </c>
      <c r="S27" s="2">
        <f t="shared" si="6"/>
        <v>3.58</v>
      </c>
      <c r="T27" s="2">
        <f>$H$14-(($O$6^2)/($B$10^2))*SQRT(2*9.81*$H$14)*S27 + (($O$6^4)/($B$10^4))*(9.81/2)*(S27^2)</f>
        <v>0.12982746017686897</v>
      </c>
      <c r="U27" s="3"/>
    </row>
    <row r="28" spans="2:22" x14ac:dyDescent="0.2">
      <c r="B28" s="2">
        <v>47.45</v>
      </c>
      <c r="C28" s="2">
        <v>0.12</v>
      </c>
      <c r="E28" s="2">
        <f t="shared" si="3"/>
        <v>47.45</v>
      </c>
      <c r="F28" s="2">
        <f>$H$14-($M$6^2/$B$10^2)*SQRT(2*9.81*$H$14)*E28+((($M$6^2/$B$10^2)^2)*(9.81/2)*E28^2)</f>
        <v>0.11102304656423397</v>
      </c>
      <c r="G28" s="3"/>
      <c r="I28" s="2">
        <v>17.18</v>
      </c>
      <c r="J28" s="2">
        <v>0.12</v>
      </c>
      <c r="L28" s="2">
        <f t="shared" si="5"/>
        <v>17.18</v>
      </c>
      <c r="M28" s="2">
        <f t="shared" ref="M28:M39" si="7">$H$14-($N$6^2/$B$10^2)*SQRT(2*9.81*$H$14)*L28+((($N$6^2/$B$10^2)^2)*(9.81/2)*L28^2)</f>
        <v>0.11393337687776163</v>
      </c>
      <c r="N28" s="3"/>
      <c r="P28" s="2">
        <v>7.56</v>
      </c>
      <c r="Q28" s="2">
        <v>0.12</v>
      </c>
      <c r="S28" s="2">
        <f t="shared" si="6"/>
        <v>7.56</v>
      </c>
      <c r="T28" s="2">
        <f t="shared" ref="T28:T38" si="8">$H$14-(($O$6^2)/($B$10^2))*SQRT(2*9.81*$H$14)*S28 + (($O$6^4)/($B$10^4))*(9.81/2)*(S28^2)</f>
        <v>0.11896865889882421</v>
      </c>
      <c r="U28" s="3"/>
    </row>
    <row r="29" spans="2:22" x14ac:dyDescent="0.2">
      <c r="B29" s="2">
        <v>71.86</v>
      </c>
      <c r="C29" s="2">
        <v>0.11</v>
      </c>
      <c r="E29" s="2">
        <f t="shared" si="3"/>
        <v>71.86</v>
      </c>
      <c r="F29" s="2">
        <f t="shared" si="4"/>
        <v>9.7423621224656379E-2</v>
      </c>
      <c r="G29" s="3"/>
      <c r="I29" s="2">
        <v>26.09</v>
      </c>
      <c r="J29" s="2">
        <v>0.11</v>
      </c>
      <c r="L29" s="2">
        <f t="shared" si="5"/>
        <v>26.09</v>
      </c>
      <c r="M29" s="2">
        <f t="shared" si="7"/>
        <v>0.10147105089651907</v>
      </c>
      <c r="N29" s="3"/>
      <c r="P29" s="2">
        <v>11.4</v>
      </c>
      <c r="Q29" s="2">
        <v>0.11</v>
      </c>
      <c r="S29" s="2">
        <f t="shared" si="6"/>
        <v>11.4</v>
      </c>
      <c r="T29" s="2">
        <f t="shared" si="8"/>
        <v>0.10894126266607036</v>
      </c>
      <c r="U29" s="3"/>
    </row>
    <row r="30" spans="2:22" x14ac:dyDescent="0.2">
      <c r="B30" s="2">
        <v>109.42</v>
      </c>
      <c r="C30" s="2">
        <v>0.1</v>
      </c>
      <c r="E30" s="2">
        <f t="shared" si="3"/>
        <v>109.42</v>
      </c>
      <c r="F30" s="2">
        <f t="shared" si="4"/>
        <v>7.8232804527941541E-2</v>
      </c>
      <c r="G30" s="3"/>
      <c r="I30" s="2">
        <v>36.479999999999997</v>
      </c>
      <c r="J30" s="2">
        <v>0.1</v>
      </c>
      <c r="L30" s="2">
        <f t="shared" si="5"/>
        <v>36.479999999999997</v>
      </c>
      <c r="M30" s="2">
        <f t="shared" si="7"/>
        <v>8.7850034438662877E-2</v>
      </c>
      <c r="N30" s="3"/>
      <c r="P30" s="2">
        <v>15.61</v>
      </c>
      <c r="Q30" s="2">
        <v>0.1</v>
      </c>
      <c r="S30" s="2">
        <f t="shared" si="6"/>
        <v>15.61</v>
      </c>
      <c r="T30" s="2">
        <f t="shared" si="8"/>
        <v>9.8454919750455935E-2</v>
      </c>
      <c r="U30" s="3"/>
    </row>
    <row r="31" spans="2:22" x14ac:dyDescent="0.2">
      <c r="B31" s="2">
        <v>127.08</v>
      </c>
      <c r="C31" s="2">
        <v>0.09</v>
      </c>
      <c r="E31" s="2">
        <f t="shared" si="3"/>
        <v>127.08</v>
      </c>
      <c r="F31" s="2">
        <f t="shared" si="4"/>
        <v>6.9936472524567722E-2</v>
      </c>
      <c r="G31" s="3"/>
      <c r="I31" s="2">
        <v>46.89</v>
      </c>
      <c r="J31" s="2">
        <v>0.09</v>
      </c>
      <c r="L31" s="2">
        <f t="shared" si="5"/>
        <v>46.89</v>
      </c>
      <c r="M31" s="2">
        <f t="shared" si="7"/>
        <v>7.5186891477291878E-2</v>
      </c>
      <c r="N31" s="3"/>
      <c r="P31" s="2">
        <v>19.62</v>
      </c>
      <c r="Q31" s="2">
        <v>0.09</v>
      </c>
      <c r="S31" s="2">
        <f t="shared" si="6"/>
        <v>19.62</v>
      </c>
      <c r="T31" s="2">
        <f t="shared" si="8"/>
        <v>8.8960081372867525E-2</v>
      </c>
      <c r="U31" s="3"/>
    </row>
    <row r="32" spans="2:22" x14ac:dyDescent="0.2">
      <c r="B32" s="2">
        <v>158.76</v>
      </c>
      <c r="C32" s="2">
        <v>0.08</v>
      </c>
      <c r="E32" s="2">
        <f t="shared" si="3"/>
        <v>158.76</v>
      </c>
      <c r="F32" s="2">
        <f t="shared" si="4"/>
        <v>5.62188162988118E-2</v>
      </c>
      <c r="G32" s="3"/>
      <c r="I32" s="2">
        <v>58.38</v>
      </c>
      <c r="J32" s="2">
        <v>0.08</v>
      </c>
      <c r="L32" s="2">
        <f t="shared" si="5"/>
        <v>58.38</v>
      </c>
      <c r="M32" s="2">
        <f t="shared" si="7"/>
        <v>6.2353624811983352E-2</v>
      </c>
      <c r="N32" s="3"/>
      <c r="P32" s="2">
        <v>24.28</v>
      </c>
      <c r="Q32" s="2">
        <v>0.08</v>
      </c>
      <c r="S32" s="2">
        <f t="shared" si="6"/>
        <v>24.28</v>
      </c>
      <c r="T32" s="2">
        <f t="shared" si="8"/>
        <v>7.8530873913540425E-2</v>
      </c>
      <c r="U32" s="3"/>
    </row>
    <row r="33" spans="2:21" x14ac:dyDescent="0.2">
      <c r="B33" s="2">
        <v>189.58</v>
      </c>
      <c r="C33" s="2">
        <v>7.0000000000000007E-2</v>
      </c>
      <c r="E33" s="2">
        <f t="shared" si="3"/>
        <v>189.58</v>
      </c>
      <c r="F33" s="2">
        <f t="shared" si="4"/>
        <v>4.4309220936627577E-2</v>
      </c>
      <c r="G33" s="3"/>
      <c r="I33" s="2">
        <v>70.58</v>
      </c>
      <c r="J33" s="2">
        <v>7.0000000000000007E-2</v>
      </c>
      <c r="L33" s="2">
        <f t="shared" si="5"/>
        <v>70.58</v>
      </c>
      <c r="M33" s="2">
        <f t="shared" si="7"/>
        <v>5.0040904904235378E-2</v>
      </c>
      <c r="N33" s="3"/>
      <c r="P33" s="2">
        <v>29.26</v>
      </c>
      <c r="Q33" s="2">
        <v>7.0000000000000007E-2</v>
      </c>
      <c r="S33" s="2">
        <f t="shared" si="6"/>
        <v>29.26</v>
      </c>
      <c r="T33" s="2">
        <f t="shared" si="8"/>
        <v>6.8104015247537827E-2</v>
      </c>
      <c r="U33" s="3"/>
    </row>
    <row r="34" spans="2:21" x14ac:dyDescent="0.2">
      <c r="B34" s="2">
        <v>225.94</v>
      </c>
      <c r="C34" s="2">
        <v>0.06</v>
      </c>
      <c r="E34" s="2">
        <f t="shared" si="3"/>
        <v>225.94</v>
      </c>
      <c r="F34" s="2">
        <f t="shared" si="4"/>
        <v>3.2079405134446466E-2</v>
      </c>
      <c r="G34" s="3"/>
      <c r="I34" s="2">
        <v>84.7</v>
      </c>
      <c r="J34" s="2">
        <v>0.06</v>
      </c>
      <c r="L34" s="2">
        <f t="shared" si="5"/>
        <v>84.7</v>
      </c>
      <c r="M34" s="2">
        <f t="shared" si="7"/>
        <v>3.7479496016826215E-2</v>
      </c>
      <c r="N34" s="3"/>
      <c r="P34" s="2">
        <v>34.26</v>
      </c>
      <c r="Q34" s="2">
        <v>0.06</v>
      </c>
      <c r="S34" s="2">
        <f t="shared" si="6"/>
        <v>34.26</v>
      </c>
      <c r="T34" s="2">
        <f t="shared" si="8"/>
        <v>5.8382128485529233E-2</v>
      </c>
      <c r="U34" s="3"/>
    </row>
    <row r="35" spans="2:21" x14ac:dyDescent="0.2">
      <c r="B35" s="2">
        <v>263.17</v>
      </c>
      <c r="C35" s="2">
        <v>0.05</v>
      </c>
      <c r="E35" s="2">
        <f t="shared" si="3"/>
        <v>263.17</v>
      </c>
      <c r="F35" s="2">
        <f t="shared" si="4"/>
        <v>2.1598959778419351E-2</v>
      </c>
      <c r="G35" s="3"/>
      <c r="I35" s="2">
        <v>98.82</v>
      </c>
      <c r="J35" s="2">
        <v>0.05</v>
      </c>
      <c r="L35" s="2">
        <f t="shared" si="5"/>
        <v>98.82</v>
      </c>
      <c r="M35" s="2">
        <f t="shared" si="7"/>
        <v>2.6730351089969732E-2</v>
      </c>
      <c r="N35" s="3"/>
      <c r="P35" s="2">
        <v>40.020000000000003</v>
      </c>
      <c r="Q35" s="2">
        <v>0.05</v>
      </c>
      <c r="S35" s="2">
        <f t="shared" si="6"/>
        <v>40.020000000000003</v>
      </c>
      <c r="T35" s="2">
        <f t="shared" si="8"/>
        <v>4.8110125649349592E-2</v>
      </c>
      <c r="U35" s="3"/>
    </row>
    <row r="36" spans="2:21" x14ac:dyDescent="0.2">
      <c r="B36" s="2">
        <v>307.7</v>
      </c>
      <c r="C36" s="2">
        <v>0.04</v>
      </c>
      <c r="E36" s="2">
        <f t="shared" si="3"/>
        <v>307.7</v>
      </c>
      <c r="F36" s="2">
        <f t="shared" si="4"/>
        <v>1.1777070350182731E-2</v>
      </c>
      <c r="G36" s="3"/>
      <c r="I36" s="2">
        <v>115.58</v>
      </c>
      <c r="J36" s="2">
        <v>0.04</v>
      </c>
      <c r="L36" s="2">
        <f t="shared" si="5"/>
        <v>115.58</v>
      </c>
      <c r="M36" s="2">
        <f t="shared" si="7"/>
        <v>1.6323646282929039E-2</v>
      </c>
      <c r="N36" s="3"/>
      <c r="P36" s="2">
        <v>46.71</v>
      </c>
      <c r="Q36" s="2">
        <v>0.04</v>
      </c>
      <c r="S36" s="2">
        <f t="shared" si="6"/>
        <v>46.71</v>
      </c>
      <c r="T36" s="2">
        <f t="shared" si="8"/>
        <v>3.7426220483369188E-2</v>
      </c>
      <c r="U36" s="3"/>
    </row>
    <row r="37" spans="2:21" x14ac:dyDescent="0.2">
      <c r="B37" s="2">
        <v>359.67</v>
      </c>
      <c r="C37" s="2">
        <v>0.03</v>
      </c>
      <c r="E37" s="2">
        <f t="shared" si="3"/>
        <v>359.67</v>
      </c>
      <c r="F37" s="2">
        <f t="shared" si="4"/>
        <v>4.0520197662325397E-3</v>
      </c>
      <c r="G37" s="3"/>
      <c r="I37" s="2">
        <v>134.29</v>
      </c>
      <c r="J37" s="2">
        <v>0.03</v>
      </c>
      <c r="L37" s="2">
        <f t="shared" si="5"/>
        <v>134.29</v>
      </c>
      <c r="M37" s="2">
        <f t="shared" si="7"/>
        <v>7.7223160224056814E-3</v>
      </c>
      <c r="N37" s="3"/>
      <c r="P37" s="2">
        <v>53.84</v>
      </c>
      <c r="Q37" s="2">
        <v>0.03</v>
      </c>
      <c r="S37" s="2">
        <f t="shared" si="6"/>
        <v>53.84</v>
      </c>
      <c r="T37" s="2">
        <f t="shared" si="8"/>
        <v>2.7514421483307648E-2</v>
      </c>
      <c r="U37" s="3"/>
    </row>
    <row r="38" spans="2:21" x14ac:dyDescent="0.2">
      <c r="B38" s="2">
        <v>434.48</v>
      </c>
      <c r="C38" s="2">
        <v>0.02</v>
      </c>
      <c r="E38" s="2">
        <f t="shared" si="3"/>
        <v>434.48</v>
      </c>
      <c r="F38" s="2">
        <f t="shared" si="4"/>
        <v>8.6393898143799497E-7</v>
      </c>
      <c r="G38" s="3"/>
      <c r="I38" s="2">
        <v>159.97</v>
      </c>
      <c r="J38" s="2">
        <v>0.02</v>
      </c>
      <c r="L38" s="2">
        <f t="shared" si="5"/>
        <v>159.97</v>
      </c>
      <c r="M38" s="2">
        <f t="shared" si="7"/>
        <v>1.0976133325024395E-3</v>
      </c>
      <c r="N38" s="3"/>
      <c r="P38" s="2">
        <v>64.430000000000007</v>
      </c>
      <c r="Q38" s="2">
        <v>0.02</v>
      </c>
      <c r="S38" s="2">
        <f t="shared" si="6"/>
        <v>64.430000000000007</v>
      </c>
      <c r="T38" s="2">
        <f t="shared" si="8"/>
        <v>1.5601294259627439E-2</v>
      </c>
      <c r="U38" s="3"/>
    </row>
    <row r="39" spans="2:21" x14ac:dyDescent="0.2">
      <c r="B39" s="2">
        <v>522.83000000000004</v>
      </c>
      <c r="C39" s="2">
        <v>0.01</v>
      </c>
      <c r="E39" s="2">
        <f t="shared" si="3"/>
        <v>522.83000000000004</v>
      </c>
      <c r="F39" s="2">
        <f t="shared" si="4"/>
        <v>5.9604259095957512E-3</v>
      </c>
      <c r="G39" s="3"/>
      <c r="I39" s="2">
        <v>195.42</v>
      </c>
      <c r="J39" s="2">
        <v>0.01</v>
      </c>
      <c r="L39" s="2">
        <f t="shared" si="5"/>
        <v>195.42</v>
      </c>
      <c r="M39" s="2">
        <f t="shared" si="7"/>
        <v>1.8015439153060697E-3</v>
      </c>
      <c r="N39" s="3"/>
      <c r="P39" s="2">
        <v>75.14</v>
      </c>
      <c r="Q39" s="2">
        <v>0.01</v>
      </c>
      <c r="S39" s="2">
        <f t="shared" si="6"/>
        <v>75.14</v>
      </c>
      <c r="T39" s="2">
        <f>$H$14-(($O$6^2)/($B$10^2))*SQRT(2*9.81*$H$14)*S39 + (($O$6^4)/($B$10^4))*(9.81/2)*(S39^2)</f>
        <v>6.9674614940114094E-3</v>
      </c>
      <c r="U39" s="3"/>
    </row>
    <row r="40" spans="2:21" x14ac:dyDescent="0.2">
      <c r="B40" s="2"/>
      <c r="E40" s="2"/>
      <c r="F40" s="2"/>
      <c r="G40" s="3"/>
      <c r="I40" s="2"/>
      <c r="L40" s="2"/>
      <c r="M40" s="2"/>
      <c r="N40" s="3"/>
      <c r="P40" s="2"/>
      <c r="S40" s="2"/>
      <c r="T40" s="2"/>
      <c r="U40" s="3"/>
    </row>
    <row r="41" spans="2:21" x14ac:dyDescent="0.2">
      <c r="B41" s="2"/>
      <c r="C41" s="2"/>
      <c r="E41" s="2"/>
      <c r="F41" s="2"/>
      <c r="G41" s="3"/>
      <c r="I41" s="2"/>
      <c r="J41" s="2">
        <v>0</v>
      </c>
      <c r="L41" s="2"/>
      <c r="M41" s="2"/>
      <c r="N41" s="3"/>
      <c r="P41" s="2"/>
      <c r="Q41" s="2"/>
      <c r="S41" s="2"/>
      <c r="T41" s="2"/>
      <c r="U41" s="3"/>
    </row>
    <row r="42" spans="2:21" x14ac:dyDescent="0.2">
      <c r="B42" s="1"/>
      <c r="C42" s="1"/>
      <c r="E42" s="1"/>
      <c r="F42" s="1"/>
      <c r="H42" s="1"/>
      <c r="I42" s="1"/>
      <c r="K42" s="1"/>
      <c r="L42" s="1"/>
    </row>
    <row r="43" spans="2:21" x14ac:dyDescent="0.2">
      <c r="B43" s="1"/>
      <c r="C43" s="1"/>
      <c r="E43" s="1"/>
      <c r="F43" s="1"/>
      <c r="H43" s="1"/>
      <c r="I43" s="1"/>
      <c r="K43" s="1"/>
      <c r="L43" s="1"/>
    </row>
    <row r="44" spans="2:21" x14ac:dyDescent="0.2">
      <c r="B44" s="2" t="s">
        <v>15</v>
      </c>
      <c r="C44" s="2" t="s">
        <v>38</v>
      </c>
      <c r="D44" s="2" t="s">
        <v>39</v>
      </c>
      <c r="E44" s="1"/>
      <c r="H44" s="1"/>
      <c r="I44" s="1"/>
      <c r="J44" s="2" t="s">
        <v>15</v>
      </c>
      <c r="K44" s="2" t="s">
        <v>40</v>
      </c>
      <c r="L44" s="2" t="s">
        <v>39</v>
      </c>
      <c r="S44" s="2" t="s">
        <v>15</v>
      </c>
      <c r="T44" s="2" t="s">
        <v>40</v>
      </c>
      <c r="U44" s="2" t="s">
        <v>39</v>
      </c>
    </row>
    <row r="45" spans="2:21" x14ac:dyDescent="0.2">
      <c r="B45" s="2">
        <f>B26</f>
        <v>0</v>
      </c>
      <c r="C45" s="2">
        <f>C26*100</f>
        <v>14.000000000000002</v>
      </c>
      <c r="D45" s="2">
        <f>F26*100</f>
        <v>14.000000000000002</v>
      </c>
      <c r="E45" s="1"/>
      <c r="H45" s="1"/>
      <c r="I45" s="1"/>
      <c r="J45" s="2">
        <v>0</v>
      </c>
      <c r="K45" s="2">
        <f>J26*100</f>
        <v>14.000000000000002</v>
      </c>
      <c r="L45" s="2">
        <f>M26*100</f>
        <v>14.000000000000002</v>
      </c>
      <c r="S45" s="2">
        <v>0</v>
      </c>
      <c r="T45" s="2">
        <f>Q26*100</f>
        <v>14.000000000000002</v>
      </c>
      <c r="U45" s="2">
        <f>T26*100</f>
        <v>14.000000000000002</v>
      </c>
    </row>
    <row r="46" spans="2:21" x14ac:dyDescent="0.2">
      <c r="B46" s="2">
        <v>22</v>
      </c>
      <c r="C46" s="2">
        <f t="shared" ref="C46:C58" si="9">C27*100</f>
        <v>13</v>
      </c>
      <c r="D46" s="2">
        <f t="shared" ref="D46:D57" si="10">F27*100</f>
        <v>12.613538293885796</v>
      </c>
      <c r="E46" s="1"/>
      <c r="H46" s="1"/>
      <c r="I46" s="1"/>
      <c r="J46" s="2">
        <v>7.9</v>
      </c>
      <c r="K46" s="2">
        <f t="shared" ref="K46:K58" si="11">J27*100</f>
        <v>13</v>
      </c>
      <c r="L46" s="2">
        <f>M27*100</f>
        <v>12.766517281717107</v>
      </c>
      <c r="S46" s="2">
        <v>3.6</v>
      </c>
      <c r="T46" s="2">
        <f t="shared" ref="T46:T58" si="12">Q27*100</f>
        <v>13</v>
      </c>
      <c r="U46" s="2">
        <f t="shared" ref="U46:U58" si="13">T27*100</f>
        <v>12.982746017686896</v>
      </c>
    </row>
    <row r="47" spans="2:21" x14ac:dyDescent="0.2">
      <c r="B47" s="2">
        <v>47.5</v>
      </c>
      <c r="C47" s="2">
        <f t="shared" si="9"/>
        <v>12</v>
      </c>
      <c r="D47" s="2">
        <f t="shared" si="10"/>
        <v>11.102304656423396</v>
      </c>
      <c r="E47" s="1"/>
      <c r="H47" s="1"/>
      <c r="I47" s="1"/>
      <c r="J47" s="2">
        <v>17.2</v>
      </c>
      <c r="K47" s="2">
        <f t="shared" si="11"/>
        <v>12</v>
      </c>
      <c r="L47" s="2">
        <f t="shared" ref="L47:L58" si="14">M28*100</f>
        <v>11.393337687776164</v>
      </c>
      <c r="S47" s="2">
        <v>7.6</v>
      </c>
      <c r="T47" s="2">
        <f t="shared" si="12"/>
        <v>12</v>
      </c>
      <c r="U47" s="2">
        <f t="shared" si="13"/>
        <v>11.896865889882422</v>
      </c>
    </row>
    <row r="48" spans="2:21" x14ac:dyDescent="0.2">
      <c r="B48" s="2">
        <v>71.900000000000006</v>
      </c>
      <c r="C48" s="2">
        <f t="shared" si="9"/>
        <v>11</v>
      </c>
      <c r="D48" s="2">
        <f t="shared" si="10"/>
        <v>9.7423621224656376</v>
      </c>
      <c r="E48" s="1"/>
      <c r="H48" s="1"/>
      <c r="I48" s="1"/>
      <c r="J48" s="2">
        <v>26.1</v>
      </c>
      <c r="K48" s="2">
        <f t="shared" si="11"/>
        <v>11</v>
      </c>
      <c r="L48" s="2">
        <f t="shared" si="14"/>
        <v>10.147105089651907</v>
      </c>
      <c r="S48" s="2">
        <v>11.4</v>
      </c>
      <c r="T48" s="2">
        <f t="shared" si="12"/>
        <v>11</v>
      </c>
      <c r="U48" s="2">
        <f t="shared" si="13"/>
        <v>10.894126266607037</v>
      </c>
    </row>
    <row r="49" spans="2:22" x14ac:dyDescent="0.2">
      <c r="B49" s="2">
        <v>109.4</v>
      </c>
      <c r="C49" s="2">
        <f t="shared" si="9"/>
        <v>10</v>
      </c>
      <c r="D49" s="2">
        <f t="shared" si="10"/>
        <v>7.8232804527941537</v>
      </c>
      <c r="E49" s="1"/>
      <c r="H49" s="1"/>
      <c r="I49" s="1"/>
      <c r="J49" s="2">
        <v>36.5</v>
      </c>
      <c r="K49" s="2">
        <f t="shared" si="11"/>
        <v>10</v>
      </c>
      <c r="L49" s="2">
        <f t="shared" si="14"/>
        <v>8.7850034438662874</v>
      </c>
      <c r="S49" s="2">
        <v>15.6</v>
      </c>
      <c r="T49" s="2">
        <f t="shared" si="12"/>
        <v>10</v>
      </c>
      <c r="U49" s="2">
        <f t="shared" si="13"/>
        <v>9.8454919750455936</v>
      </c>
    </row>
    <row r="50" spans="2:22" x14ac:dyDescent="0.2">
      <c r="B50" s="2">
        <v>127.1</v>
      </c>
      <c r="C50" s="2">
        <f t="shared" si="9"/>
        <v>9</v>
      </c>
      <c r="D50" s="2">
        <f t="shared" si="10"/>
        <v>6.9936472524567721</v>
      </c>
      <c r="J50" s="2">
        <v>46.9</v>
      </c>
      <c r="K50" s="2">
        <f t="shared" si="11"/>
        <v>9</v>
      </c>
      <c r="L50" s="2">
        <f t="shared" si="14"/>
        <v>7.5186891477291882</v>
      </c>
      <c r="S50" s="2">
        <v>19.600000000000001</v>
      </c>
      <c r="T50" s="2">
        <f t="shared" si="12"/>
        <v>9</v>
      </c>
      <c r="U50" s="2">
        <f t="shared" si="13"/>
        <v>8.8960081372867528</v>
      </c>
    </row>
    <row r="51" spans="2:22" x14ac:dyDescent="0.2">
      <c r="B51" s="2">
        <v>158.80000000000001</v>
      </c>
      <c r="C51" s="2">
        <f t="shared" si="9"/>
        <v>8</v>
      </c>
      <c r="D51" s="2">
        <f t="shared" si="10"/>
        <v>5.6218816298811802</v>
      </c>
      <c r="J51" s="2">
        <v>58.4</v>
      </c>
      <c r="K51" s="2">
        <f t="shared" si="11"/>
        <v>8</v>
      </c>
      <c r="L51" s="2">
        <f t="shared" si="14"/>
        <v>6.2353624811983348</v>
      </c>
      <c r="S51" s="2">
        <v>24.3</v>
      </c>
      <c r="T51" s="2">
        <f t="shared" si="12"/>
        <v>8</v>
      </c>
      <c r="U51" s="2">
        <f t="shared" si="13"/>
        <v>7.8530873913540429</v>
      </c>
    </row>
    <row r="52" spans="2:22" x14ac:dyDescent="0.2">
      <c r="B52" s="2">
        <v>189.6</v>
      </c>
      <c r="C52" s="2">
        <f t="shared" si="9"/>
        <v>7.0000000000000009</v>
      </c>
      <c r="D52" s="2">
        <f t="shared" si="10"/>
        <v>4.4309220936627574</v>
      </c>
      <c r="J52" s="2">
        <v>70.599999999999994</v>
      </c>
      <c r="K52" s="2">
        <f t="shared" si="11"/>
        <v>7.0000000000000009</v>
      </c>
      <c r="L52" s="2">
        <f t="shared" si="14"/>
        <v>5.0040904904235379</v>
      </c>
      <c r="S52" s="2">
        <v>29.3</v>
      </c>
      <c r="T52" s="2">
        <f t="shared" si="12"/>
        <v>7.0000000000000009</v>
      </c>
      <c r="U52" s="2">
        <f t="shared" si="13"/>
        <v>6.8104015247537824</v>
      </c>
    </row>
    <row r="53" spans="2:22" x14ac:dyDescent="0.2">
      <c r="B53" s="2">
        <v>225.9</v>
      </c>
      <c r="C53" s="2">
        <f t="shared" si="9"/>
        <v>6</v>
      </c>
      <c r="D53" s="2">
        <f t="shared" si="10"/>
        <v>3.2079405134446466</v>
      </c>
      <c r="H53" s="4"/>
      <c r="J53" s="2">
        <v>84.7</v>
      </c>
      <c r="K53" s="2">
        <f t="shared" si="11"/>
        <v>6</v>
      </c>
      <c r="L53" s="2">
        <f t="shared" si="14"/>
        <v>3.7479496016826217</v>
      </c>
      <c r="S53" s="2">
        <v>34.299999999999997</v>
      </c>
      <c r="T53" s="2">
        <f t="shared" si="12"/>
        <v>6</v>
      </c>
      <c r="U53" s="2">
        <f t="shared" si="13"/>
        <v>5.8382128485529234</v>
      </c>
    </row>
    <row r="54" spans="2:22" x14ac:dyDescent="0.2">
      <c r="B54" s="2">
        <v>263.2</v>
      </c>
      <c r="C54" s="2">
        <f t="shared" si="9"/>
        <v>5</v>
      </c>
      <c r="D54" s="2">
        <f t="shared" si="10"/>
        <v>2.1598959778419351</v>
      </c>
      <c r="J54" s="2">
        <v>98.8</v>
      </c>
      <c r="K54" s="2">
        <f t="shared" si="11"/>
        <v>5</v>
      </c>
      <c r="L54" s="2">
        <f t="shared" si="14"/>
        <v>2.6730351089969733</v>
      </c>
      <c r="S54" s="2">
        <v>40</v>
      </c>
      <c r="T54" s="2">
        <f t="shared" si="12"/>
        <v>5</v>
      </c>
      <c r="U54" s="2">
        <f t="shared" si="13"/>
        <v>4.8110125649349591</v>
      </c>
    </row>
    <row r="55" spans="2:22" x14ac:dyDescent="0.2">
      <c r="B55" s="2">
        <v>307.7</v>
      </c>
      <c r="C55" s="2">
        <f t="shared" si="9"/>
        <v>4</v>
      </c>
      <c r="D55" s="2">
        <f t="shared" si="10"/>
        <v>1.177707035018273</v>
      </c>
      <c r="E55" s="1"/>
      <c r="H55" s="1"/>
      <c r="I55" s="1"/>
      <c r="J55" s="2">
        <v>115.6</v>
      </c>
      <c r="K55" s="2">
        <f t="shared" si="11"/>
        <v>4</v>
      </c>
      <c r="L55" s="2">
        <f t="shared" si="14"/>
        <v>1.6323646282929039</v>
      </c>
      <c r="S55" s="2">
        <v>46.7</v>
      </c>
      <c r="T55" s="2">
        <f t="shared" si="12"/>
        <v>4</v>
      </c>
      <c r="U55" s="2">
        <f t="shared" si="13"/>
        <v>3.7426220483369188</v>
      </c>
    </row>
    <row r="56" spans="2:22" x14ac:dyDescent="0.2">
      <c r="B56" s="2">
        <v>359.7</v>
      </c>
      <c r="C56" s="2">
        <f t="shared" si="9"/>
        <v>3</v>
      </c>
      <c r="D56" s="2">
        <f t="shared" si="10"/>
        <v>0.40520197662325397</v>
      </c>
      <c r="E56" s="1"/>
      <c r="H56" s="1"/>
      <c r="I56" s="1"/>
      <c r="J56" s="2">
        <v>134.30000000000001</v>
      </c>
      <c r="K56" s="2">
        <f t="shared" si="11"/>
        <v>3</v>
      </c>
      <c r="L56" s="2">
        <f t="shared" si="14"/>
        <v>0.77223160224056819</v>
      </c>
      <c r="S56" s="2">
        <v>53.9</v>
      </c>
      <c r="T56" s="2">
        <f t="shared" si="12"/>
        <v>3</v>
      </c>
      <c r="U56" s="2">
        <f t="shared" si="13"/>
        <v>2.7514421483307649</v>
      </c>
    </row>
    <row r="57" spans="2:22" x14ac:dyDescent="0.2">
      <c r="B57" s="2">
        <v>434.5</v>
      </c>
      <c r="C57" s="2">
        <f t="shared" si="9"/>
        <v>2</v>
      </c>
      <c r="D57" s="2">
        <f t="shared" si="10"/>
        <v>8.6393898143799497E-5</v>
      </c>
      <c r="E57" s="1"/>
      <c r="H57" s="1"/>
      <c r="I57" s="1"/>
      <c r="J57" s="2">
        <v>160</v>
      </c>
      <c r="K57" s="2">
        <f t="shared" si="11"/>
        <v>2</v>
      </c>
      <c r="L57" s="2">
        <f t="shared" si="14"/>
        <v>0.10976133325024395</v>
      </c>
      <c r="S57" s="2">
        <v>64.400000000000006</v>
      </c>
      <c r="T57" s="2">
        <f t="shared" si="12"/>
        <v>2</v>
      </c>
      <c r="U57" s="2">
        <f>T38*100</f>
        <v>1.5601294259627438</v>
      </c>
    </row>
    <row r="58" spans="2:22" x14ac:dyDescent="0.2">
      <c r="B58" s="2">
        <v>522.79999999999995</v>
      </c>
      <c r="C58" s="2">
        <f t="shared" si="9"/>
        <v>1</v>
      </c>
      <c r="D58" s="2">
        <f>F39*100</f>
        <v>0.59604259095957512</v>
      </c>
      <c r="E58" s="1"/>
      <c r="H58" s="1"/>
      <c r="I58" s="1"/>
      <c r="J58" s="2">
        <v>195.4</v>
      </c>
      <c r="K58" s="2">
        <f t="shared" si="11"/>
        <v>1</v>
      </c>
      <c r="L58" s="2">
        <f t="shared" si="14"/>
        <v>0.18015439153060697</v>
      </c>
      <c r="S58" s="2">
        <v>75.099999999999994</v>
      </c>
      <c r="T58" s="2">
        <f t="shared" si="12"/>
        <v>1</v>
      </c>
      <c r="U58" s="2">
        <f t="shared" si="13"/>
        <v>0.69674614940114088</v>
      </c>
    </row>
    <row r="59" spans="2:22" x14ac:dyDescent="0.2">
      <c r="C59" s="1"/>
      <c r="E59" s="1"/>
      <c r="H59" s="1"/>
      <c r="I59" s="1"/>
      <c r="K59" s="1"/>
      <c r="L59" s="1"/>
    </row>
    <row r="60" spans="2:22" x14ac:dyDescent="0.2">
      <c r="C60" s="1"/>
      <c r="E60" s="1"/>
      <c r="G60" s="1"/>
      <c r="H60" s="1"/>
      <c r="I60" s="1"/>
      <c r="K60" s="1"/>
      <c r="L60" s="1"/>
    </row>
    <row r="61" spans="2:22" x14ac:dyDescent="0.2">
      <c r="B61" s="1"/>
      <c r="C61" s="1"/>
      <c r="D61" s="1"/>
      <c r="E61" s="1"/>
      <c r="H61" s="1"/>
      <c r="I61" s="1"/>
      <c r="J61" s="1"/>
      <c r="K61" s="1"/>
      <c r="L61" s="1"/>
      <c r="M61" s="1"/>
      <c r="S61" s="1"/>
      <c r="T61" s="1"/>
      <c r="U61" s="1"/>
      <c r="V61" s="1"/>
    </row>
    <row r="62" spans="2:22" x14ac:dyDescent="0.2">
      <c r="B62" cm="1">
        <f t="array" ref="B62:D66">LINEST(C45:C58,B45:B58^COLUMN($A:$B), TRUE,TRUE)</f>
        <v>3.5416605653333822E-5</v>
      </c>
      <c r="C62">
        <v>-4.3271036910373456E-2</v>
      </c>
      <c r="D62">
        <v>13.992064916879665</v>
      </c>
      <c r="E62" s="1"/>
      <c r="F62" s="1"/>
      <c r="H62" s="1"/>
      <c r="I62" s="1"/>
      <c r="J62" cm="1">
        <f t="array" ref="J62:L66">LINEST(K45:K58,J45:J58^COLUMN($A:$B), TRUE,TRUE)</f>
        <v>2.5362149773275501E-4</v>
      </c>
      <c r="K62">
        <v>-0.11530248405823963</v>
      </c>
      <c r="L62">
        <v>13.90147515847962</v>
      </c>
      <c r="M62" s="1"/>
      <c r="S62" cm="1">
        <f t="array" ref="S62:U66">LINEST(T45:T58,S45:S58^COLUMN($A:$B), TRUE,TRUE)</f>
        <v>1.4781700935297115E-3</v>
      </c>
      <c r="T62">
        <v>-0.28370575158242489</v>
      </c>
      <c r="U62">
        <v>14.024729044729774</v>
      </c>
      <c r="V62" s="1"/>
    </row>
    <row r="63" spans="2:22" x14ac:dyDescent="0.2">
      <c r="B63">
        <v>1.2864567897541926E-6</v>
      </c>
      <c r="C63">
        <v>6.6488380881425007E-4</v>
      </c>
      <c r="D63">
        <v>6.7779809085743561E-2</v>
      </c>
      <c r="E63" s="1"/>
      <c r="F63" s="1"/>
      <c r="H63" s="1"/>
      <c r="I63" s="1"/>
      <c r="J63">
        <v>4.2272735495305254E-6</v>
      </c>
      <c r="K63">
        <v>8.1048090336095801E-4</v>
      </c>
      <c r="L63">
        <v>3.0516255196479821E-2</v>
      </c>
      <c r="M63" s="1"/>
      <c r="S63">
        <v>2.7295694688432679E-5</v>
      </c>
      <c r="T63">
        <v>2.043419335918565E-3</v>
      </c>
      <c r="U63">
        <v>3.0328972488094491E-2</v>
      </c>
      <c r="V63" s="1"/>
    </row>
    <row r="64" spans="2:22" x14ac:dyDescent="0.2">
      <c r="B64">
        <v>0.99938773154134863</v>
      </c>
      <c r="C64">
        <v>0.11252921816261542</v>
      </c>
      <c r="D64" t="e">
        <v>#N/A</v>
      </c>
      <c r="E64" s="1"/>
      <c r="F64" s="1"/>
      <c r="H64" s="1"/>
      <c r="I64" s="1"/>
      <c r="J64">
        <v>0.99987213269495956</v>
      </c>
      <c r="K64">
        <v>5.1424977921685495E-2</v>
      </c>
      <c r="L64" t="e">
        <v>#N/A</v>
      </c>
      <c r="M64" s="1"/>
      <c r="S64">
        <v>0.99988320572341671</v>
      </c>
      <c r="T64">
        <v>4.9147919518234981E-2</v>
      </c>
      <c r="U64" t="e">
        <v>#N/A</v>
      </c>
      <c r="V64" s="1"/>
    </row>
    <row r="65" spans="2:24" x14ac:dyDescent="0.2">
      <c r="B65">
        <v>8977.4876458356448</v>
      </c>
      <c r="C65">
        <v>11</v>
      </c>
      <c r="D65" t="e">
        <v>#N/A</v>
      </c>
      <c r="E65" s="1"/>
      <c r="F65" s="1"/>
      <c r="H65" s="1"/>
      <c r="I65" s="1"/>
      <c r="J65">
        <v>43007.841043355504</v>
      </c>
      <c r="K65">
        <v>11</v>
      </c>
      <c r="L65" t="e">
        <v>#N/A</v>
      </c>
      <c r="M65" s="1"/>
      <c r="S65">
        <v>47085.848659380579</v>
      </c>
      <c r="T65">
        <v>11</v>
      </c>
      <c r="U65" t="e">
        <v>#N/A</v>
      </c>
      <c r="V65" s="1"/>
    </row>
    <row r="66" spans="2:24" x14ac:dyDescent="0.2">
      <c r="B66">
        <v>227.36070892565684</v>
      </c>
      <c r="C66">
        <v>0.13929107434318444</v>
      </c>
      <c r="D66" t="e">
        <v>#N/A</v>
      </c>
      <c r="E66" s="1"/>
      <c r="F66" s="1"/>
      <c r="H66" s="1"/>
      <c r="I66" s="1"/>
      <c r="J66">
        <v>227.47091018810332</v>
      </c>
      <c r="K66">
        <v>2.9089811896704246E-2</v>
      </c>
      <c r="L66" t="e">
        <v>#N/A</v>
      </c>
      <c r="M66" s="1"/>
      <c r="S66">
        <v>227.47342930207734</v>
      </c>
      <c r="T66">
        <v>2.6570697922679937E-2</v>
      </c>
      <c r="U66" t="e">
        <v>#N/A</v>
      </c>
      <c r="V66" s="1"/>
    </row>
    <row r="67" spans="2:24" x14ac:dyDescent="0.2">
      <c r="B67" s="1"/>
      <c r="C67" s="29"/>
      <c r="D67" s="1"/>
      <c r="E67" s="1"/>
      <c r="J67" s="1"/>
      <c r="K67" s="29"/>
      <c r="L67" s="1"/>
      <c r="M67" s="1"/>
      <c r="S67" s="1"/>
      <c r="T67" s="29"/>
      <c r="U67" s="1"/>
      <c r="V67" s="1"/>
    </row>
    <row r="68" spans="2:24" x14ac:dyDescent="0.2">
      <c r="B68" s="1"/>
      <c r="C68" s="1"/>
      <c r="D68" s="1"/>
      <c r="E68" s="1"/>
      <c r="J68" s="1"/>
      <c r="K68" s="1"/>
      <c r="L68" s="1"/>
      <c r="M68" s="1"/>
      <c r="S68" s="1"/>
      <c r="T68" s="1"/>
      <c r="U68" s="1"/>
      <c r="V68" s="1"/>
    </row>
    <row r="69" spans="2:24" x14ac:dyDescent="0.2">
      <c r="B69" s="1" t="s">
        <v>58</v>
      </c>
      <c r="C69" s="1" t="s">
        <v>59</v>
      </c>
      <c r="D69" s="1" t="s">
        <v>60</v>
      </c>
      <c r="E69" s="1" t="s">
        <v>61</v>
      </c>
      <c r="F69" s="1" t="s">
        <v>62</v>
      </c>
      <c r="G69" s="1" t="s">
        <v>63</v>
      </c>
      <c r="J69" s="1" t="s">
        <v>58</v>
      </c>
      <c r="K69" s="1" t="s">
        <v>63</v>
      </c>
      <c r="L69" s="1" t="s">
        <v>60</v>
      </c>
      <c r="M69" s="1" t="s">
        <v>63</v>
      </c>
      <c r="N69" s="1" t="s">
        <v>62</v>
      </c>
      <c r="O69" s="1" t="s">
        <v>63</v>
      </c>
      <c r="S69" s="1" t="s">
        <v>58</v>
      </c>
      <c r="T69" s="1" t="s">
        <v>63</v>
      </c>
      <c r="U69" s="1" t="s">
        <v>60</v>
      </c>
      <c r="V69" s="1" t="s">
        <v>63</v>
      </c>
      <c r="W69" s="1" t="s">
        <v>62</v>
      </c>
      <c r="X69" s="1" t="s">
        <v>63</v>
      </c>
    </row>
    <row r="70" spans="2:24" x14ac:dyDescent="0.2">
      <c r="B70" s="1">
        <f>(($E$19/$D$19)^2)*SQRT(2*B62/(9.8*100))</f>
        <v>0.68968882884114147</v>
      </c>
      <c r="C70" s="1">
        <f>SQRT((2*0.001*E19*SQRT(2*B62/(9.81*100))/D19^2)^2+(2*0.00005*E19^2*D19^3*SQRT(2*B62/(9.81*100)))^2+(D19^2*B63/(E19^2*SQRT(B62*2*9.81/100)))^2)</f>
        <v>7.0701252933728165E-3</v>
      </c>
      <c r="D70" s="1">
        <f>-C62*(E19/D19)^2*(1/SQRT(2*9.81*0.14))/100</f>
        <v>0.66977903088103485</v>
      </c>
      <c r="E70" s="1">
        <f>SQRT(((E19^2*C63)/(100*D19^2*SQRT(2*9.81*0.14)))^2+((2*E19*C62*0.001)/(100*D19^2*SQRT(2*9.81*0.14)))^2+((2*0.00005*C62*E19^2)/(100*D19^3*SQRT(2*9.81*0.14)))^2+((C62*E19^2*0.001)/(100*D19^2*2*0.14*SQRT(2*9.81*0.14)))^2)</f>
        <v>2.1482055191638892E-2</v>
      </c>
      <c r="F70">
        <f>AVERAGE(D70,B70)</f>
        <v>0.67973392986108816</v>
      </c>
      <c r="G70">
        <f>C70+E70</f>
        <v>2.8552180485011708E-2</v>
      </c>
      <c r="J70" s="1">
        <f>(($M$19/$L$19)^2)*SQRT(2*J62/(9.8*100))</f>
        <v>0.74740063905955889</v>
      </c>
      <c r="K70" s="1">
        <f>SQRT((2*0.001*M19*SQRT(2*J62/(9.81*100))/L19^2)^2+(2*0.00005*M19^2*L19^3*SQRT(2*J62/(9.81*100)))^2+(L19^2*J63/(M19^2*SQRT(J62*2*9.81/100)))^2)</f>
        <v>7.6617395477329119E-3</v>
      </c>
      <c r="L70" s="1">
        <f>-K62*(M19/L19)^2*1/SQRT(2*9.81*0.14)*1/100</f>
        <v>0.72274254026261464</v>
      </c>
      <c r="M70" s="1">
        <f>SQRT(((M19^2*K63)/(100*L19^2*SQRT(2*9.81*0.14)))^2+((2*M19*K62*0.001)/(100*L19^2*SQRT(2*9.81*0.14)))^2+((2*0.00005*K62*M19^2)/(100*L19^3*SQRT(2*9.81*0.14)))^2+((K62*M19^2*0.001)/(100*L19^2*2*0.14*SQRT(2*9.81*0.14)))^2)</f>
        <v>1.5170083288220931E-2</v>
      </c>
      <c r="N70">
        <f>AVERAGE(L70,J70)</f>
        <v>0.73507158966108677</v>
      </c>
      <c r="O70">
        <f>K70+M70</f>
        <v>2.2831822835953842E-2</v>
      </c>
      <c r="S70" s="1">
        <f>(($V$19/$U$19)^2)*SQRT(2*S62/(9.8*100))</f>
        <v>0.99430167471714703</v>
      </c>
      <c r="T70" s="1">
        <f>SQRT((2*0.001*V19*SQRT(2*S62/(9.81*100))/U19^2)^2+(2*0.00005*V19^2*U19^3*SQRT(2*S62/(9.81*100)))^2+(U19^2*S63/(V19^2*SQRT(S62*2*9.81/100)))^2)</f>
        <v>1.019276721378346E-2</v>
      </c>
      <c r="U70" s="1">
        <f>-T62*(V19/U19)^2*(1/SQRT(2*9.81*0.14))/100</f>
        <v>0.97996062553053676</v>
      </c>
      <c r="V70" s="1">
        <f>SQRT(((V19^2*T63)/(100*U19^2*SQRT(2*9.81*0.14)))^2+((2*V19*T62*0.001)/(100*U19^2*SQRT(2*9.81*0.14)))^2+((2*0.00005*T62*V19^2)/(100*U19^3*SQRT(2*9.81*0.14)))^2+((T62*V19^2*0.001)/(100*U19^2*2*0.14*SQRT(2*9.81*0.14)))^2)</f>
        <v>1.7540416750721228E-2</v>
      </c>
      <c r="W70">
        <f>AVERAGE(U70,S70)</f>
        <v>0.98713115012384189</v>
      </c>
      <c r="X70">
        <f>T70+V70</f>
        <v>2.7733183964504686E-2</v>
      </c>
    </row>
    <row r="71" spans="2:24" x14ac:dyDescent="0.2">
      <c r="C71" s="1">
        <f>(2*0.001*E19*SQRT(2*B62/(9.81*100))/D19^2)+(2*0.00005*E19^2*D19^3*SQRT(2*B62/(9.81*100)))+(D19^2*B63/(E19^2*SQRT(B62*2*9.81/100)))</f>
        <v>7.0703155275864881E-3</v>
      </c>
      <c r="E71" s="1">
        <f>(E19^2*C63)/(100*D19^2*SQRT(2*9.81*0.14))+((2*E19*-C62*0.001)/(100*D19^2*SQRT(2*9.81*0.14)))+((2*0.00005*-C62*E19^2)/(100*D19^3*SQRT(2*9.81*0.14)))+((-C62*E19^2*0.001)/(100*D19^2*2*0.14*SQRT(2*9.81*0.14)))</f>
        <v>3.6949985789011298E-2</v>
      </c>
      <c r="F71" s="1"/>
      <c r="G71">
        <f>SQRT(C70^2+E70^2)</f>
        <v>2.261560007872021E-2</v>
      </c>
      <c r="K71" s="1">
        <f>(2*0.001*M19*SQRT(2*J62/(9.81*100))/L19^2)+(2*0.00005*M19^2*L19^3*SQRT(2*J62/(9.81*100)))+(L19^2*J63/(M19^2*SQRT(J62*2*9.81/100)))</f>
        <v>7.6623163713016619E-3</v>
      </c>
      <c r="M71" s="1">
        <f>(M19^2*K63)/(100*L19^2*SQRT(2*9.81*0.14))+((2*M19*-K62*0.001)/(100*L19^2*SQRT(2*9.81*0.14)))+((2*0.00005*-K62*M19^2)/(100*L19^3*SQRT(2*9.81*0.14)))+((-K62*M19^2*0.001)/(100*L19^2*2*0.14*SQRT(2*9.81*0.14)))</f>
        <v>2.702040611971579E-2</v>
      </c>
      <c r="O71">
        <f>SQRT(K70^2+M70^2)</f>
        <v>1.699510752742843E-2</v>
      </c>
      <c r="T71" s="1">
        <f>(2*0.001*V19*SQRT(2*S62/(9.81*100))/U19^2)+(2*0.00005*V19^2*U19^3*SQRT(2*S62/(9.81*100)))+(U19^2*S63/(V19^2*SQRT(S62*2*9.81/100)))</f>
        <v>1.0195566638472835E-2</v>
      </c>
      <c r="V71" s="1">
        <f>(V19^2*T63)/(100*U19^2*SQRT(2*9.81*0.14))+((2*V19*-T62*0.001)/(100*U19^2*SQRT(2*9.81*0.14)))+((2*0.00005*-T62*V19^2)/(100*U19^3*SQRT(2*9.81*0.14)))+((-T62*V19^2*0.001)/(100*U19^2*2*0.14*SQRT(2*9.81*0.14)))</f>
        <v>3.2633059744106546E-2</v>
      </c>
      <c r="X71">
        <f>SQRT(T70^2+V70^2)</f>
        <v>2.028691014579009E-2</v>
      </c>
    </row>
    <row r="73" spans="2:24" x14ac:dyDescent="0.2">
      <c r="D73" t="s">
        <v>64</v>
      </c>
      <c r="E73">
        <f>SQRT(((C62*E19^2*0.001)/(100*D19^2*2*0.14*SQRT(2*9.81*0.14)))^2)</f>
        <v>2.392067967432267E-3</v>
      </c>
    </row>
    <row r="74" spans="2:24" x14ac:dyDescent="0.2">
      <c r="D74" t="s">
        <v>65</v>
      </c>
      <c r="E74">
        <f>SQRT(((2*0.00005*C62*E19^2)/(100*D19^3*SQRT(2*9.81*0.14)))^2)</f>
        <v>1.7396857944961944E-2</v>
      </c>
    </row>
    <row r="75" spans="2:24" x14ac:dyDescent="0.2">
      <c r="D75" t="s">
        <v>66</v>
      </c>
      <c r="E75">
        <f>SQRT(((2*E19*C62*0.001)/(100*D19^2*SQRT(2*9.81*0.14)))^2)</f>
        <v>6.8695285218567676E-3</v>
      </c>
    </row>
    <row r="76" spans="2:24" x14ac:dyDescent="0.2">
      <c r="D76" t="s">
        <v>67</v>
      </c>
      <c r="E76">
        <f>SQRT(((E19^2*C63)/(100*D19^2*SQRT(2*9.81*0.14)))^2)</f>
        <v>1.0291531354760321E-2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6BC31-4A2E-0C4C-B936-3DD91FEB713B}">
  <dimension ref="A2:AT108"/>
  <sheetViews>
    <sheetView topLeftCell="L44" zoomScale="90" workbookViewId="0">
      <selection activeCell="R82" sqref="R82"/>
    </sheetView>
  </sheetViews>
  <sheetFormatPr baseColWidth="10" defaultColWidth="11" defaultRowHeight="16" x14ac:dyDescent="0.2"/>
  <cols>
    <col min="2" max="2" width="13.1640625" customWidth="1"/>
    <col min="4" max="4" width="13.33203125" customWidth="1"/>
    <col min="5" max="5" width="15" customWidth="1"/>
    <col min="6" max="6" width="13.1640625" bestFit="1" customWidth="1"/>
    <col min="7" max="7" width="14.5" customWidth="1"/>
    <col min="8" max="8" width="11.6640625" customWidth="1"/>
    <col min="11" max="11" width="17" customWidth="1"/>
    <col min="12" max="12" width="14.1640625" customWidth="1"/>
    <col min="17" max="17" width="11.6640625" customWidth="1"/>
    <col min="18" max="18" width="12.1640625" bestFit="1" customWidth="1"/>
    <col min="22" max="22" width="12.1640625" bestFit="1" customWidth="1"/>
  </cols>
  <sheetData>
    <row r="2" spans="2:26" ht="17" thickBot="1" x14ac:dyDescent="0.25"/>
    <row r="3" spans="2:26" ht="17" thickBot="1" x14ac:dyDescent="0.25">
      <c r="D3" s="26" t="s">
        <v>68</v>
      </c>
      <c r="E3" s="27" t="s">
        <v>69</v>
      </c>
    </row>
    <row r="4" spans="2:26" x14ac:dyDescent="0.2">
      <c r="B4" t="s">
        <v>0</v>
      </c>
      <c r="G4" t="s">
        <v>1</v>
      </c>
    </row>
    <row r="5" spans="2:26" ht="17" thickBot="1" x14ac:dyDescent="0.25">
      <c r="L5" s="1"/>
      <c r="M5" s="2" t="s">
        <v>5</v>
      </c>
      <c r="N5" s="2" t="s">
        <v>6</v>
      </c>
      <c r="O5" s="2" t="s">
        <v>7</v>
      </c>
      <c r="R5" s="1"/>
      <c r="S5" s="1"/>
      <c r="T5" s="1"/>
    </row>
    <row r="6" spans="2:26" x14ac:dyDescent="0.2">
      <c r="B6" s="5" t="s">
        <v>9</v>
      </c>
      <c r="C6" s="5" t="s">
        <v>10</v>
      </c>
      <c r="D6" s="5" t="s">
        <v>11</v>
      </c>
      <c r="E6" s="5" t="s">
        <v>12</v>
      </c>
      <c r="G6" s="7" t="s">
        <v>13</v>
      </c>
      <c r="H6" s="8" t="s">
        <v>14</v>
      </c>
      <c r="I6" s="9" t="s">
        <v>15</v>
      </c>
      <c r="K6" s="1"/>
      <c r="L6" s="2" t="s">
        <v>9</v>
      </c>
      <c r="M6" s="2">
        <v>3.7</v>
      </c>
      <c r="N6" s="2">
        <v>5.85</v>
      </c>
      <c r="O6" s="2">
        <v>8.85</v>
      </c>
    </row>
    <row r="7" spans="2:26" ht="17" thickBot="1" x14ac:dyDescent="0.25">
      <c r="B7" s="5">
        <v>195</v>
      </c>
      <c r="C7" s="5">
        <f>B7/2</f>
        <v>97.5</v>
      </c>
      <c r="D7" s="5">
        <f>PI()*C7^2</f>
        <v>29864.765163187971</v>
      </c>
      <c r="E7" s="6"/>
      <c r="G7" s="10">
        <v>1</v>
      </c>
      <c r="H7" s="11">
        <f>G7/1000</f>
        <v>1E-3</v>
      </c>
      <c r="I7" s="12">
        <v>0.1</v>
      </c>
      <c r="K7" s="1"/>
      <c r="L7" s="2" t="s">
        <v>18</v>
      </c>
      <c r="M7" s="2">
        <f>M6/1000</f>
        <v>3.7000000000000002E-3</v>
      </c>
      <c r="N7" s="2">
        <f t="shared" ref="N7:O7" si="0">N6/1000</f>
        <v>5.8499999999999993E-3</v>
      </c>
      <c r="O7" s="2">
        <f t="shared" si="0"/>
        <v>8.8500000000000002E-3</v>
      </c>
    </row>
    <row r="8" spans="2:26" x14ac:dyDescent="0.2">
      <c r="B8" t="s">
        <v>20</v>
      </c>
      <c r="L8" s="2" t="s">
        <v>11</v>
      </c>
      <c r="M8" s="2">
        <f>PI()*(M6/2)^2</f>
        <v>10.752100856911069</v>
      </c>
      <c r="N8" s="2">
        <f t="shared" ref="N8:O9" si="1">PI()*(N6/2)^2</f>
        <v>26.878288646869169</v>
      </c>
      <c r="O8" s="2">
        <f t="shared" si="1"/>
        <v>61.514347652696635</v>
      </c>
    </row>
    <row r="9" spans="2:26" x14ac:dyDescent="0.2">
      <c r="L9" s="2" t="s">
        <v>21</v>
      </c>
      <c r="M9" s="2">
        <f>PI()*(M7/2)^2</f>
        <v>1.0752100856911067E-5</v>
      </c>
      <c r="N9" s="2">
        <f t="shared" si="1"/>
        <v>2.6878288646869169E-5</v>
      </c>
      <c r="O9" s="2">
        <f t="shared" si="1"/>
        <v>6.151434765269665E-5</v>
      </c>
    </row>
    <row r="10" spans="2:26" x14ac:dyDescent="0.2">
      <c r="B10" s="2" t="s">
        <v>18</v>
      </c>
      <c r="C10" s="2" t="s">
        <v>22</v>
      </c>
      <c r="D10" s="2" t="s">
        <v>21</v>
      </c>
      <c r="E10" s="2" t="s">
        <v>23</v>
      </c>
    </row>
    <row r="11" spans="2:26" x14ac:dyDescent="0.2">
      <c r="B11" s="2">
        <f>B7/1000</f>
        <v>0.19500000000000001</v>
      </c>
      <c r="C11" s="2">
        <f>B11/2</f>
        <v>9.7500000000000003E-2</v>
      </c>
      <c r="D11" s="2">
        <f>PI()*C11^2</f>
        <v>2.9864765163187975E-2</v>
      </c>
      <c r="E11" s="2">
        <f>E7/1000</f>
        <v>0</v>
      </c>
      <c r="H11" s="1" t="s">
        <v>24</v>
      </c>
      <c r="N11" t="s">
        <v>25</v>
      </c>
      <c r="O11" t="s">
        <v>26</v>
      </c>
    </row>
    <row r="12" spans="2:26" x14ac:dyDescent="0.2">
      <c r="H12">
        <f>0.15*D11</f>
        <v>4.4797147744781961E-3</v>
      </c>
      <c r="I12" t="s">
        <v>27</v>
      </c>
    </row>
    <row r="14" spans="2:26" x14ac:dyDescent="0.2">
      <c r="G14" s="2" t="s">
        <v>70</v>
      </c>
      <c r="H14" s="2">
        <v>0.15</v>
      </c>
    </row>
    <row r="15" spans="2:26" x14ac:dyDescent="0.2">
      <c r="Z15" s="4"/>
    </row>
    <row r="16" spans="2:26" x14ac:dyDescent="0.2">
      <c r="C16" s="4" t="s">
        <v>71</v>
      </c>
      <c r="D16" s="1"/>
      <c r="E16" s="1" t="s">
        <v>33</v>
      </c>
      <c r="F16" s="1" t="s">
        <v>34</v>
      </c>
      <c r="G16" s="1" t="s">
        <v>72</v>
      </c>
      <c r="I16" s="4" t="s">
        <v>71</v>
      </c>
      <c r="J16" s="1"/>
      <c r="K16" s="1" t="s">
        <v>33</v>
      </c>
      <c r="L16" s="1" t="s">
        <v>34</v>
      </c>
      <c r="M16" s="1" t="s">
        <v>72</v>
      </c>
      <c r="O16" s="4" t="s">
        <v>71</v>
      </c>
      <c r="P16" s="1"/>
      <c r="Q16" s="1" t="s">
        <v>33</v>
      </c>
      <c r="R16" s="1" t="s">
        <v>34</v>
      </c>
      <c r="S16" s="1" t="s">
        <v>72</v>
      </c>
      <c r="X16" s="1"/>
      <c r="Y16" s="1"/>
    </row>
    <row r="17" spans="2:46" x14ac:dyDescent="0.2">
      <c r="C17" t="s">
        <v>69</v>
      </c>
      <c r="D17" s="1" t="s">
        <v>5</v>
      </c>
      <c r="E17" s="1">
        <f>$M$7</f>
        <v>3.7000000000000002E-3</v>
      </c>
      <c r="F17" s="1">
        <f>$B$11</f>
        <v>0.19500000000000001</v>
      </c>
      <c r="G17" s="1">
        <v>0.25</v>
      </c>
      <c r="I17" t="s">
        <v>69</v>
      </c>
      <c r="J17" s="1" t="s">
        <v>6</v>
      </c>
      <c r="K17" s="1">
        <f>$N$7</f>
        <v>5.8499999999999993E-3</v>
      </c>
      <c r="L17" s="1">
        <f>$B$11</f>
        <v>0.19500000000000001</v>
      </c>
      <c r="M17" s="1">
        <v>0.25</v>
      </c>
      <c r="O17" t="s">
        <v>69</v>
      </c>
      <c r="P17" s="1" t="s">
        <v>7</v>
      </c>
      <c r="Q17" s="1">
        <f>$O$7</f>
        <v>8.8500000000000002E-3</v>
      </c>
      <c r="R17" s="1">
        <f>$B$11</f>
        <v>0.19500000000000001</v>
      </c>
      <c r="S17" s="1">
        <v>0.25</v>
      </c>
      <c r="X17" s="1"/>
      <c r="Y17" s="1"/>
      <c r="AA17" s="1" t="s">
        <v>33</v>
      </c>
      <c r="AB17" s="1" t="s">
        <v>34</v>
      </c>
      <c r="AC17" s="1" t="s">
        <v>72</v>
      </c>
      <c r="AJ17" s="1" t="s">
        <v>33</v>
      </c>
      <c r="AK17" s="1" t="s">
        <v>34</v>
      </c>
      <c r="AL17" s="1" t="s">
        <v>72</v>
      </c>
    </row>
    <row r="18" spans="2:46" x14ac:dyDescent="0.2">
      <c r="AA18" s="1">
        <f>$N$7</f>
        <v>5.8499999999999993E-3</v>
      </c>
      <c r="AB18" s="1">
        <f>$B$11</f>
        <v>0.19500000000000001</v>
      </c>
      <c r="AC18" s="1">
        <v>0.25</v>
      </c>
      <c r="AJ18" s="1">
        <f>E17</f>
        <v>3.7000000000000002E-3</v>
      </c>
      <c r="AK18" s="1">
        <f>$B$11</f>
        <v>0.19500000000000001</v>
      </c>
      <c r="AL18" s="1">
        <v>0.25</v>
      </c>
    </row>
    <row r="19" spans="2:46" x14ac:dyDescent="0.2">
      <c r="W19" s="1"/>
      <c r="X19" s="1"/>
      <c r="Z19" s="1"/>
      <c r="AA19" s="1"/>
      <c r="AC19" s="1"/>
      <c r="AD19" s="1"/>
    </row>
    <row r="20" spans="2:46" x14ac:dyDescent="0.2">
      <c r="B20" s="4" t="s">
        <v>35</v>
      </c>
      <c r="E20" s="4" t="s">
        <v>36</v>
      </c>
      <c r="H20" s="4" t="s">
        <v>35</v>
      </c>
      <c r="K20" s="4" t="s">
        <v>36</v>
      </c>
      <c r="M20" s="1"/>
      <c r="N20" s="4" t="s">
        <v>35</v>
      </c>
      <c r="Q20" s="4" t="s">
        <v>36</v>
      </c>
      <c r="S20" s="1"/>
      <c r="V20" s="4"/>
      <c r="Y20" s="4"/>
      <c r="AA20" s="1"/>
      <c r="AC20" s="1"/>
      <c r="AD20" s="1"/>
    </row>
    <row r="21" spans="2:46" x14ac:dyDescent="0.2">
      <c r="M21" s="1"/>
      <c r="S21" s="1"/>
      <c r="AA21" s="1"/>
      <c r="AC21" s="1"/>
      <c r="AD21" s="1"/>
    </row>
    <row r="22" spans="2:46" x14ac:dyDescent="0.2">
      <c r="B22" t="s">
        <v>73</v>
      </c>
      <c r="E22" t="s">
        <v>74</v>
      </c>
      <c r="H22" t="s">
        <v>73</v>
      </c>
      <c r="K22" t="s">
        <v>74</v>
      </c>
      <c r="M22" s="1"/>
      <c r="N22" t="s">
        <v>73</v>
      </c>
      <c r="Q22" t="s">
        <v>74</v>
      </c>
      <c r="S22" s="1"/>
      <c r="X22" t="s">
        <v>100</v>
      </c>
      <c r="Z22" s="1"/>
      <c r="AB22" s="1"/>
      <c r="AG22" t="s">
        <v>101</v>
      </c>
      <c r="AI22" s="1"/>
      <c r="AK22" s="1"/>
      <c r="AP22" t="s">
        <v>105</v>
      </c>
      <c r="AR22" s="1"/>
      <c r="AT22" s="1"/>
    </row>
    <row r="23" spans="2:46" x14ac:dyDescent="0.2">
      <c r="B23" s="2" t="s">
        <v>15</v>
      </c>
      <c r="C23" s="2" t="s">
        <v>37</v>
      </c>
      <c r="E23" s="2" t="s">
        <v>15</v>
      </c>
      <c r="F23" s="2" t="s">
        <v>37</v>
      </c>
      <c r="H23" s="2" t="s">
        <v>15</v>
      </c>
      <c r="I23" s="2" t="s">
        <v>37</v>
      </c>
      <c r="K23" s="2" t="s">
        <v>15</v>
      </c>
      <c r="L23" s="2" t="s">
        <v>37</v>
      </c>
      <c r="M23" s="1"/>
      <c r="N23" s="2" t="s">
        <v>15</v>
      </c>
      <c r="O23" s="2" t="s">
        <v>37</v>
      </c>
      <c r="Q23" s="2" t="s">
        <v>15</v>
      </c>
      <c r="R23" s="2" t="s">
        <v>37</v>
      </c>
      <c r="S23" s="1"/>
      <c r="U23" s="2" t="s">
        <v>15</v>
      </c>
      <c r="V23" s="2" t="s">
        <v>96</v>
      </c>
      <c r="AD23" s="2" t="s">
        <v>15</v>
      </c>
      <c r="AE23" s="2" t="s">
        <v>96</v>
      </c>
      <c r="AM23" s="2" t="s">
        <v>15</v>
      </c>
      <c r="AN23" s="2" t="s">
        <v>96</v>
      </c>
    </row>
    <row r="24" spans="2:46" x14ac:dyDescent="0.2">
      <c r="B24" s="31">
        <v>0</v>
      </c>
      <c r="C24" s="2">
        <v>0.15</v>
      </c>
      <c r="E24" s="2">
        <v>0</v>
      </c>
      <c r="F24" s="2">
        <f>$H$14-($M$6^2/$B$11^2)*SQRT(2*9.81*$H$14)*E24+((($M$6^2/$B$11^2)^2)*(9.81/2)*E24^2)</f>
        <v>0.15</v>
      </c>
      <c r="H24" s="2">
        <v>0</v>
      </c>
      <c r="I24" s="2">
        <f>$H$14-($M$6^2/$B$11^2)*SQRT(2*9.81*$H$14)*H24+((($M$6^2/$B$11^2)^2)*(9.81/2)*H24^2)</f>
        <v>0.15</v>
      </c>
      <c r="K24" s="2">
        <v>0</v>
      </c>
      <c r="L24" s="2">
        <f>$H$14-($N$7^2/$B$11^2)*SQRT(2*9.81*$H$14)*K24+((($N$7^2/$B$11^2)^2)*(9.81/2)*K24^2)</f>
        <v>0.15</v>
      </c>
      <c r="M24" s="1"/>
      <c r="N24" s="2">
        <v>0</v>
      </c>
      <c r="O24" s="2">
        <v>0.15</v>
      </c>
      <c r="Q24" s="2">
        <v>0</v>
      </c>
      <c r="R24" s="2">
        <f>$H$14-($O$6^2/$B$11^2)*SQRT(2*9.81*$H$14)*Q24+((($O$6^2/$B$11^2)^2)*(9.81/2)*Q24^2)</f>
        <v>0.15</v>
      </c>
      <c r="S24" s="1"/>
      <c r="U24" s="2">
        <f>Q24</f>
        <v>0</v>
      </c>
      <c r="V24" s="2">
        <f>2*SQRT(I24)</f>
        <v>0.7745966692414834</v>
      </c>
      <c r="X24" t="s">
        <v>97</v>
      </c>
      <c r="Z24" s="1"/>
      <c r="AB24" s="1"/>
      <c r="AD24" s="2">
        <f t="shared" ref="AD24:AD38" si="2">H24</f>
        <v>0</v>
      </c>
      <c r="AE24" s="2">
        <f t="shared" ref="AE24:AE38" si="3">2*SQRT(I24)</f>
        <v>0.7745966692414834</v>
      </c>
      <c r="AG24" t="s">
        <v>97</v>
      </c>
      <c r="AI24" s="1"/>
      <c r="AK24" s="1"/>
      <c r="AM24" s="2">
        <f>B24</f>
        <v>0</v>
      </c>
      <c r="AN24" s="2">
        <f>2*SQRT(C24)</f>
        <v>0.7745966692414834</v>
      </c>
      <c r="AP24" t="s">
        <v>97</v>
      </c>
      <c r="AR24" s="1"/>
      <c r="AT24" s="1"/>
    </row>
    <row r="25" spans="2:46" x14ac:dyDescent="0.2">
      <c r="B25" s="31">
        <v>29.6</v>
      </c>
      <c r="C25" s="2">
        <v>0.14000000000000001</v>
      </c>
      <c r="E25" s="2">
        <v>29.62</v>
      </c>
      <c r="F25" s="2">
        <f>$H$14-($M$7^2/$B$11^2)*SQRT(2*9.81*$H$14)*E25+((($M$7^2/$B$11^2)^2)*(9.81/2)*E25^2)</f>
        <v>0.13226355717641575</v>
      </c>
      <c r="H25" s="2">
        <v>12.9</v>
      </c>
      <c r="I25" s="2">
        <v>0.14000000000000001</v>
      </c>
      <c r="K25" s="2">
        <v>12.89</v>
      </c>
      <c r="L25" s="2">
        <f t="shared" ref="L25:L39" si="4">$H$14-($N$7^2/$B$11^2)*SQRT(2*9.81*$H$14)*K25+((($N$7^2/$B$11^2)^2)*(9.81/2)*K25^2)</f>
        <v>0.13075841307344019</v>
      </c>
      <c r="M25" s="1"/>
      <c r="N25" s="2">
        <v>4.2</v>
      </c>
      <c r="O25" s="2">
        <v>0.14000000000000001</v>
      </c>
      <c r="Q25" s="2">
        <v>4.22</v>
      </c>
      <c r="R25" s="2">
        <f t="shared" ref="R25:R39" si="5">$H$14-($O$7^2/$B$11^2)*SQRT(2*9.81*$H$14)*Q25+((($O$7^2/$B$11^2)^2)*(9.81/2)*Q25^2)</f>
        <v>0.13545897164083062</v>
      </c>
      <c r="S25" s="1"/>
      <c r="U25" s="2">
        <f t="shared" ref="U25:U38" si="6">Q25</f>
        <v>4.22</v>
      </c>
      <c r="V25" s="2">
        <f t="shared" ref="V25:V38" si="7">2*SQRT(I25)</f>
        <v>0.74833147735478833</v>
      </c>
      <c r="X25" s="1" t="s">
        <v>46</v>
      </c>
      <c r="Y25" s="1" t="s">
        <v>48</v>
      </c>
      <c r="Z25" s="1"/>
      <c r="AA25" s="2" t="s">
        <v>77</v>
      </c>
      <c r="AB25" s="2" t="s">
        <v>98</v>
      </c>
      <c r="AD25" s="2">
        <f t="shared" si="2"/>
        <v>12.9</v>
      </c>
      <c r="AE25" s="2">
        <f t="shared" si="3"/>
        <v>0.74833147735478833</v>
      </c>
      <c r="AG25" s="1" t="s">
        <v>46</v>
      </c>
      <c r="AH25" s="1" t="s">
        <v>48</v>
      </c>
      <c r="AI25" s="1"/>
      <c r="AJ25" s="2" t="s">
        <v>77</v>
      </c>
      <c r="AK25" s="2" t="s">
        <v>98</v>
      </c>
      <c r="AM25" s="2">
        <f t="shared" ref="AM25:AM38" si="8">B25</f>
        <v>29.6</v>
      </c>
      <c r="AN25" s="2">
        <f t="shared" ref="AN25:AN38" si="9">2*SQRT(C25)</f>
        <v>0.74833147735478833</v>
      </c>
      <c r="AP25" s="1" t="s">
        <v>46</v>
      </c>
      <c r="AQ25" s="1" t="s">
        <v>48</v>
      </c>
      <c r="AR25" s="1"/>
      <c r="AS25" s="2" t="s">
        <v>77</v>
      </c>
      <c r="AT25" s="2" t="s">
        <v>98</v>
      </c>
    </row>
    <row r="26" spans="2:46" x14ac:dyDescent="0.2">
      <c r="B26" s="31">
        <v>58.8</v>
      </c>
      <c r="C26" s="2">
        <v>0.13</v>
      </c>
      <c r="E26" s="2">
        <v>58.78</v>
      </c>
      <c r="F26" s="2">
        <f t="shared" ref="F26:F39" si="10">$H$14-($M$7^2/$B$11^2)*SQRT(2*9.81*$H$14)*E26+((($M$7^2/$B$11^2)^2)*(9.81/2)*E26^2)</f>
        <v>0.11589230634239921</v>
      </c>
      <c r="H26" s="2">
        <v>22.3</v>
      </c>
      <c r="I26" s="2">
        <v>0.13</v>
      </c>
      <c r="K26" s="2">
        <v>22.27</v>
      </c>
      <c r="L26" s="2">
        <f t="shared" si="4"/>
        <v>0.11758633012732474</v>
      </c>
      <c r="M26" s="1"/>
      <c r="N26" s="2">
        <v>7.9</v>
      </c>
      <c r="O26" s="2">
        <v>0.13</v>
      </c>
      <c r="Q26" s="2">
        <v>7.88</v>
      </c>
      <c r="R26" s="2">
        <f t="shared" si="5"/>
        <v>0.12344773763545466</v>
      </c>
      <c r="S26" s="1"/>
      <c r="U26" s="2">
        <f t="shared" si="6"/>
        <v>7.88</v>
      </c>
      <c r="V26" s="2">
        <f t="shared" si="7"/>
        <v>0.72111025509279791</v>
      </c>
      <c r="X26" s="1" cm="1">
        <f t="array" ref="X26:Y30">LINEST(V24:V37,U24:U37,1,1)</f>
        <v>-6.9289710813074746E-3</v>
      </c>
      <c r="Y26" s="1">
        <v>0.773956815226856</v>
      </c>
      <c r="Z26" s="1"/>
      <c r="AA26" s="2">
        <f>(-Q17/S17)+((2*9.81*Q17^5)/(S17*R17^4*X26^2))</f>
        <v>2.5976116410683515E-2</v>
      </c>
      <c r="AB26" s="37">
        <f>0.00005*((1/S17)+((2*5*9.81*Q17^4)/(S17*R17^4*X26^2))+((Q17^5)/(S17*R17^5*X26^2))*0.001+((4*9.81*Q17^5)/(S17*R17^4*-X26^3))*X27)</f>
        <v>1.9338126306170176E-3</v>
      </c>
      <c r="AD26" s="2">
        <f t="shared" si="2"/>
        <v>22.3</v>
      </c>
      <c r="AE26" s="2">
        <f t="shared" si="3"/>
        <v>0.72111025509279791</v>
      </c>
      <c r="AG26" s="1" cm="1">
        <f t="array" ref="AG26:AH30">LINEST(AE24:AE38,AD24:AD38,1,1)</f>
        <v>-2.6232538396869331E-3</v>
      </c>
      <c r="AH26" s="1">
        <v>0.78045645556195553</v>
      </c>
      <c r="AI26" s="1"/>
      <c r="AJ26" s="2">
        <f>(-AA18/AC18)+((2*9.81*AA18^5)/(AC18*AB18^4*AG26^2))</f>
        <v>3.0640485851842196E-2</v>
      </c>
      <c r="AK26" s="37">
        <f>0.00005*((1/AC18)+((2*5*9.81*AA18^4)/(AC18*AB18^4*AG26^2))+((AA18^5)/(AC18*AB18^5*AG26^2))*0.001+((4*9.81*AA18^5)/(AC18*AB18^4*-AG26^3))*AG27)</f>
        <v>2.5094582408577556E-3</v>
      </c>
      <c r="AM26" s="2">
        <f t="shared" si="8"/>
        <v>58.8</v>
      </c>
      <c r="AN26" s="2">
        <f t="shared" si="9"/>
        <v>0.72111025509279791</v>
      </c>
      <c r="AP26" s="1" cm="1">
        <f t="array" ref="AP26:AQ30">LINEST(AN24:AN38,AM24:AM38,1,1)</f>
        <v>-9.2869543317817985E-4</v>
      </c>
      <c r="AQ26" s="1">
        <v>0.77844975341532929</v>
      </c>
      <c r="AR26" s="1"/>
      <c r="AS26" s="2">
        <f>(-AJ18/AL18)+((2*9.81*AJ18^5)/(AL18*AK18^4*AP26^2))</f>
        <v>2.88397796860589E-2</v>
      </c>
      <c r="AT26" s="37">
        <f>0.00005*((1/AL18)+((2*5*9.81*AJ18^4)/(AL18*AK18^4*AP26^2))+((AJ18^5)/(AL18*AK18^5*AP26^2))*0.001+((4*9.81*AJ18^5)/(AL18*AK18^4*-AP26^3))*AP27)</f>
        <v>3.1486679686586086E-3</v>
      </c>
    </row>
    <row r="27" spans="2:46" x14ac:dyDescent="0.2">
      <c r="B27" s="31">
        <v>91</v>
      </c>
      <c r="C27" s="2">
        <v>0.12</v>
      </c>
      <c r="E27" s="2">
        <v>90.99</v>
      </c>
      <c r="F27" s="2">
        <f t="shared" si="10"/>
        <v>9.906546470031137E-2</v>
      </c>
      <c r="H27" s="2">
        <v>33.799999999999997</v>
      </c>
      <c r="I27" s="2">
        <v>0.12</v>
      </c>
      <c r="K27" s="2">
        <v>33.770000000000003</v>
      </c>
      <c r="L27" s="2">
        <f t="shared" si="4"/>
        <v>0.10239119668859895</v>
      </c>
      <c r="M27" s="1"/>
      <c r="N27" s="2">
        <v>11.9</v>
      </c>
      <c r="O27" s="2">
        <v>0.12</v>
      </c>
      <c r="Q27" s="2">
        <v>11.87</v>
      </c>
      <c r="R27" s="2">
        <f t="shared" si="5"/>
        <v>0.11098871984441926</v>
      </c>
      <c r="S27" s="1"/>
      <c r="U27" s="2">
        <f t="shared" si="6"/>
        <v>11.87</v>
      </c>
      <c r="V27" s="2">
        <f t="shared" si="7"/>
        <v>0.69282032302755092</v>
      </c>
      <c r="W27" t="s">
        <v>63</v>
      </c>
      <c r="X27" s="1">
        <v>2.6224430147417358E-5</v>
      </c>
      <c r="Y27" s="1">
        <v>9.7394642310927619E-4</v>
      </c>
      <c r="Z27" s="1"/>
      <c r="AA27" s="36" t="s">
        <v>99</v>
      </c>
      <c r="AB27" s="1"/>
      <c r="AD27" s="2">
        <f t="shared" si="2"/>
        <v>33.799999999999997</v>
      </c>
      <c r="AE27" s="2">
        <f t="shared" si="3"/>
        <v>0.69282032302755092</v>
      </c>
      <c r="AF27" t="s">
        <v>63</v>
      </c>
      <c r="AG27" s="1">
        <v>1.7020080697751259E-5</v>
      </c>
      <c r="AH27" s="1">
        <v>1.9120214018456907E-3</v>
      </c>
      <c r="AI27" s="1"/>
      <c r="AJ27" s="36" t="s">
        <v>99</v>
      </c>
      <c r="AK27" s="1"/>
      <c r="AM27" s="2">
        <f t="shared" si="8"/>
        <v>91</v>
      </c>
      <c r="AN27" s="2">
        <f t="shared" si="9"/>
        <v>0.69282032302755092</v>
      </c>
      <c r="AO27" t="s">
        <v>63</v>
      </c>
      <c r="AP27" s="1">
        <v>7.1580065422087878E-6</v>
      </c>
      <c r="AQ27" s="1">
        <v>2.2586728375897183E-3</v>
      </c>
      <c r="AR27" s="1"/>
      <c r="AS27" s="36" t="s">
        <v>99</v>
      </c>
      <c r="AT27" s="1"/>
    </row>
    <row r="28" spans="2:46" x14ac:dyDescent="0.2">
      <c r="B28" s="31">
        <v>122.3</v>
      </c>
      <c r="C28" s="2">
        <v>0.11</v>
      </c>
      <c r="E28" s="2">
        <v>122.26</v>
      </c>
      <c r="F28" s="2">
        <f t="shared" si="10"/>
        <v>8.3991726418178037E-2</v>
      </c>
      <c r="H28" s="2">
        <v>44.3</v>
      </c>
      <c r="I28" s="2">
        <v>0.11</v>
      </c>
      <c r="K28" s="2">
        <v>44.27</v>
      </c>
      <c r="L28" s="2">
        <f t="shared" si="4"/>
        <v>8.9435153751066712E-2</v>
      </c>
      <c r="M28" s="1"/>
      <c r="N28" s="2">
        <v>15.8</v>
      </c>
      <c r="O28" s="2">
        <v>0.11</v>
      </c>
      <c r="Q28" s="2">
        <v>15.82</v>
      </c>
      <c r="R28" s="2">
        <f t="shared" si="5"/>
        <v>9.9307270875067244E-2</v>
      </c>
      <c r="S28" s="1"/>
      <c r="U28" s="2">
        <f t="shared" si="6"/>
        <v>15.82</v>
      </c>
      <c r="V28" s="2">
        <f t="shared" si="7"/>
        <v>0.66332495807107994</v>
      </c>
      <c r="W28" t="s">
        <v>44</v>
      </c>
      <c r="X28" s="1">
        <v>0.99982813746129418</v>
      </c>
      <c r="Y28" s="1">
        <v>2.1039940751087461E-3</v>
      </c>
      <c r="Z28" s="1"/>
      <c r="AB28" s="1"/>
      <c r="AD28" s="2">
        <f t="shared" si="2"/>
        <v>44.3</v>
      </c>
      <c r="AE28" s="2">
        <f t="shared" si="3"/>
        <v>0.66332495807107994</v>
      </c>
      <c r="AF28" t="s">
        <v>44</v>
      </c>
      <c r="AG28" s="1">
        <v>0.9994530490954604</v>
      </c>
      <c r="AH28" s="1">
        <v>4.2664961127786656E-3</v>
      </c>
      <c r="AI28" s="1"/>
      <c r="AK28" s="1"/>
      <c r="AM28" s="2">
        <f t="shared" si="8"/>
        <v>122.3</v>
      </c>
      <c r="AN28" s="2">
        <f t="shared" si="9"/>
        <v>0.66332495807107994</v>
      </c>
      <c r="AO28" t="s">
        <v>44</v>
      </c>
      <c r="AP28" s="1">
        <v>0.9992283050784706</v>
      </c>
      <c r="AQ28" s="1">
        <v>5.0678062516971278E-3</v>
      </c>
      <c r="AR28" s="1"/>
      <c r="AT28" s="1"/>
    </row>
    <row r="29" spans="2:46" x14ac:dyDescent="0.2">
      <c r="B29" s="31">
        <v>157.1</v>
      </c>
      <c r="C29" s="2">
        <v>0.1</v>
      </c>
      <c r="E29" s="2">
        <v>157.12</v>
      </c>
      <c r="F29" s="2">
        <f t="shared" si="10"/>
        <v>6.8653085090088661E-2</v>
      </c>
      <c r="H29" s="2">
        <v>55.9</v>
      </c>
      <c r="I29" s="2">
        <v>0.1</v>
      </c>
      <c r="K29" s="2">
        <v>55.93</v>
      </c>
      <c r="L29" s="2">
        <f t="shared" si="4"/>
        <v>7.6074355454229969E-2</v>
      </c>
      <c r="M29" s="1"/>
      <c r="N29" s="2">
        <v>20.2</v>
      </c>
      <c r="O29" s="2">
        <v>0.1</v>
      </c>
      <c r="Q29" s="2">
        <v>20.16</v>
      </c>
      <c r="R29" s="2">
        <f t="shared" si="5"/>
        <v>8.7221181023707087E-2</v>
      </c>
      <c r="S29" s="1"/>
      <c r="U29" s="2">
        <f t="shared" si="6"/>
        <v>20.16</v>
      </c>
      <c r="V29" s="2">
        <f t="shared" si="7"/>
        <v>0.63245553203367588</v>
      </c>
      <c r="X29" s="1">
        <v>69811.244148273458</v>
      </c>
      <c r="Y29" s="1">
        <v>12</v>
      </c>
      <c r="Z29" s="1"/>
      <c r="AB29" s="1"/>
      <c r="AD29" s="2">
        <f t="shared" si="2"/>
        <v>55.9</v>
      </c>
      <c r="AE29" s="2">
        <f t="shared" si="3"/>
        <v>0.63245553203367588</v>
      </c>
      <c r="AG29" s="1">
        <v>23755.129629376697</v>
      </c>
      <c r="AH29" s="1">
        <v>13</v>
      </c>
      <c r="AI29" s="1"/>
      <c r="AK29" s="1"/>
      <c r="AM29" s="2">
        <f t="shared" si="8"/>
        <v>157.1</v>
      </c>
      <c r="AN29" s="2">
        <f t="shared" si="9"/>
        <v>0.63245553203367588</v>
      </c>
      <c r="AP29" s="1">
        <v>16833.035443951347</v>
      </c>
      <c r="AQ29" s="1">
        <v>13</v>
      </c>
      <c r="AR29" s="1"/>
      <c r="AT29" s="1"/>
    </row>
    <row r="30" spans="2:46" x14ac:dyDescent="0.2">
      <c r="B30" s="31">
        <v>193</v>
      </c>
      <c r="C30" s="2">
        <v>0.09</v>
      </c>
      <c r="E30" s="2">
        <v>193</v>
      </c>
      <c r="F30" s="2">
        <f t="shared" si="10"/>
        <v>5.4479344702070255E-2</v>
      </c>
      <c r="H30" s="2">
        <v>68.8</v>
      </c>
      <c r="I30" s="2">
        <v>0.09</v>
      </c>
      <c r="K30" s="2">
        <v>68.790000000000006</v>
      </c>
      <c r="L30" s="2">
        <f t="shared" si="4"/>
        <v>6.2591328613520972E-2</v>
      </c>
      <c r="M30" s="1"/>
      <c r="N30" s="2">
        <v>24.7</v>
      </c>
      <c r="O30" s="2">
        <v>0.09</v>
      </c>
      <c r="Q30" s="2">
        <v>24.71</v>
      </c>
      <c r="R30" s="2">
        <f t="shared" si="5"/>
        <v>7.5392037508845933E-2</v>
      </c>
      <c r="S30" s="1"/>
      <c r="U30" s="2">
        <f t="shared" si="6"/>
        <v>24.71</v>
      </c>
      <c r="V30" s="2">
        <f t="shared" si="7"/>
        <v>0.6</v>
      </c>
      <c r="X30" s="1">
        <v>0.30903979204801629</v>
      </c>
      <c r="Y30" s="1">
        <v>5.3121492817112499E-5</v>
      </c>
      <c r="Z30" s="1"/>
      <c r="AB30" s="1"/>
      <c r="AD30" s="2">
        <f t="shared" si="2"/>
        <v>68.8</v>
      </c>
      <c r="AE30" s="2">
        <f t="shared" si="3"/>
        <v>0.6</v>
      </c>
      <c r="AG30" s="1">
        <v>0.43241436524597254</v>
      </c>
      <c r="AH30" s="1">
        <v>2.3663885804462101E-4</v>
      </c>
      <c r="AI30" s="1"/>
      <c r="AK30" s="1"/>
      <c r="AM30" s="2">
        <f t="shared" si="8"/>
        <v>193</v>
      </c>
      <c r="AN30" s="2">
        <f t="shared" si="9"/>
        <v>0.6</v>
      </c>
      <c r="AP30" s="1">
        <v>0.43231712952135554</v>
      </c>
      <c r="AQ30" s="1">
        <v>3.3387458266162642E-4</v>
      </c>
      <c r="AR30" s="1"/>
      <c r="AT30" s="1"/>
    </row>
    <row r="31" spans="2:46" x14ac:dyDescent="0.2">
      <c r="B31" s="31">
        <v>231.6</v>
      </c>
      <c r="C31" s="2">
        <v>0.08</v>
      </c>
      <c r="E31" s="2">
        <v>231.62</v>
      </c>
      <c r="F31" s="2">
        <f t="shared" si="10"/>
        <v>4.1052479615194142E-2</v>
      </c>
      <c r="H31" s="2">
        <v>81.900000000000006</v>
      </c>
      <c r="I31" s="2">
        <v>0.08</v>
      </c>
      <c r="K31" s="2">
        <v>81.89</v>
      </c>
      <c r="L31" s="2">
        <f t="shared" si="4"/>
        <v>5.0207813474085539E-2</v>
      </c>
      <c r="M31" s="1"/>
      <c r="N31" s="2">
        <v>29.9</v>
      </c>
      <c r="O31" s="2">
        <v>0.08</v>
      </c>
      <c r="Q31" s="2">
        <v>29.88</v>
      </c>
      <c r="R31" s="2">
        <f t="shared" si="5"/>
        <v>6.2996766923533246E-2</v>
      </c>
      <c r="S31" s="1"/>
      <c r="U31" s="2">
        <f t="shared" si="6"/>
        <v>29.88</v>
      </c>
      <c r="V31" s="2">
        <f t="shared" si="7"/>
        <v>0.56568542494923801</v>
      </c>
      <c r="AD31" s="2">
        <f t="shared" si="2"/>
        <v>81.900000000000006</v>
      </c>
      <c r="AE31" s="2">
        <f t="shared" si="3"/>
        <v>0.56568542494923801</v>
      </c>
      <c r="AM31" s="2">
        <f t="shared" si="8"/>
        <v>231.6</v>
      </c>
      <c r="AN31" s="2">
        <f t="shared" si="9"/>
        <v>0.56568542494923801</v>
      </c>
    </row>
    <row r="32" spans="2:46" x14ac:dyDescent="0.2">
      <c r="B32" s="31">
        <v>272.5</v>
      </c>
      <c r="C32" s="2">
        <v>7.0000000000000007E-2</v>
      </c>
      <c r="E32" s="2">
        <v>272.48</v>
      </c>
      <c r="F32" s="2">
        <f t="shared" si="10"/>
        <v>2.8911574420846471E-2</v>
      </c>
      <c r="H32" s="2">
        <v>95.7</v>
      </c>
      <c r="I32" s="2">
        <v>7.0000000000000007E-2</v>
      </c>
      <c r="K32" s="2">
        <v>95.72</v>
      </c>
      <c r="L32" s="2">
        <f t="shared" si="4"/>
        <v>3.86139548810338E-2</v>
      </c>
      <c r="N32" s="2">
        <v>34.9</v>
      </c>
      <c r="O32" s="2">
        <v>7.0000000000000007E-2</v>
      </c>
      <c r="Q32" s="2">
        <v>34.880000000000003</v>
      </c>
      <c r="R32" s="2">
        <f t="shared" si="5"/>
        <v>5.2067270092066548E-2</v>
      </c>
      <c r="U32" s="2">
        <f t="shared" si="6"/>
        <v>34.880000000000003</v>
      </c>
      <c r="V32" s="2">
        <f t="shared" si="7"/>
        <v>0.52915026221291817</v>
      </c>
      <c r="AD32" s="2">
        <f t="shared" si="2"/>
        <v>95.7</v>
      </c>
      <c r="AE32" s="2">
        <f t="shared" si="3"/>
        <v>0.52915026221291817</v>
      </c>
      <c r="AM32" s="2">
        <f t="shared" si="8"/>
        <v>272.5</v>
      </c>
      <c r="AN32" s="2">
        <f t="shared" si="9"/>
        <v>0.52915026221291817</v>
      </c>
    </row>
    <row r="33" spans="2:46" x14ac:dyDescent="0.2">
      <c r="B33" s="31">
        <v>315.60000000000002</v>
      </c>
      <c r="C33" s="2">
        <v>0.06</v>
      </c>
      <c r="E33" s="2">
        <v>315.56</v>
      </c>
      <c r="F33" s="2">
        <f t="shared" si="10"/>
        <v>1.84101008221767E-2</v>
      </c>
      <c r="H33" s="2">
        <v>112</v>
      </c>
      <c r="I33" s="2">
        <v>0.06</v>
      </c>
      <c r="K33" s="2">
        <v>111.95</v>
      </c>
      <c r="L33" s="2">
        <f t="shared" si="4"/>
        <v>2.6946493858607541E-2</v>
      </c>
      <c r="N33" s="2">
        <v>40.700000000000003</v>
      </c>
      <c r="O33" s="2">
        <v>0.06</v>
      </c>
      <c r="Q33" s="2">
        <v>40.700000000000003</v>
      </c>
      <c r="R33" s="2">
        <f t="shared" si="5"/>
        <v>4.0655796158138392E-2</v>
      </c>
      <c r="U33" s="2">
        <f t="shared" si="6"/>
        <v>40.700000000000003</v>
      </c>
      <c r="V33" s="2">
        <f t="shared" si="7"/>
        <v>0.4898979485566356</v>
      </c>
      <c r="AD33" s="2">
        <f t="shared" si="2"/>
        <v>112</v>
      </c>
      <c r="AE33" s="2">
        <f t="shared" si="3"/>
        <v>0.4898979485566356</v>
      </c>
      <c r="AM33" s="2">
        <f t="shared" si="8"/>
        <v>315.60000000000002</v>
      </c>
      <c r="AN33" s="2">
        <f t="shared" si="9"/>
        <v>0.4898979485566356</v>
      </c>
    </row>
    <row r="34" spans="2:46" x14ac:dyDescent="0.2">
      <c r="B34" s="31">
        <v>363.5</v>
      </c>
      <c r="C34" s="2">
        <v>0.05</v>
      </c>
      <c r="E34" s="2">
        <v>363.5</v>
      </c>
      <c r="F34" s="2">
        <f t="shared" si="10"/>
        <v>9.4981496950574951E-3</v>
      </c>
      <c r="H34" s="2">
        <v>129</v>
      </c>
      <c r="I34" s="2">
        <v>0.05</v>
      </c>
      <c r="K34" s="2">
        <v>128.96</v>
      </c>
      <c r="L34" s="2">
        <f t="shared" si="4"/>
        <v>1.6964716315840331E-2</v>
      </c>
      <c r="N34" s="2">
        <v>47.2</v>
      </c>
      <c r="O34" s="2">
        <v>0.05</v>
      </c>
      <c r="Q34" s="2">
        <v>47.21</v>
      </c>
      <c r="R34" s="2">
        <f t="shared" si="5"/>
        <v>2.9561804877807629E-2</v>
      </c>
      <c r="U34" s="2">
        <f t="shared" si="6"/>
        <v>47.21</v>
      </c>
      <c r="V34" s="2">
        <f t="shared" si="7"/>
        <v>0.44721359549995793</v>
      </c>
      <c r="AD34" s="2">
        <f t="shared" si="2"/>
        <v>129</v>
      </c>
      <c r="AE34" s="2">
        <f t="shared" si="3"/>
        <v>0.44721359549995793</v>
      </c>
      <c r="AM34" s="2">
        <f t="shared" si="8"/>
        <v>363.5</v>
      </c>
      <c r="AN34" s="2">
        <f t="shared" si="9"/>
        <v>0.44721359549995793</v>
      </c>
    </row>
    <row r="35" spans="2:46" x14ac:dyDescent="0.2">
      <c r="B35" s="31">
        <v>413.8</v>
      </c>
      <c r="C35" s="2">
        <v>0.04</v>
      </c>
      <c r="E35" s="2">
        <v>413.78</v>
      </c>
      <c r="F35" s="2">
        <f t="shared" si="10"/>
        <v>3.2910020876225354E-3</v>
      </c>
      <c r="H35" s="2">
        <v>146.80000000000001</v>
      </c>
      <c r="I35" s="2">
        <v>0.04</v>
      </c>
      <c r="K35" s="2">
        <v>146.80000000000001</v>
      </c>
      <c r="L35" s="2">
        <f t="shared" si="4"/>
        <v>8.9660202071874529E-3</v>
      </c>
      <c r="N35" s="2">
        <v>54.1</v>
      </c>
      <c r="O35" s="2">
        <v>0.04</v>
      </c>
      <c r="Q35" s="2">
        <v>54.06</v>
      </c>
      <c r="R35" s="2">
        <f t="shared" si="5"/>
        <v>1.9792858754274202E-2</v>
      </c>
      <c r="U35" s="2">
        <f t="shared" si="6"/>
        <v>54.06</v>
      </c>
      <c r="V35" s="2">
        <f t="shared" si="7"/>
        <v>0.4</v>
      </c>
      <c r="AD35" s="2">
        <f t="shared" si="2"/>
        <v>146.80000000000001</v>
      </c>
      <c r="AE35" s="2">
        <f t="shared" si="3"/>
        <v>0.4</v>
      </c>
      <c r="AM35" s="2">
        <f t="shared" si="8"/>
        <v>413.8</v>
      </c>
      <c r="AN35" s="2">
        <f t="shared" si="9"/>
        <v>0.4</v>
      </c>
    </row>
    <row r="36" spans="2:46" x14ac:dyDescent="0.2">
      <c r="B36" s="31">
        <v>467</v>
      </c>
      <c r="C36" s="2">
        <v>0.03</v>
      </c>
      <c r="E36" s="2">
        <v>467.03</v>
      </c>
      <c r="F36" s="2">
        <f t="shared" si="10"/>
        <v>2.2224566238121524E-4</v>
      </c>
      <c r="H36" s="2">
        <v>166.3</v>
      </c>
      <c r="I36" s="2">
        <v>0.03</v>
      </c>
      <c r="K36" s="2">
        <v>166.25</v>
      </c>
      <c r="L36" s="2">
        <f t="shared" si="4"/>
        <v>3.1270840971980018E-3</v>
      </c>
      <c r="N36" s="2">
        <v>62</v>
      </c>
      <c r="O36" s="2">
        <v>0.03</v>
      </c>
      <c r="Q36" s="2">
        <v>62</v>
      </c>
      <c r="R36" s="2">
        <f t="shared" si="5"/>
        <v>1.0913219226005952E-2</v>
      </c>
      <c r="U36" s="2">
        <f t="shared" si="6"/>
        <v>62</v>
      </c>
      <c r="V36" s="2">
        <f t="shared" si="7"/>
        <v>0.34641016151377546</v>
      </c>
      <c r="AD36" s="2">
        <f t="shared" si="2"/>
        <v>166.3</v>
      </c>
      <c r="AE36" s="2">
        <f t="shared" si="3"/>
        <v>0.34641016151377546</v>
      </c>
      <c r="AM36" s="2">
        <f t="shared" si="8"/>
        <v>467</v>
      </c>
      <c r="AN36" s="2">
        <f t="shared" si="9"/>
        <v>0.34641016151377546</v>
      </c>
    </row>
    <row r="37" spans="2:46" x14ac:dyDescent="0.2">
      <c r="B37" s="31">
        <v>533.9</v>
      </c>
      <c r="C37" s="2">
        <v>0.02</v>
      </c>
      <c r="E37" s="2">
        <v>533.86</v>
      </c>
      <c r="F37" s="2">
        <f t="shared" si="10"/>
        <v>1.4729917893466782E-3</v>
      </c>
      <c r="H37" s="2">
        <v>190.6</v>
      </c>
      <c r="I37" s="2">
        <v>0.02</v>
      </c>
      <c r="K37" s="2">
        <v>190.57</v>
      </c>
      <c r="L37" s="2">
        <f t="shared" si="4"/>
        <v>5.5420133450945208E-5</v>
      </c>
      <c r="N37" s="2">
        <v>71.099999999999994</v>
      </c>
      <c r="O37" s="2">
        <v>0.02</v>
      </c>
      <c r="Q37" s="2">
        <v>71.14</v>
      </c>
      <c r="R37" s="2">
        <f t="shared" si="5"/>
        <v>3.9402544934415556E-3</v>
      </c>
      <c r="U37" s="2">
        <f t="shared" si="6"/>
        <v>71.14</v>
      </c>
      <c r="V37" s="2">
        <f t="shared" si="7"/>
        <v>0.28284271247461901</v>
      </c>
      <c r="AD37" s="2">
        <f t="shared" si="2"/>
        <v>190.6</v>
      </c>
      <c r="AE37" s="2">
        <f t="shared" si="3"/>
        <v>0.28284271247461901</v>
      </c>
      <c r="AM37" s="2">
        <f t="shared" si="8"/>
        <v>533.9</v>
      </c>
      <c r="AN37" s="2">
        <f t="shared" si="9"/>
        <v>0.28284271247461901</v>
      </c>
    </row>
    <row r="38" spans="2:46" x14ac:dyDescent="0.2">
      <c r="B38" s="31">
        <v>608.29999999999995</v>
      </c>
      <c r="C38" s="2">
        <v>0.01</v>
      </c>
      <c r="E38" s="2">
        <v>608.29999999999995</v>
      </c>
      <c r="F38" s="2">
        <f t="shared" si="10"/>
        <v>9.5521216198992676E-3</v>
      </c>
      <c r="H38" s="2">
        <v>217</v>
      </c>
      <c r="I38" s="2">
        <v>0.01</v>
      </c>
      <c r="K38" s="2">
        <v>216.96</v>
      </c>
      <c r="L38" s="2">
        <f t="shared" si="4"/>
        <v>2.0391932028082649E-3</v>
      </c>
      <c r="M38" s="1"/>
      <c r="N38" s="2">
        <v>83.4</v>
      </c>
      <c r="O38" s="2">
        <v>0.01</v>
      </c>
      <c r="Q38" s="2">
        <v>83.42</v>
      </c>
      <c r="R38" s="2">
        <f t="shared" si="5"/>
        <v>4.5595813244786454E-5</v>
      </c>
      <c r="S38" s="1"/>
      <c r="U38" s="2">
        <f t="shared" si="6"/>
        <v>83.42</v>
      </c>
      <c r="V38" s="2">
        <f t="shared" si="7"/>
        <v>0.2</v>
      </c>
      <c r="W38" s="1"/>
      <c r="Y38" s="1"/>
      <c r="Z38" s="1"/>
      <c r="AB38" s="1"/>
      <c r="AC38" s="1"/>
      <c r="AD38" s="2">
        <f t="shared" si="2"/>
        <v>217</v>
      </c>
      <c r="AE38" s="2">
        <f t="shared" si="3"/>
        <v>0.2</v>
      </c>
      <c r="AF38" s="1"/>
      <c r="AH38" s="1"/>
      <c r="AI38" s="1"/>
      <c r="AK38" s="1"/>
      <c r="AL38" s="1"/>
      <c r="AM38" s="2">
        <f t="shared" si="8"/>
        <v>608.29999999999995</v>
      </c>
      <c r="AN38" s="2">
        <f t="shared" si="9"/>
        <v>0.2</v>
      </c>
      <c r="AO38" s="1"/>
      <c r="AQ38" s="1"/>
      <c r="AR38" s="1"/>
      <c r="AT38" s="1"/>
    </row>
    <row r="39" spans="2:46" x14ac:dyDescent="0.2">
      <c r="B39" s="2"/>
      <c r="C39" s="2">
        <v>0</v>
      </c>
      <c r="E39" s="2">
        <v>0</v>
      </c>
      <c r="F39" s="2">
        <f t="shared" si="10"/>
        <v>0.15</v>
      </c>
      <c r="H39" s="2"/>
      <c r="I39" s="2">
        <v>0</v>
      </c>
      <c r="K39" s="2">
        <f t="shared" ref="K39" si="11">H39</f>
        <v>0</v>
      </c>
      <c r="L39" s="2">
        <f t="shared" si="4"/>
        <v>0.15</v>
      </c>
      <c r="M39" s="1"/>
      <c r="N39" s="2"/>
      <c r="O39" s="2">
        <v>0</v>
      </c>
      <c r="Q39" s="2">
        <f t="shared" ref="Q39" si="12">N39</f>
        <v>0</v>
      </c>
      <c r="R39" s="2">
        <f t="shared" si="5"/>
        <v>0.15</v>
      </c>
      <c r="S39" s="1"/>
      <c r="V39" s="1"/>
      <c r="W39" s="1"/>
      <c r="Y39" s="1"/>
      <c r="Z39" s="1"/>
      <c r="AB39" s="1"/>
      <c r="AC39" s="1"/>
    </row>
    <row r="40" spans="2:46" x14ac:dyDescent="0.2">
      <c r="B40" s="1"/>
      <c r="C40" s="1"/>
      <c r="E40" s="1"/>
      <c r="F40" s="1"/>
      <c r="H40" s="1"/>
      <c r="I40" s="1"/>
      <c r="L40" s="1"/>
      <c r="M40" s="1"/>
      <c r="O40" s="1"/>
      <c r="P40" s="1"/>
      <c r="R40" s="1"/>
      <c r="S40" s="1"/>
      <c r="V40" s="1"/>
      <c r="W40" s="1"/>
      <c r="Y40" s="1"/>
      <c r="Z40" s="1"/>
      <c r="AB40" s="1"/>
      <c r="AC40" s="1"/>
    </row>
    <row r="41" spans="2:46" x14ac:dyDescent="0.2">
      <c r="B41" s="1"/>
      <c r="C41" s="1"/>
      <c r="E41" s="1"/>
      <c r="F41" s="1"/>
      <c r="H41" s="1"/>
      <c r="I41" s="1"/>
      <c r="L41" s="1"/>
      <c r="M41" s="1"/>
      <c r="O41" s="1"/>
      <c r="P41" s="1"/>
      <c r="R41" s="1"/>
      <c r="S41" s="1"/>
      <c r="V41" s="1"/>
      <c r="W41" s="1"/>
      <c r="Y41" s="1"/>
      <c r="Z41" s="1"/>
      <c r="AB41" s="1"/>
      <c r="AC41" s="1"/>
    </row>
    <row r="42" spans="2:46" x14ac:dyDescent="0.2">
      <c r="B42" s="1"/>
      <c r="C42" s="1"/>
      <c r="E42" s="1"/>
      <c r="F42" s="1"/>
      <c r="H42" s="1"/>
      <c r="I42" s="1"/>
      <c r="L42" s="1"/>
      <c r="M42" s="1"/>
      <c r="O42" s="1"/>
      <c r="P42" s="1"/>
      <c r="R42" s="1"/>
      <c r="S42" s="1"/>
      <c r="V42" s="1"/>
      <c r="W42" s="1"/>
      <c r="Z42" s="1"/>
      <c r="AB42" s="1"/>
      <c r="AC42" s="1"/>
    </row>
    <row r="43" spans="2:46" x14ac:dyDescent="0.2">
      <c r="B43" s="2" t="s">
        <v>15</v>
      </c>
      <c r="C43" s="2" t="s">
        <v>40</v>
      </c>
      <c r="D43" s="2" t="s">
        <v>39</v>
      </c>
      <c r="E43" s="1"/>
      <c r="F43" s="1"/>
      <c r="H43" s="1"/>
      <c r="I43" s="1"/>
      <c r="K43" s="2" t="s">
        <v>15</v>
      </c>
      <c r="L43" s="2" t="s">
        <v>40</v>
      </c>
      <c r="M43" s="2" t="s">
        <v>39</v>
      </c>
      <c r="O43" s="1"/>
      <c r="P43" s="1"/>
      <c r="R43" s="1"/>
      <c r="S43" s="1"/>
      <c r="U43" s="2" t="s">
        <v>15</v>
      </c>
      <c r="V43" s="2" t="s">
        <v>40</v>
      </c>
      <c r="W43" s="2" t="s">
        <v>39</v>
      </c>
      <c r="Y43" s="1"/>
      <c r="Z43" s="1"/>
      <c r="AB43" s="1"/>
      <c r="AC43" s="1"/>
      <c r="AI43" t="s">
        <v>102</v>
      </c>
    </row>
    <row r="44" spans="2:46" x14ac:dyDescent="0.2">
      <c r="B44" s="2">
        <v>0</v>
      </c>
      <c r="C44" s="2">
        <f>C24*100</f>
        <v>15</v>
      </c>
      <c r="D44" s="2">
        <f>F24*100</f>
        <v>15</v>
      </c>
      <c r="E44" s="1"/>
      <c r="F44" s="1"/>
      <c r="H44" s="1"/>
      <c r="I44" s="1"/>
      <c r="K44" s="2">
        <v>0</v>
      </c>
      <c r="L44" s="2">
        <f>I24*100</f>
        <v>15</v>
      </c>
      <c r="M44" s="2">
        <f>L24*100</f>
        <v>15</v>
      </c>
      <c r="O44" s="1"/>
      <c r="P44" s="1"/>
      <c r="R44" s="1"/>
      <c r="S44" s="1"/>
      <c r="U44" s="2">
        <v>0</v>
      </c>
      <c r="V44" s="2">
        <f>O24*100</f>
        <v>15</v>
      </c>
      <c r="W44" s="2">
        <f>R24*100</f>
        <v>15</v>
      </c>
      <c r="Y44" s="1"/>
      <c r="Z44" s="1"/>
      <c r="AB44" s="1"/>
      <c r="AC44" s="1"/>
      <c r="AJ44">
        <f>(AS26+0.027799+0.0317)/3</f>
        <v>2.9446259895352971E-2</v>
      </c>
    </row>
    <row r="45" spans="2:46" x14ac:dyDescent="0.2">
      <c r="B45" s="2">
        <v>29.6</v>
      </c>
      <c r="C45" s="2">
        <f t="shared" ref="C45:C58" si="13">C25*100</f>
        <v>14.000000000000002</v>
      </c>
      <c r="D45" s="2">
        <f>F25*100</f>
        <v>13.226355717641574</v>
      </c>
      <c r="H45" s="1"/>
      <c r="I45" s="1"/>
      <c r="K45" s="2">
        <v>12.9</v>
      </c>
      <c r="L45" s="2">
        <f t="shared" ref="L45:L58" si="14">I25*100</f>
        <v>14.000000000000002</v>
      </c>
      <c r="M45" s="2">
        <f t="shared" ref="M45:M58" si="15">L25*100</f>
        <v>13.075841307344019</v>
      </c>
      <c r="O45" s="1"/>
      <c r="P45" s="1"/>
      <c r="R45" s="1"/>
      <c r="S45" s="1"/>
      <c r="U45" s="2">
        <v>4.2</v>
      </c>
      <c r="V45" s="2">
        <f t="shared" ref="V45:V58" si="16">O25*100</f>
        <v>14.000000000000002</v>
      </c>
      <c r="W45" s="2">
        <f t="shared" ref="W45:W58" si="17">R25*100</f>
        <v>13.545897164083062</v>
      </c>
      <c r="Y45" s="1"/>
      <c r="Z45" s="1"/>
      <c r="AB45" s="1"/>
      <c r="AC45" s="1"/>
      <c r="AJ45">
        <f>SQRT(AT26^2+0.0014^2+0.0013^2)</f>
        <v>3.6829485438784949E-3</v>
      </c>
    </row>
    <row r="46" spans="2:46" x14ac:dyDescent="0.2">
      <c r="B46" s="2">
        <v>58.8</v>
      </c>
      <c r="C46" s="2">
        <f t="shared" si="13"/>
        <v>13</v>
      </c>
      <c r="D46" s="2">
        <f t="shared" ref="D46:D58" si="18">F26*100</f>
        <v>11.58923063423992</v>
      </c>
      <c r="H46" s="1"/>
      <c r="I46" s="1"/>
      <c r="K46" s="2">
        <v>22.3</v>
      </c>
      <c r="L46" s="2">
        <f t="shared" si="14"/>
        <v>13</v>
      </c>
      <c r="M46" s="2">
        <f t="shared" si="15"/>
        <v>11.758633012732474</v>
      </c>
      <c r="O46" s="1"/>
      <c r="P46" s="1"/>
      <c r="R46" s="1"/>
      <c r="S46" s="1"/>
      <c r="U46" s="2">
        <v>7.9</v>
      </c>
      <c r="V46" s="2">
        <f t="shared" si="16"/>
        <v>13</v>
      </c>
      <c r="W46" s="2">
        <f t="shared" si="17"/>
        <v>12.344773763545467</v>
      </c>
      <c r="AC46" s="1"/>
      <c r="AI46" t="s">
        <v>104</v>
      </c>
    </row>
    <row r="47" spans="2:46" x14ac:dyDescent="0.2">
      <c r="B47" s="2">
        <v>91</v>
      </c>
      <c r="C47" s="2">
        <f t="shared" si="13"/>
        <v>12</v>
      </c>
      <c r="D47" s="2">
        <f t="shared" si="18"/>
        <v>9.9065464700311363</v>
      </c>
      <c r="H47" s="1"/>
      <c r="I47" s="1"/>
      <c r="K47" s="2">
        <v>33.799999999999997</v>
      </c>
      <c r="L47" s="2">
        <f t="shared" si="14"/>
        <v>12</v>
      </c>
      <c r="M47" s="2">
        <f t="shared" si="15"/>
        <v>10.239119668859894</v>
      </c>
      <c r="O47" s="1"/>
      <c r="P47" s="1"/>
      <c r="R47" s="1"/>
      <c r="S47" s="1"/>
      <c r="U47" s="2">
        <v>11.9</v>
      </c>
      <c r="V47" s="2">
        <f t="shared" si="16"/>
        <v>12</v>
      </c>
      <c r="W47" s="2">
        <f t="shared" si="17"/>
        <v>11.098871984441926</v>
      </c>
      <c r="AC47" s="1"/>
      <c r="AI47" t="s">
        <v>103</v>
      </c>
      <c r="AJ47" s="40">
        <f>AT26+0.0013+0.0014</f>
        <v>5.8486679686586083E-3</v>
      </c>
    </row>
    <row r="48" spans="2:46" x14ac:dyDescent="0.2">
      <c r="B48" s="2">
        <v>122.3</v>
      </c>
      <c r="C48" s="2">
        <f t="shared" si="13"/>
        <v>11</v>
      </c>
      <c r="D48" s="2">
        <f t="shared" si="18"/>
        <v>8.3991726418178043</v>
      </c>
      <c r="H48" s="1"/>
      <c r="I48" s="1"/>
      <c r="K48" s="2">
        <v>44.3</v>
      </c>
      <c r="L48" s="2">
        <f t="shared" si="14"/>
        <v>11</v>
      </c>
      <c r="M48" s="2">
        <f t="shared" si="15"/>
        <v>8.9435153751066707</v>
      </c>
      <c r="O48" s="1"/>
      <c r="P48" s="1"/>
      <c r="R48" s="1"/>
      <c r="S48" s="1"/>
      <c r="U48" s="2">
        <v>15.8</v>
      </c>
      <c r="V48" s="2">
        <f t="shared" si="16"/>
        <v>11</v>
      </c>
      <c r="W48" s="2">
        <f t="shared" si="17"/>
        <v>9.9307270875067246</v>
      </c>
      <c r="AC48" s="1"/>
    </row>
    <row r="49" spans="1:29" x14ac:dyDescent="0.2">
      <c r="B49" s="2">
        <v>157.1</v>
      </c>
      <c r="C49" s="2">
        <f t="shared" si="13"/>
        <v>10</v>
      </c>
      <c r="D49" s="2">
        <f t="shared" si="18"/>
        <v>6.8653085090088659</v>
      </c>
      <c r="H49" s="1"/>
      <c r="I49" s="1"/>
      <c r="K49" s="2">
        <v>55.9</v>
      </c>
      <c r="L49" s="2">
        <f t="shared" si="14"/>
        <v>10</v>
      </c>
      <c r="M49" s="2">
        <f t="shared" si="15"/>
        <v>7.6074355454229972</v>
      </c>
      <c r="O49" s="1"/>
      <c r="P49" s="1"/>
      <c r="R49" s="1"/>
      <c r="S49" s="1"/>
      <c r="U49" s="2">
        <v>20.2</v>
      </c>
      <c r="V49" s="2">
        <f t="shared" si="16"/>
        <v>10</v>
      </c>
      <c r="W49" s="2">
        <f t="shared" si="17"/>
        <v>8.7221181023707093</v>
      </c>
      <c r="AC49" s="1"/>
    </row>
    <row r="50" spans="1:29" x14ac:dyDescent="0.2">
      <c r="B50" s="2">
        <v>193</v>
      </c>
      <c r="C50" s="2">
        <f t="shared" si="13"/>
        <v>9</v>
      </c>
      <c r="D50" s="2">
        <f t="shared" si="18"/>
        <v>5.4479344702070254</v>
      </c>
      <c r="K50" s="2">
        <v>68.8</v>
      </c>
      <c r="L50" s="2">
        <f t="shared" si="14"/>
        <v>9</v>
      </c>
      <c r="M50" s="2">
        <f t="shared" si="15"/>
        <v>6.2591328613520973</v>
      </c>
      <c r="U50" s="2">
        <v>24.7</v>
      </c>
      <c r="V50" s="2">
        <f t="shared" si="16"/>
        <v>9</v>
      </c>
      <c r="W50" s="2">
        <f t="shared" si="17"/>
        <v>7.5392037508845933</v>
      </c>
    </row>
    <row r="51" spans="1:29" x14ac:dyDescent="0.2">
      <c r="B51" s="2">
        <v>231.6</v>
      </c>
      <c r="C51" s="2">
        <f t="shared" si="13"/>
        <v>8</v>
      </c>
      <c r="D51" s="2">
        <f t="shared" si="18"/>
        <v>4.1052479615194137</v>
      </c>
      <c r="K51" s="2">
        <v>81.900000000000006</v>
      </c>
      <c r="L51" s="2">
        <f t="shared" si="14"/>
        <v>8</v>
      </c>
      <c r="M51" s="2">
        <f t="shared" si="15"/>
        <v>5.0207813474085539</v>
      </c>
      <c r="U51" s="2">
        <v>29.9</v>
      </c>
      <c r="V51" s="2">
        <f t="shared" si="16"/>
        <v>8</v>
      </c>
      <c r="W51" s="2">
        <f t="shared" si="17"/>
        <v>6.2996766923533247</v>
      </c>
    </row>
    <row r="52" spans="1:29" x14ac:dyDescent="0.2">
      <c r="B52" s="2">
        <v>272.5</v>
      </c>
      <c r="C52" s="2">
        <f t="shared" si="13"/>
        <v>7.0000000000000009</v>
      </c>
      <c r="D52" s="2">
        <f t="shared" si="18"/>
        <v>2.8911574420846473</v>
      </c>
      <c r="K52" s="2">
        <v>95.7</v>
      </c>
      <c r="L52" s="2">
        <f t="shared" si="14"/>
        <v>7.0000000000000009</v>
      </c>
      <c r="M52" s="2">
        <f t="shared" si="15"/>
        <v>3.8613954881033798</v>
      </c>
      <c r="U52" s="2">
        <v>34.9</v>
      </c>
      <c r="V52" s="2">
        <f t="shared" si="16"/>
        <v>7.0000000000000009</v>
      </c>
      <c r="W52" s="2">
        <f t="shared" si="17"/>
        <v>5.2067270092066549</v>
      </c>
    </row>
    <row r="53" spans="1:29" x14ac:dyDescent="0.2">
      <c r="B53" s="2">
        <v>315.60000000000002</v>
      </c>
      <c r="C53" s="2">
        <f t="shared" si="13"/>
        <v>6</v>
      </c>
      <c r="D53" s="2">
        <f t="shared" si="18"/>
        <v>1.84101008221767</v>
      </c>
      <c r="K53" s="2">
        <v>112</v>
      </c>
      <c r="L53" s="2">
        <f t="shared" si="14"/>
        <v>6</v>
      </c>
      <c r="M53" s="2">
        <f t="shared" si="15"/>
        <v>2.6946493858607541</v>
      </c>
      <c r="U53" s="2">
        <v>40.700000000000003</v>
      </c>
      <c r="V53" s="2">
        <f t="shared" si="16"/>
        <v>6</v>
      </c>
      <c r="W53" s="2">
        <f t="shared" si="17"/>
        <v>4.0655796158138395</v>
      </c>
    </row>
    <row r="54" spans="1:29" x14ac:dyDescent="0.2">
      <c r="B54" s="2">
        <v>363.5</v>
      </c>
      <c r="C54" s="2">
        <f t="shared" si="13"/>
        <v>5</v>
      </c>
      <c r="D54" s="2">
        <f t="shared" si="18"/>
        <v>0.94981496950574951</v>
      </c>
      <c r="K54" s="2">
        <v>129</v>
      </c>
      <c r="L54" s="2">
        <f t="shared" si="14"/>
        <v>5</v>
      </c>
      <c r="M54" s="2">
        <f t="shared" si="15"/>
        <v>1.6964716315840331</v>
      </c>
      <c r="U54" s="2">
        <v>47.2</v>
      </c>
      <c r="V54" s="2">
        <f t="shared" si="16"/>
        <v>5</v>
      </c>
      <c r="W54" s="2">
        <f t="shared" si="17"/>
        <v>2.9561804877807631</v>
      </c>
    </row>
    <row r="55" spans="1:29" x14ac:dyDescent="0.2">
      <c r="B55" s="2">
        <v>413.8</v>
      </c>
      <c r="C55" s="2">
        <f t="shared" si="13"/>
        <v>4</v>
      </c>
      <c r="D55" s="2">
        <f t="shared" si="18"/>
        <v>0.32910020876225354</v>
      </c>
      <c r="K55" s="2">
        <v>146.80000000000001</v>
      </c>
      <c r="L55" s="2">
        <f t="shared" si="14"/>
        <v>4</v>
      </c>
      <c r="M55" s="2">
        <f t="shared" si="15"/>
        <v>0.89660202071874529</v>
      </c>
      <c r="R55" s="1"/>
      <c r="S55" s="1"/>
      <c r="U55" s="2">
        <v>54.1</v>
      </c>
      <c r="V55" s="2">
        <f t="shared" si="16"/>
        <v>4</v>
      </c>
      <c r="W55" s="2">
        <f t="shared" si="17"/>
        <v>1.9792858754274203</v>
      </c>
      <c r="AB55" s="1"/>
      <c r="AC55" s="1"/>
    </row>
    <row r="56" spans="1:29" x14ac:dyDescent="0.2">
      <c r="B56" s="2">
        <v>467</v>
      </c>
      <c r="C56" s="2">
        <f t="shared" si="13"/>
        <v>3</v>
      </c>
      <c r="D56" s="2">
        <f t="shared" si="18"/>
        <v>2.2224566238121524E-2</v>
      </c>
      <c r="K56" s="2">
        <v>166.3</v>
      </c>
      <c r="L56" s="2">
        <f t="shared" si="14"/>
        <v>3</v>
      </c>
      <c r="M56" s="2">
        <f t="shared" si="15"/>
        <v>0.31270840971980018</v>
      </c>
      <c r="R56" s="1"/>
      <c r="S56" s="1"/>
      <c r="U56" s="2">
        <v>62</v>
      </c>
      <c r="V56" s="2">
        <f t="shared" si="16"/>
        <v>3</v>
      </c>
      <c r="W56" s="2">
        <f t="shared" si="17"/>
        <v>1.0913219226005952</v>
      </c>
      <c r="AB56" s="1"/>
      <c r="AC56" s="1"/>
    </row>
    <row r="57" spans="1:29" x14ac:dyDescent="0.2">
      <c r="B57" s="2">
        <v>533.9</v>
      </c>
      <c r="C57" s="2">
        <f t="shared" si="13"/>
        <v>2</v>
      </c>
      <c r="D57" s="2">
        <f t="shared" si="18"/>
        <v>0.14729917893466782</v>
      </c>
      <c r="K57" s="2">
        <v>190.6</v>
      </c>
      <c r="L57" s="2">
        <f t="shared" si="14"/>
        <v>2</v>
      </c>
      <c r="M57" s="2">
        <f t="shared" si="15"/>
        <v>5.5420133450945208E-3</v>
      </c>
      <c r="R57" s="1"/>
      <c r="S57" s="1"/>
      <c r="U57" s="2">
        <v>71.099999999999994</v>
      </c>
      <c r="V57" s="2">
        <f t="shared" si="16"/>
        <v>2</v>
      </c>
      <c r="W57" s="2">
        <f t="shared" si="17"/>
        <v>0.39402544934415556</v>
      </c>
      <c r="AB57" s="1"/>
      <c r="AC57" s="1"/>
    </row>
    <row r="58" spans="1:29" x14ac:dyDescent="0.2">
      <c r="B58" s="2">
        <v>608.29999999999995</v>
      </c>
      <c r="C58" s="2">
        <f t="shared" si="13"/>
        <v>1</v>
      </c>
      <c r="D58" s="2">
        <f t="shared" si="18"/>
        <v>0.95521216198992676</v>
      </c>
      <c r="K58" s="2">
        <v>217</v>
      </c>
      <c r="L58" s="2">
        <f t="shared" si="14"/>
        <v>1</v>
      </c>
      <c r="M58" s="2">
        <f t="shared" si="15"/>
        <v>0.20391932028082649</v>
      </c>
      <c r="R58" s="1"/>
      <c r="S58" s="1"/>
      <c r="U58" s="2">
        <v>83.4</v>
      </c>
      <c r="V58" s="2">
        <f t="shared" si="16"/>
        <v>1</v>
      </c>
      <c r="W58" s="2">
        <f t="shared" si="17"/>
        <v>4.5595813244786454E-3</v>
      </c>
      <c r="AB58" s="1"/>
      <c r="AC58" s="1"/>
    </row>
    <row r="59" spans="1:29" x14ac:dyDescent="0.2">
      <c r="B59" t="s">
        <v>46</v>
      </c>
      <c r="C59" t="s">
        <v>48</v>
      </c>
      <c r="D59" t="s">
        <v>49</v>
      </c>
      <c r="K59" t="s">
        <v>46</v>
      </c>
      <c r="L59" t="s">
        <v>48</v>
      </c>
      <c r="M59" t="s">
        <v>49</v>
      </c>
      <c r="R59" s="1"/>
      <c r="S59" s="1"/>
      <c r="U59" t="s">
        <v>46</v>
      </c>
      <c r="V59" t="s">
        <v>48</v>
      </c>
      <c r="W59" t="s">
        <v>49</v>
      </c>
      <c r="AB59" s="1"/>
      <c r="AC59" s="1"/>
    </row>
    <row r="60" spans="1:29" x14ac:dyDescent="0.2">
      <c r="A60" t="s">
        <v>111</v>
      </c>
      <c r="B60" cm="1">
        <f t="array" ref="B60:D64">LINEST(C44:C58,B44:B58^COLUMN($A:$B), TRUE,TRUE)</f>
        <v>1.8937850960205775E-5</v>
      </c>
      <c r="C60">
        <v>-3.443998889769434E-2</v>
      </c>
      <c r="D60">
        <v>14.972349509114554</v>
      </c>
      <c r="F60" t="s">
        <v>94</v>
      </c>
      <c r="G60" t="s">
        <v>109</v>
      </c>
      <c r="J60" t="s">
        <v>111</v>
      </c>
      <c r="K60" cm="1">
        <f t="array" ref="K60:M64">LINEST(L44:L58,K44:K58^COLUMN($A:$B), TRUE,TRUE)</f>
        <v>1.5881956319017617E-4</v>
      </c>
      <c r="L60">
        <v>-9.9260830246142989E-2</v>
      </c>
      <c r="M60">
        <v>15.109813099017808</v>
      </c>
      <c r="O60" t="s">
        <v>94</v>
      </c>
      <c r="P60" t="s">
        <v>109</v>
      </c>
      <c r="R60" s="1"/>
      <c r="S60" s="1"/>
      <c r="T60" t="s">
        <v>111</v>
      </c>
      <c r="U60" cm="1">
        <f t="array" ref="U60:W64">LINEST(V44:V58,U44:U58^COLUMN($A:$B), TRUE,TRUE)</f>
        <v>1.2645517681776164E-3</v>
      </c>
      <c r="V60">
        <v>-0.27338873659029095</v>
      </c>
      <c r="W60">
        <v>15.044336110300657</v>
      </c>
      <c r="Y60" t="s">
        <v>94</v>
      </c>
      <c r="Z60" t="s">
        <v>109</v>
      </c>
      <c r="AB60" s="1"/>
      <c r="AC60" s="1"/>
    </row>
    <row r="61" spans="1:29" x14ac:dyDescent="0.2">
      <c r="A61" t="s">
        <v>44</v>
      </c>
      <c r="B61">
        <v>2.4799551723636956E-7</v>
      </c>
      <c r="C61">
        <v>1.5042535043400146E-4</v>
      </c>
      <c r="D61">
        <v>1.822130628634374E-2</v>
      </c>
      <c r="F61">
        <f>(-E17/G17)+((9.81*E17^5)/(2*G17*F17^4*B60/100))</f>
        <v>3.4886508944050078E-2</v>
      </c>
      <c r="G61">
        <f>(-E17/G17)+((2*9.81*0.15*E17^5)/(G17*F17^4*(C60/100)^2))</f>
        <v>3.2798626697191038E-2</v>
      </c>
      <c r="J61" t="s">
        <v>44</v>
      </c>
      <c r="K61">
        <v>4.5501695902197289E-6</v>
      </c>
      <c r="L61">
        <v>9.9057890546467285E-4</v>
      </c>
      <c r="M61">
        <v>4.3062988255628383E-2</v>
      </c>
      <c r="O61">
        <f>(-K17/M17)+((9.81*K17^5)/(2*M17*L17^4*K60/100))</f>
        <v>3.5137731833876869E-2</v>
      </c>
      <c r="P61">
        <f>(-K17/M17)+((2*9.81*0.15*K17^5)/(M17*L17^4*(L60/100)^2))</f>
        <v>3.3215497962000518E-2</v>
      </c>
      <c r="R61" s="1"/>
      <c r="S61" s="1"/>
      <c r="T61" t="s">
        <v>44</v>
      </c>
      <c r="U61">
        <v>2.1278597843256175E-5</v>
      </c>
      <c r="V61">
        <v>1.7584539535277477E-3</v>
      </c>
      <c r="W61">
        <v>2.8854185552071379E-2</v>
      </c>
      <c r="Y61">
        <f>(-Q17/S17)+((9.81*Q17^5)/(2*S17*R17^4*U60/100))</f>
        <v>2.2855951215656638E-2</v>
      </c>
      <c r="Z61">
        <f>(-Q17/S17)+((2*9.81*0.15*Q17^5)/(S17*R17^4*(V60/100)^2))</f>
        <v>2.3738039833977917E-2</v>
      </c>
      <c r="AB61" s="1"/>
      <c r="AC61" s="1"/>
    </row>
    <row r="62" spans="1:29" x14ac:dyDescent="0.2">
      <c r="B62">
        <v>0.999961780375348</v>
      </c>
      <c r="C62">
        <v>2.9862873972157582E-2</v>
      </c>
      <c r="D62" t="e">
        <v>#N/A</v>
      </c>
      <c r="F62">
        <f>((2*9.81*E17^5)/(0.25*(B60/100)*0.195^5))*0.001+((5*9.81*E17^4)/(2*0.25*(B60/100)*0.195^4)-(1)/(0.25))*0.00005+((9.81*E17^5)/(2*0.25*0.195^4*(B60/100)^2))*(B61/100)</f>
        <v>4.8270632610844348E-3</v>
      </c>
      <c r="G62">
        <f>((8*9.81*E17^5)/(0.25*(C60/100)^2*0.195^5))*0.001+((2*5*9.81*E17^4)/(0.25*(C60/100)^2*0.195^4)-(1)/(0.25))*0.00005+((4*9.81*E17^5)/(0.25*0.195^4*(-C60/100)^3))*(C61/100)</f>
        <v>3.0522023739335883E-2</v>
      </c>
      <c r="K62">
        <v>0.99979560455629624</v>
      </c>
      <c r="L62">
        <v>6.9059590353232364E-2</v>
      </c>
      <c r="M62" t="e">
        <v>#N/A</v>
      </c>
      <c r="O62">
        <f>((2*9.81*K17^5)/(0.25*(K60/100)*0.195^5))*0.001+((5*9.81*K17^4)/(2*0.25*(K60/100)*0.195^4)-(1)/(0.25))*0.00005+((9.81*K17^5)/(2*0.25*0.195^4*(K60/100)^2))*(K61/100)</f>
        <v>5.1794884591635174E-3</v>
      </c>
      <c r="P62">
        <f>((8*9.81*K17^5)/(0.25*(L60/100)^2*0.195^5))*0.001+((2*5*9.81*K17^4)/(0.25*(L60/100)^2*0.195^4)-(1)/(0.25))*0.00005+((4*9.81*K17^5)/(0.25*0.195^4*(-L60/100)^3))*(L61/100)</f>
        <v>3.1205361424694728E-2</v>
      </c>
      <c r="R62" s="1"/>
      <c r="S62" s="1"/>
      <c r="U62">
        <v>0.99990248179714658</v>
      </c>
      <c r="V62">
        <v>4.7701412277271468E-2</v>
      </c>
      <c r="W62" t="e">
        <v>#N/A</v>
      </c>
      <c r="Y62">
        <f>((2*9.81*Q17^5)/(0.25*(U60/100)*0.195^5))*0.001+((5*9.81*Q17^4)/(2*0.25*(U60/100)*0.195^4)-(1)/(0.25))*0.00005+((9.81*Q17^5)/(2*0.25*0.195^4*(U60/100)^2))*(U61/100)</f>
        <v>3.6209144216571764E-3</v>
      </c>
      <c r="Z62">
        <f>((8*9.81*Q17^5)/(0.25*(V60/100)^2*0.195^5))*0.001+((2*5*9.81*Q17^4)/(0.25*(V60/100)^2*0.195^4)-(1)/(0.25))*0.00005+((4*9.81*Q17^5)/(0.25*0.195^4*(-V60/100)^3))*(V61/100)</f>
        <v>2.4096089681402439E-2</v>
      </c>
      <c r="AB62" s="1"/>
      <c r="AC62" s="1"/>
    </row>
    <row r="63" spans="1:29" x14ac:dyDescent="0.2">
      <c r="B63">
        <v>156981.41300188127</v>
      </c>
      <c r="C63">
        <v>12</v>
      </c>
      <c r="D63" t="e">
        <v>#N/A</v>
      </c>
      <c r="K63">
        <v>29348.861787886715</v>
      </c>
      <c r="L63">
        <v>12</v>
      </c>
      <c r="M63" t="e">
        <v>#N/A</v>
      </c>
      <c r="N63" s="1"/>
      <c r="R63" s="1"/>
      <c r="S63" s="1"/>
      <c r="U63">
        <v>61520.974702551277</v>
      </c>
      <c r="V63">
        <v>12</v>
      </c>
      <c r="W63" t="e">
        <v>#N/A</v>
      </c>
      <c r="X63" s="1"/>
      <c r="AB63" s="1"/>
      <c r="AC63" s="1"/>
    </row>
    <row r="64" spans="1:29" x14ac:dyDescent="0.2">
      <c r="B64">
        <v>279.98929850509745</v>
      </c>
      <c r="C64">
        <v>1.0701494902523602E-2</v>
      </c>
      <c r="D64" t="e">
        <v>#N/A</v>
      </c>
      <c r="F64" t="s">
        <v>112</v>
      </c>
      <c r="G64" t="s">
        <v>98</v>
      </c>
      <c r="K64">
        <v>279.94276927576294</v>
      </c>
      <c r="L64">
        <v>5.7230724237075169E-2</v>
      </c>
      <c r="M64" t="e">
        <v>#N/A</v>
      </c>
      <c r="N64" s="1"/>
      <c r="O64" t="s">
        <v>112</v>
      </c>
      <c r="P64" t="s">
        <v>98</v>
      </c>
      <c r="R64" s="1"/>
      <c r="S64" s="1"/>
      <c r="U64">
        <v>279.97269490320105</v>
      </c>
      <c r="V64">
        <v>2.7305096798954705E-2</v>
      </c>
      <c r="W64" t="e">
        <v>#N/A</v>
      </c>
      <c r="X64" s="1"/>
      <c r="Y64" t="s">
        <v>112</v>
      </c>
      <c r="Z64" t="s">
        <v>98</v>
      </c>
      <c r="AB64" s="1"/>
      <c r="AC64" s="1"/>
    </row>
    <row r="65" spans="2:29" x14ac:dyDescent="0.2">
      <c r="F65">
        <f>AVERAGE(F61,G61)</f>
        <v>3.3842567820620562E-2</v>
      </c>
      <c r="G65">
        <f>F62+G62</f>
        <v>3.5349087000420318E-2</v>
      </c>
      <c r="K65" s="1"/>
      <c r="L65" s="1"/>
      <c r="M65" s="1"/>
      <c r="N65" s="1"/>
      <c r="O65">
        <f>AVERAGE(O61,P61)</f>
        <v>3.417661489793869E-2</v>
      </c>
      <c r="P65">
        <f>O62+P62</f>
        <v>3.6384849883858247E-2</v>
      </c>
      <c r="R65" s="1"/>
      <c r="S65" s="1"/>
      <c r="U65" s="1"/>
      <c r="V65" s="1"/>
      <c r="W65" s="1"/>
      <c r="X65" s="1"/>
      <c r="Y65">
        <f>AVERAGE(Y61,Z61)</f>
        <v>2.3296995524817277E-2</v>
      </c>
      <c r="Z65">
        <f>Y62+Z62</f>
        <v>2.7717004103059616E-2</v>
      </c>
      <c r="AB65" s="1"/>
      <c r="AC65" s="1"/>
    </row>
    <row r="66" spans="2:29" x14ac:dyDescent="0.2">
      <c r="K66" s="1"/>
      <c r="L66" s="1"/>
      <c r="M66" s="1"/>
      <c r="N66" s="1"/>
      <c r="R66" s="1"/>
      <c r="S66" s="1"/>
      <c r="U66" s="1"/>
      <c r="V66" s="1"/>
      <c r="W66" s="1"/>
      <c r="X66" s="1"/>
      <c r="Y66" s="1"/>
      <c r="Z66" s="1"/>
      <c r="AB66" s="1"/>
      <c r="AC66" s="1"/>
    </row>
    <row r="67" spans="2:29" x14ac:dyDescent="0.2">
      <c r="K67" s="1"/>
      <c r="L67" s="1"/>
      <c r="M67" s="1"/>
      <c r="N67" s="1"/>
      <c r="U67" s="1"/>
      <c r="V67" s="1"/>
      <c r="W67" s="1"/>
      <c r="X67" s="1"/>
    </row>
    <row r="68" spans="2:29" x14ac:dyDescent="0.2">
      <c r="K68" s="1"/>
      <c r="L68" s="1"/>
      <c r="M68" s="1"/>
      <c r="N68" s="1"/>
      <c r="U68" s="1"/>
      <c r="V68" s="1"/>
      <c r="W68" s="1"/>
      <c r="X68" s="1"/>
    </row>
    <row r="69" spans="2:29" x14ac:dyDescent="0.2">
      <c r="B69" s="4" t="s">
        <v>75</v>
      </c>
      <c r="D69" s="1"/>
      <c r="E69" s="1"/>
      <c r="K69" s="4" t="s">
        <v>75</v>
      </c>
      <c r="M69" s="1"/>
      <c r="N69" s="1"/>
      <c r="U69" s="4" t="s">
        <v>75</v>
      </c>
      <c r="W69" s="1"/>
      <c r="X69" s="1"/>
    </row>
    <row r="70" spans="2:29" x14ac:dyDescent="0.2">
      <c r="D70" s="1"/>
      <c r="E70" s="1"/>
      <c r="M70" s="1"/>
      <c r="N70" s="1"/>
      <c r="R70" s="4"/>
      <c r="W70" s="1"/>
      <c r="X70" s="1"/>
      <c r="Y70" s="4"/>
      <c r="AB70" s="4"/>
    </row>
    <row r="71" spans="2:29" x14ac:dyDescent="0.2">
      <c r="D71" s="1"/>
      <c r="E71" s="1"/>
      <c r="G71" t="s">
        <v>115</v>
      </c>
      <c r="M71" s="1"/>
      <c r="N71" s="1"/>
      <c r="W71" s="1"/>
      <c r="X71" s="1"/>
    </row>
    <row r="72" spans="2:29" x14ac:dyDescent="0.2">
      <c r="B72" s="2" t="s">
        <v>15</v>
      </c>
      <c r="C72" s="2" t="s">
        <v>37</v>
      </c>
      <c r="D72" s="2" t="s">
        <v>40</v>
      </c>
      <c r="E72" s="1" t="s">
        <v>76</v>
      </c>
      <c r="G72" s="46" t="s">
        <v>116</v>
      </c>
      <c r="K72" s="2" t="s">
        <v>15</v>
      </c>
      <c r="L72" s="2" t="s">
        <v>37</v>
      </c>
      <c r="M72" s="2" t="s">
        <v>40</v>
      </c>
      <c r="N72" s="1" t="s">
        <v>76</v>
      </c>
      <c r="O72" s="1"/>
      <c r="P72" s="1"/>
      <c r="R72" s="1"/>
      <c r="S72" s="1"/>
      <c r="U72" s="2" t="s">
        <v>15</v>
      </c>
      <c r="V72" s="2" t="s">
        <v>37</v>
      </c>
      <c r="W72" s="2" t="s">
        <v>40</v>
      </c>
      <c r="X72" s="1" t="s">
        <v>76</v>
      </c>
      <c r="Y72" s="1"/>
      <c r="Z72" s="1"/>
      <c r="AB72" s="1"/>
      <c r="AC72" s="1"/>
    </row>
    <row r="73" spans="2:29" x14ac:dyDescent="0.2">
      <c r="B73" s="2">
        <f t="shared" ref="B73:B88" si="19">B24</f>
        <v>0</v>
      </c>
      <c r="C73" s="2">
        <f>0.25*(-2*SQRT($H$14)+$E$73*B73)^2</f>
        <v>0.15000000000000002</v>
      </c>
      <c r="D73" s="2">
        <f>C73*100</f>
        <v>15.000000000000002</v>
      </c>
      <c r="E73" s="1">
        <f>((E17^2)/(F17^2))*SQRT((2*9.81)/(1+(G17*$E$76/E17)))</f>
        <v>9.4702724105534466E-4</v>
      </c>
      <c r="G73" t="s">
        <v>119</v>
      </c>
      <c r="H73" s="1"/>
      <c r="I73" s="1"/>
      <c r="K73" s="2">
        <f t="shared" ref="K73:K88" si="20">K24</f>
        <v>0</v>
      </c>
      <c r="L73" s="2">
        <f>0.25*(-2*SQRT($H$14)+$N$73*K73)^2</f>
        <v>0.15000000000000002</v>
      </c>
      <c r="M73" s="2">
        <f>L73*100</f>
        <v>15.000000000000002</v>
      </c>
      <c r="N73" s="1">
        <f>((K17^2)/(L17^2))*SQRT((2*9.81)/(1+($G$17*N76/K17)))</f>
        <v>3.0990858729162915E-3</v>
      </c>
      <c r="O73" s="1"/>
      <c r="P73" s="1"/>
      <c r="R73" s="1"/>
      <c r="S73" s="1"/>
      <c r="U73" s="2">
        <f>U44</f>
        <v>0</v>
      </c>
      <c r="V73" s="2">
        <f>0.25*(-2*SQRT($H$14)+$X$73*U73)^2</f>
        <v>0.15000000000000002</v>
      </c>
      <c r="W73" s="2">
        <f>V73*100</f>
        <v>15.000000000000002</v>
      </c>
      <c r="X73" s="1">
        <f>((Q17^2)/(R17^2))*SQRT((2*9.81)/(1+(G17*X76/Q17)))</f>
        <v>8.1582463524485678E-3</v>
      </c>
      <c r="Y73" s="1"/>
      <c r="Z73" s="1"/>
      <c r="AB73" s="1"/>
      <c r="AC73" s="1"/>
    </row>
    <row r="74" spans="2:29" x14ac:dyDescent="0.2">
      <c r="B74" s="2">
        <f t="shared" si="19"/>
        <v>29.6</v>
      </c>
      <c r="C74" s="2">
        <f t="shared" ref="C74:C88" si="21">0.25*(-2*SQRT($H$14)+$E$73*B74)^2</f>
        <v>0.13933969897507889</v>
      </c>
      <c r="D74" s="2">
        <f t="shared" ref="D74:D88" si="22">C74*100</f>
        <v>13.93396989750789</v>
      </c>
      <c r="H74" s="1"/>
      <c r="I74" s="1"/>
      <c r="K74" s="2">
        <f t="shared" si="20"/>
        <v>12.89</v>
      </c>
      <c r="L74" s="2">
        <f t="shared" ref="L74:L88" si="23">0.25*(-2*SQRT($H$14)+$N$73*K74)^2</f>
        <v>0.13492745445571577</v>
      </c>
      <c r="M74" s="2">
        <f t="shared" ref="M74:M88" si="24">L74*100</f>
        <v>13.492745445571577</v>
      </c>
      <c r="O74" s="1"/>
      <c r="P74" s="1"/>
      <c r="R74" s="1"/>
      <c r="S74" s="1"/>
      <c r="U74" s="2">
        <f t="shared" ref="U74:U88" si="25">U45</f>
        <v>4.2</v>
      </c>
      <c r="V74" s="2">
        <f>0.25*(-2*SQRT($H$14)+$X$73*U74)^2</f>
        <v>0.13702288034938126</v>
      </c>
      <c r="W74" s="2">
        <f t="shared" ref="W74:W88" si="26">V74*100</f>
        <v>13.702288034938126</v>
      </c>
      <c r="Y74" s="1"/>
      <c r="Z74" s="1"/>
      <c r="AB74" s="1"/>
      <c r="AC74" s="1"/>
    </row>
    <row r="75" spans="2:29" x14ac:dyDescent="0.2">
      <c r="B75" s="2">
        <f t="shared" si="19"/>
        <v>58.8</v>
      </c>
      <c r="C75" s="2">
        <f t="shared" si="21"/>
        <v>0.12920842451404313</v>
      </c>
      <c r="D75" s="2">
        <f t="shared" si="22"/>
        <v>12.920842451404313</v>
      </c>
      <c r="E75" s="1" t="s">
        <v>77</v>
      </c>
      <c r="H75" s="1" t="s">
        <v>118</v>
      </c>
      <c r="I75" s="1"/>
      <c r="K75" s="2">
        <f t="shared" si="20"/>
        <v>22.27</v>
      </c>
      <c r="L75" s="2">
        <f t="shared" si="23"/>
        <v>0.12446079357298939</v>
      </c>
      <c r="M75" s="2">
        <f t="shared" si="24"/>
        <v>12.44607935729894</v>
      </c>
      <c r="N75" s="1" t="s">
        <v>77</v>
      </c>
      <c r="O75" s="1"/>
      <c r="P75" s="1"/>
      <c r="R75" s="1"/>
      <c r="S75" s="1"/>
      <c r="U75" s="2">
        <f t="shared" si="25"/>
        <v>7.9</v>
      </c>
      <c r="V75" s="2">
        <f t="shared" ref="V75:V88" si="27">0.25*(-2*SQRT($H$14)+$X$73*U75)^2</f>
        <v>0.12607702105253618</v>
      </c>
      <c r="W75" s="2">
        <f t="shared" si="26"/>
        <v>12.607702105253619</v>
      </c>
      <c r="X75" s="1" t="s">
        <v>77</v>
      </c>
      <c r="Y75" s="1"/>
      <c r="Z75" s="1"/>
      <c r="AB75" s="1"/>
      <c r="AC75" s="1"/>
    </row>
    <row r="76" spans="2:29" x14ac:dyDescent="0.2">
      <c r="B76" s="2">
        <f t="shared" si="19"/>
        <v>91</v>
      </c>
      <c r="C76" s="2">
        <f t="shared" si="21"/>
        <v>0.11847955697701151</v>
      </c>
      <c r="D76" s="2">
        <f t="shared" si="22"/>
        <v>11.847955697701151</v>
      </c>
      <c r="E76" s="1">
        <f>64/E79</f>
        <v>2.716664257725181E-2</v>
      </c>
      <c r="H76" s="1"/>
      <c r="I76" s="1"/>
      <c r="K76" s="2">
        <f t="shared" si="20"/>
        <v>33.770000000000003</v>
      </c>
      <c r="L76" s="2">
        <f t="shared" si="23"/>
        <v>0.11220508155378191</v>
      </c>
      <c r="M76" s="2">
        <f t="shared" si="24"/>
        <v>11.220508155378191</v>
      </c>
      <c r="N76" s="1">
        <f>64/N79</f>
        <v>1.5319760175824176E-2</v>
      </c>
      <c r="O76" s="1"/>
      <c r="P76" s="1"/>
      <c r="R76" s="1"/>
      <c r="S76" s="1"/>
      <c r="U76" s="2">
        <f t="shared" si="25"/>
        <v>11.9</v>
      </c>
      <c r="V76" s="2">
        <f t="shared" si="27"/>
        <v>0.11475614842385524</v>
      </c>
      <c r="W76" s="2">
        <f t="shared" si="26"/>
        <v>11.475614842385525</v>
      </c>
      <c r="X76" s="1">
        <f>64/X79</f>
        <v>8.8734404057480998E-3</v>
      </c>
      <c r="Y76" s="1"/>
      <c r="Z76" s="1"/>
      <c r="AB76" s="1"/>
      <c r="AC76" s="1"/>
    </row>
    <row r="77" spans="2:29" x14ac:dyDescent="0.2">
      <c r="B77" s="2">
        <f t="shared" si="19"/>
        <v>122.3</v>
      </c>
      <c r="C77" s="2">
        <f t="shared" si="21"/>
        <v>0.108496203438634</v>
      </c>
      <c r="D77" s="2">
        <f t="shared" si="22"/>
        <v>10.8496203438634</v>
      </c>
      <c r="H77" s="1"/>
      <c r="I77" s="1"/>
      <c r="K77" s="2">
        <f t="shared" si="20"/>
        <v>44.27</v>
      </c>
      <c r="L77" s="2">
        <f t="shared" si="23"/>
        <v>0.10156973386825635</v>
      </c>
      <c r="M77" s="2">
        <f t="shared" si="24"/>
        <v>10.156973386825635</v>
      </c>
      <c r="O77" s="1"/>
      <c r="P77" s="1"/>
      <c r="R77" s="1"/>
      <c r="S77" s="1"/>
      <c r="U77" s="2">
        <f t="shared" si="25"/>
        <v>15.8</v>
      </c>
      <c r="V77" s="2">
        <f t="shared" si="27"/>
        <v>0.10423095277666396</v>
      </c>
      <c r="W77" s="2">
        <f t="shared" si="26"/>
        <v>10.423095277666397</v>
      </c>
      <c r="Y77" s="1"/>
      <c r="Z77" s="1"/>
      <c r="AB77" s="1"/>
      <c r="AC77" s="1"/>
    </row>
    <row r="78" spans="2:29" x14ac:dyDescent="0.2">
      <c r="B78" s="2">
        <f t="shared" si="19"/>
        <v>157.1</v>
      </c>
      <c r="C78" s="2">
        <f t="shared" si="21"/>
        <v>9.7912258085597365E-2</v>
      </c>
      <c r="D78" s="2">
        <f t="shared" si="22"/>
        <v>9.7912258085597372</v>
      </c>
      <c r="E78" s="1" t="s">
        <v>78</v>
      </c>
      <c r="F78" s="1" t="s">
        <v>117</v>
      </c>
      <c r="H78" s="1"/>
      <c r="I78" s="1"/>
      <c r="K78" s="2">
        <f t="shared" si="20"/>
        <v>55.93</v>
      </c>
      <c r="L78" s="2">
        <f t="shared" si="23"/>
        <v>9.037983883824649E-2</v>
      </c>
      <c r="M78" s="2">
        <f t="shared" si="24"/>
        <v>9.0379838838246496</v>
      </c>
      <c r="N78" s="1" t="s">
        <v>78</v>
      </c>
      <c r="O78" s="1" t="s">
        <v>117</v>
      </c>
      <c r="P78" s="1"/>
      <c r="R78" s="1"/>
      <c r="S78" s="1"/>
      <c r="U78" s="2">
        <f t="shared" si="25"/>
        <v>20.2</v>
      </c>
      <c r="V78" s="2">
        <f t="shared" si="27"/>
        <v>9.2964038331926763E-2</v>
      </c>
      <c r="W78" s="2">
        <f t="shared" si="26"/>
        <v>9.2964038331926755</v>
      </c>
      <c r="X78" s="1" t="s">
        <v>78</v>
      </c>
      <c r="Y78" s="1" t="s">
        <v>117</v>
      </c>
      <c r="Z78" s="1"/>
      <c r="AB78" s="1"/>
      <c r="AC78" s="1"/>
    </row>
    <row r="79" spans="2:29" x14ac:dyDescent="0.2">
      <c r="B79" s="2">
        <f t="shared" si="19"/>
        <v>193</v>
      </c>
      <c r="C79" s="2">
        <f t="shared" si="21"/>
        <v>8.7562849931457132E-2</v>
      </c>
      <c r="D79" s="2">
        <f t="shared" si="22"/>
        <v>8.7562849931457123</v>
      </c>
      <c r="E79" s="1">
        <f>((0.15-0.01)/B87)*(F17^2/E17)/0.000001004</f>
        <v>2355.8303098370675</v>
      </c>
      <c r="F79" s="1">
        <f>2*0.001*(F17/(E17*10^-6))*(0.15-0.01)/B87 + (F17^2/(E17^2 * 10^-6)*0.00005*(0.15-0.01)/B87) + (F17^2/(E17*10^-6*B87)*0.001) + (F17^2/(E17*B87*10^-6)*0.001) + 0.1*(0.15-0.01)*F17^2/(E17*10^-6*B87^2)</f>
        <v>90.400066215855205</v>
      </c>
      <c r="H79" s="1"/>
      <c r="I79" s="1"/>
      <c r="K79" s="2">
        <f t="shared" si="20"/>
        <v>68.790000000000006</v>
      </c>
      <c r="L79" s="2">
        <f t="shared" si="23"/>
        <v>7.879545198646698E-2</v>
      </c>
      <c r="M79" s="2">
        <f t="shared" si="24"/>
        <v>7.8795451986466976</v>
      </c>
      <c r="N79" s="1">
        <f>((0.15-0.01)/K87)*(L17^2/K17^2)*K17/0.000001004</f>
        <v>4177.6110895650436</v>
      </c>
      <c r="O79" s="1">
        <f>2*0.001*(L17/(K17*10^-6))*(0.15-0.01)/K87 + (L17^2/(K17^2 * 10^-6)*0.00005*(0.15-0.01)/K87) + (L17^2/(K17*10^-6*K87)*0.001) + (L17^2/(K17*K87*10^-6)*0.001) + 0.1*(0.15-0.01)*L17^2/(K17*10^-6*K87^2)</f>
        <v>140.71968687547681</v>
      </c>
      <c r="P79" s="1"/>
      <c r="R79" s="1"/>
      <c r="S79" s="1"/>
      <c r="U79" s="2">
        <f t="shared" si="25"/>
        <v>24.7</v>
      </c>
      <c r="V79" s="2">
        <f t="shared" si="27"/>
        <v>8.2107459447575915E-2</v>
      </c>
      <c r="W79" s="2">
        <f t="shared" si="26"/>
        <v>8.2107459447575906</v>
      </c>
      <c r="X79" s="1">
        <f>((0.15-0.01)/U87)*(R17^2/Q17^2)*Q17*10^6</f>
        <v>7212.5350567004016</v>
      </c>
      <c r="Y79" s="1">
        <f>2*0.001*(R17/(Q17*10^-6))*(0.15-0.01)/U87 + (R17^2/(Q17^2 * 10^-6)*0.00005*(0.15-0.01)/U87) + (R17^2/(Q17*10^-6*U87)*0.001) + (R17^2/(Q17*U87*10^-6)*0.001) + 0.1*(0.15-0.01)*R17^2/(Q17*10^-6*U87^2)</f>
        <v>226.40784282624142</v>
      </c>
      <c r="Z79" s="1"/>
      <c r="AB79" s="1"/>
      <c r="AC79" s="1"/>
    </row>
    <row r="80" spans="2:29" x14ac:dyDescent="0.2">
      <c r="B80" s="2">
        <f t="shared" si="19"/>
        <v>231.6</v>
      </c>
      <c r="C80" s="2">
        <f t="shared" si="21"/>
        <v>7.7079849536610359E-2</v>
      </c>
      <c r="D80" s="2">
        <f t="shared" si="22"/>
        <v>7.7079849536610361</v>
      </c>
      <c r="E80" s="1"/>
      <c r="F80" s="1"/>
      <c r="H80" s="1"/>
      <c r="I80" s="1"/>
      <c r="K80" s="2">
        <f t="shared" si="20"/>
        <v>81.89</v>
      </c>
      <c r="L80" s="2">
        <f t="shared" si="23"/>
        <v>6.7811422098251223E-2</v>
      </c>
      <c r="M80" s="2">
        <f t="shared" si="24"/>
        <v>6.7811422098251226</v>
      </c>
      <c r="N80" s="1"/>
      <c r="O80" s="1"/>
      <c r="P80" s="1"/>
      <c r="R80" s="1"/>
      <c r="S80" s="1"/>
      <c r="U80" s="2">
        <f t="shared" si="25"/>
        <v>29.9</v>
      </c>
      <c r="V80" s="2">
        <f t="shared" si="27"/>
        <v>7.040136296596787E-2</v>
      </c>
      <c r="W80" s="2">
        <f t="shared" si="26"/>
        <v>7.0401362965967866</v>
      </c>
      <c r="X80" s="1"/>
      <c r="Y80" s="1"/>
      <c r="Z80" s="1"/>
      <c r="AB80" s="1"/>
      <c r="AC80" s="1"/>
    </row>
    <row r="81" spans="2:29" x14ac:dyDescent="0.2">
      <c r="B81" s="2">
        <f t="shared" si="19"/>
        <v>272.5</v>
      </c>
      <c r="C81" s="2">
        <f t="shared" si="21"/>
        <v>6.6701261170373186E-2</v>
      </c>
      <c r="D81" s="2">
        <f t="shared" si="22"/>
        <v>6.6701261170373183</v>
      </c>
      <c r="E81" s="1"/>
      <c r="H81" s="1"/>
      <c r="I81" s="1"/>
      <c r="K81" s="2">
        <f t="shared" si="20"/>
        <v>95.72</v>
      </c>
      <c r="L81" s="2">
        <f t="shared" si="23"/>
        <v>5.7109569079078222E-2</v>
      </c>
      <c r="M81" s="2">
        <f t="shared" si="24"/>
        <v>5.7109569079078222</v>
      </c>
      <c r="N81" s="1"/>
      <c r="O81" s="1"/>
      <c r="P81" s="1"/>
      <c r="R81" s="1"/>
      <c r="S81" s="1"/>
      <c r="U81" s="2">
        <f t="shared" si="25"/>
        <v>34.9</v>
      </c>
      <c r="V81" s="2">
        <f t="shared" si="27"/>
        <v>5.9994102504648997E-2</v>
      </c>
      <c r="W81" s="2">
        <f t="shared" si="26"/>
        <v>5.9994102504648996</v>
      </c>
      <c r="X81" s="1"/>
      <c r="Y81" s="1"/>
      <c r="Z81" s="1"/>
      <c r="AB81" s="1"/>
      <c r="AC81" s="1"/>
    </row>
    <row r="82" spans="2:29" x14ac:dyDescent="0.2">
      <c r="B82" s="2">
        <f t="shared" si="19"/>
        <v>315.60000000000002</v>
      </c>
      <c r="C82" s="2">
        <f t="shared" si="21"/>
        <v>5.6576159852030315E-2</v>
      </c>
      <c r="D82" s="2">
        <f t="shared" si="22"/>
        <v>5.6576159852030319</v>
      </c>
      <c r="E82" s="1"/>
      <c r="H82" s="1"/>
      <c r="I82" s="1"/>
      <c r="K82" s="2">
        <f t="shared" si="20"/>
        <v>111.95</v>
      </c>
      <c r="L82" s="2">
        <f t="shared" si="23"/>
        <v>4.5721987162462029E-2</v>
      </c>
      <c r="M82" s="2">
        <f t="shared" si="24"/>
        <v>4.572198716246203</v>
      </c>
      <c r="N82" s="1"/>
      <c r="O82" s="1"/>
      <c r="P82" s="1"/>
      <c r="R82" s="1"/>
      <c r="S82" s="1"/>
      <c r="U82" s="2">
        <f t="shared" si="25"/>
        <v>40.700000000000003</v>
      </c>
      <c r="V82" s="2">
        <f t="shared" si="27"/>
        <v>4.8963962731868871E-2</v>
      </c>
      <c r="W82" s="2">
        <f t="shared" si="26"/>
        <v>4.8963962731868875</v>
      </c>
      <c r="X82" s="1"/>
      <c r="Y82" s="1"/>
      <c r="Z82" s="1"/>
      <c r="AB82" s="1"/>
      <c r="AC82" s="1"/>
    </row>
    <row r="83" spans="2:29" x14ac:dyDescent="0.2">
      <c r="B83" s="2">
        <f t="shared" si="19"/>
        <v>363.5</v>
      </c>
      <c r="C83" s="2">
        <f t="shared" si="21"/>
        <v>4.6300768453371687E-2</v>
      </c>
      <c r="D83" s="2">
        <f t="shared" si="22"/>
        <v>4.630076845337169</v>
      </c>
      <c r="E83" s="1"/>
      <c r="H83" s="1"/>
      <c r="I83" s="1"/>
      <c r="K83" s="2">
        <f t="shared" si="20"/>
        <v>128.96</v>
      </c>
      <c r="L83" s="2">
        <f t="shared" si="23"/>
        <v>3.5144730019532049E-2</v>
      </c>
      <c r="M83" s="2">
        <f t="shared" si="24"/>
        <v>3.5144730019532049</v>
      </c>
      <c r="N83" s="1"/>
      <c r="O83" s="1"/>
      <c r="P83" s="1"/>
      <c r="R83" s="1"/>
      <c r="S83" s="1"/>
      <c r="U83" s="2">
        <f t="shared" si="25"/>
        <v>47.2</v>
      </c>
      <c r="V83" s="2">
        <f t="shared" si="27"/>
        <v>3.7932906902058861E-2</v>
      </c>
      <c r="W83" s="2">
        <f t="shared" si="26"/>
        <v>3.7932906902058861</v>
      </c>
      <c r="X83" s="1"/>
      <c r="Y83" s="1"/>
      <c r="Z83" s="1"/>
      <c r="AB83" s="1"/>
      <c r="AC83" s="1"/>
    </row>
    <row r="84" spans="2:29" x14ac:dyDescent="0.2">
      <c r="B84" s="2">
        <f t="shared" si="19"/>
        <v>413.8</v>
      </c>
      <c r="C84" s="2">
        <f t="shared" si="21"/>
        <v>3.661803665596769E-2</v>
      </c>
      <c r="D84" s="2">
        <f t="shared" si="22"/>
        <v>3.6618036655967687</v>
      </c>
      <c r="E84" s="1"/>
      <c r="K84" s="2">
        <f t="shared" si="20"/>
        <v>146.80000000000001</v>
      </c>
      <c r="L84" s="2">
        <f t="shared" si="23"/>
        <v>2.554416856972368E-2</v>
      </c>
      <c r="M84" s="2">
        <f t="shared" si="24"/>
        <v>2.554416856972368</v>
      </c>
      <c r="N84" s="1"/>
      <c r="U84" s="2">
        <f t="shared" si="25"/>
        <v>54.1</v>
      </c>
      <c r="V84" s="2">
        <f t="shared" si="27"/>
        <v>2.7761481542031913E-2</v>
      </c>
      <c r="W84" s="2">
        <f t="shared" si="26"/>
        <v>2.7761481542031912</v>
      </c>
      <c r="X84" s="1"/>
    </row>
    <row r="85" spans="2:29" x14ac:dyDescent="0.2">
      <c r="B85" s="2">
        <f t="shared" si="19"/>
        <v>467</v>
      </c>
      <c r="C85" s="2">
        <f t="shared" si="21"/>
        <v>2.7611629360479003E-2</v>
      </c>
      <c r="D85" s="2">
        <f t="shared" si="22"/>
        <v>2.7611629360479002</v>
      </c>
      <c r="E85" s="1"/>
      <c r="K85" s="2">
        <f t="shared" si="20"/>
        <v>166.25</v>
      </c>
      <c r="L85" s="2">
        <f t="shared" si="23"/>
        <v>1.6818671653803342E-2</v>
      </c>
      <c r="M85" s="2">
        <f t="shared" si="24"/>
        <v>1.6818671653803341</v>
      </c>
      <c r="N85" s="1"/>
      <c r="U85" s="2">
        <f t="shared" si="25"/>
        <v>62</v>
      </c>
      <c r="V85" s="2">
        <f t="shared" si="27"/>
        <v>1.8061397193695601E-2</v>
      </c>
      <c r="W85" s="2">
        <f t="shared" si="26"/>
        <v>1.8061397193695601</v>
      </c>
      <c r="X85" s="1"/>
    </row>
    <row r="86" spans="2:29" x14ac:dyDescent="0.2">
      <c r="B86" s="2">
        <f t="shared" si="19"/>
        <v>533.9</v>
      </c>
      <c r="C86" s="2">
        <f t="shared" si="21"/>
        <v>1.8087402107146284E-2</v>
      </c>
      <c r="D86" s="2">
        <f t="shared" si="22"/>
        <v>1.8087402107146284</v>
      </c>
      <c r="E86" s="1"/>
      <c r="K86" s="2">
        <f t="shared" si="20"/>
        <v>190.57</v>
      </c>
      <c r="L86" s="2">
        <f t="shared" si="23"/>
        <v>8.4643564522167945E-3</v>
      </c>
      <c r="M86" s="2">
        <f t="shared" si="24"/>
        <v>0.84643564522167947</v>
      </c>
      <c r="N86" s="1"/>
      <c r="U86" s="2">
        <f t="shared" si="25"/>
        <v>71.099999999999994</v>
      </c>
      <c r="V86" s="2">
        <f t="shared" si="27"/>
        <v>9.4619736501243192E-3</v>
      </c>
      <c r="W86" s="2">
        <f t="shared" si="26"/>
        <v>0.9461973650124319</v>
      </c>
      <c r="X86" s="1"/>
    </row>
    <row r="87" spans="2:29" x14ac:dyDescent="0.2">
      <c r="B87" s="2">
        <f t="shared" si="19"/>
        <v>608.29999999999995</v>
      </c>
      <c r="C87" s="2">
        <f t="shared" si="21"/>
        <v>9.852547451856172E-3</v>
      </c>
      <c r="D87" s="2">
        <f t="shared" si="22"/>
        <v>0.98525474518561718</v>
      </c>
      <c r="E87" s="1"/>
      <c r="K87" s="2">
        <f t="shared" si="20"/>
        <v>216.96</v>
      </c>
      <c r="L87" s="2">
        <f t="shared" si="23"/>
        <v>2.6121809009905729E-3</v>
      </c>
      <c r="M87" s="2">
        <f t="shared" si="24"/>
        <v>0.26121809009905728</v>
      </c>
      <c r="N87" s="1"/>
      <c r="U87" s="2">
        <f t="shared" si="25"/>
        <v>83.4</v>
      </c>
      <c r="V87" s="2">
        <f t="shared" si="27"/>
        <v>2.2183592946562886E-3</v>
      </c>
      <c r="W87" s="2">
        <f t="shared" si="26"/>
        <v>0.22183592946562886</v>
      </c>
      <c r="X87" s="1"/>
    </row>
    <row r="88" spans="2:29" x14ac:dyDescent="0.2">
      <c r="B88" s="2">
        <f t="shared" si="19"/>
        <v>0</v>
      </c>
      <c r="C88" s="2">
        <f t="shared" si="21"/>
        <v>0.15000000000000002</v>
      </c>
      <c r="D88" s="2">
        <f t="shared" si="22"/>
        <v>15.000000000000002</v>
      </c>
      <c r="E88" s="1"/>
      <c r="K88" s="2">
        <f t="shared" si="20"/>
        <v>0</v>
      </c>
      <c r="L88" s="2">
        <f t="shared" si="23"/>
        <v>0.15000000000000002</v>
      </c>
      <c r="M88" s="2">
        <f t="shared" si="24"/>
        <v>15.000000000000002</v>
      </c>
      <c r="N88" s="1"/>
      <c r="U88" s="2" t="str">
        <f t="shared" si="25"/>
        <v>A</v>
      </c>
      <c r="V88" s="2" t="e">
        <f t="shared" si="27"/>
        <v>#VALUE!</v>
      </c>
      <c r="W88" s="2" t="e">
        <f t="shared" si="26"/>
        <v>#VALUE!</v>
      </c>
      <c r="X88" s="1"/>
    </row>
    <row r="90" spans="2:29" x14ac:dyDescent="0.2">
      <c r="B90" t="s">
        <v>114</v>
      </c>
      <c r="K90" t="s">
        <v>114</v>
      </c>
    </row>
    <row r="92" spans="2:29" x14ac:dyDescent="0.2">
      <c r="B92" s="2" t="s">
        <v>15</v>
      </c>
      <c r="C92" s="2" t="s">
        <v>37</v>
      </c>
      <c r="D92" s="2" t="s">
        <v>40</v>
      </c>
      <c r="E92" s="1" t="s">
        <v>113</v>
      </c>
      <c r="K92" s="2" t="s">
        <v>15</v>
      </c>
      <c r="L92" s="2" t="s">
        <v>37</v>
      </c>
      <c r="M92" s="2" t="s">
        <v>40</v>
      </c>
      <c r="N92" s="1" t="s">
        <v>113</v>
      </c>
      <c r="U92" s="2" t="s">
        <v>15</v>
      </c>
      <c r="V92" s="2" t="s">
        <v>37</v>
      </c>
      <c r="W92" s="2" t="s">
        <v>40</v>
      </c>
      <c r="X92" s="1" t="s">
        <v>113</v>
      </c>
    </row>
    <row r="93" spans="2:29" x14ac:dyDescent="0.2">
      <c r="B93" s="2">
        <f t="shared" ref="B93:B107" si="28">B44</f>
        <v>0</v>
      </c>
      <c r="C93" s="2">
        <f>0.25*(-2*SQRT($H$14)+$E$93*B93)^2</f>
        <v>0.15000000000000002</v>
      </c>
      <c r="D93" s="2">
        <f>C93*100</f>
        <v>15.000000000000002</v>
      </c>
      <c r="E93" s="1">
        <f>((E17^2)/(F17^2))*SQRT((2*9.81)/(1+(G17*$F$65/E17)))</f>
        <v>8.7964277123413713E-4</v>
      </c>
      <c r="K93" s="2">
        <f t="shared" ref="K93:K107" si="29">K44</f>
        <v>0</v>
      </c>
      <c r="L93" s="2">
        <f>0.25*(-2*SQRT($H$14)+$N$93*K93)^2</f>
        <v>0.15000000000000002</v>
      </c>
      <c r="M93" s="2">
        <f>L93*100</f>
        <v>15.000000000000002</v>
      </c>
      <c r="N93" s="1">
        <f>((K17^2)/(L17^2))*SQRT((2*9.81)/(1+(M17*O65/K17)))</f>
        <v>2.5414225304988543E-3</v>
      </c>
      <c r="U93" s="2">
        <f t="shared" ref="U93:U107" si="30">U44</f>
        <v>0</v>
      </c>
      <c r="V93" s="2">
        <f>0.25*(-2*SQRT($H$14)+$X$93*U93)^2</f>
        <v>0.15000000000000002</v>
      </c>
      <c r="W93" s="2">
        <f>V93*100</f>
        <v>15.000000000000002</v>
      </c>
      <c r="X93" s="1">
        <f>((Q17^2)/(R17^2))*SQRT((2*9.81)/(1+(S17*Y65/Q17)))</f>
        <v>7.0853370620839497E-3</v>
      </c>
    </row>
    <row r="94" spans="2:29" x14ac:dyDescent="0.2">
      <c r="B94" s="2">
        <f t="shared" si="28"/>
        <v>29.6</v>
      </c>
      <c r="C94" s="2">
        <f>0.25*(-2*SQRT($H$14)+$E$93*B94)^2</f>
        <v>0.14008523514988722</v>
      </c>
      <c r="D94" s="2">
        <f t="shared" ref="D94:D107" si="31">C94*100</f>
        <v>14.008523514988722</v>
      </c>
      <c r="K94" s="2">
        <f t="shared" si="29"/>
        <v>12.9</v>
      </c>
      <c r="L94" s="2">
        <f t="shared" ref="L94:L107" si="32">0.25*(-2*SQRT($H$14)+$N$93*K94)^2</f>
        <v>0.13757137900595304</v>
      </c>
      <c r="M94" s="2">
        <f t="shared" ref="M94:M107" si="33">L94*100</f>
        <v>13.757137900595303</v>
      </c>
      <c r="U94" s="2">
        <f t="shared" si="30"/>
        <v>4.2</v>
      </c>
      <c r="V94" s="2">
        <f t="shared" ref="V94:V107" si="34">0.25*(-2*SQRT($H$14)+$X$93*U94)^2</f>
        <v>0.13869600599929829</v>
      </c>
      <c r="W94" s="2">
        <f t="shared" ref="W94:W107" si="35">V94*100</f>
        <v>13.869600599929829</v>
      </c>
    </row>
    <row r="95" spans="2:29" x14ac:dyDescent="0.2">
      <c r="B95" s="2">
        <f t="shared" si="28"/>
        <v>58.8</v>
      </c>
      <c r="C95" s="2">
        <f t="shared" ref="C95:C107" si="36">0.25*(-2*SQRT($H$14)+$E$93*B95)^2</f>
        <v>0.13063658724643526</v>
      </c>
      <c r="D95" s="2">
        <f t="shared" si="31"/>
        <v>13.063658724643526</v>
      </c>
      <c r="E95" s="1"/>
      <c r="K95" s="2">
        <f t="shared" si="29"/>
        <v>22.3</v>
      </c>
      <c r="L95" s="2">
        <f t="shared" si="32"/>
        <v>0.12885333938957633</v>
      </c>
      <c r="M95" s="2">
        <f t="shared" si="33"/>
        <v>12.885333938957633</v>
      </c>
      <c r="N95" s="1"/>
      <c r="U95" s="2">
        <f t="shared" si="30"/>
        <v>7.9</v>
      </c>
      <c r="V95" s="2">
        <f t="shared" si="34"/>
        <v>0.12910457669448666</v>
      </c>
      <c r="W95" s="2">
        <f t="shared" si="35"/>
        <v>12.910457669448666</v>
      </c>
      <c r="X95" s="1"/>
    </row>
    <row r="96" spans="2:29" x14ac:dyDescent="0.2">
      <c r="B96" s="2">
        <f t="shared" si="28"/>
        <v>91</v>
      </c>
      <c r="C96" s="2">
        <f t="shared" si="36"/>
        <v>0.12059963983839499</v>
      </c>
      <c r="D96" s="2">
        <f t="shared" si="31"/>
        <v>12.059963983839499</v>
      </c>
      <c r="E96" s="1"/>
      <c r="K96" s="2">
        <f t="shared" si="29"/>
        <v>33.799999999999997</v>
      </c>
      <c r="L96" s="2">
        <f t="shared" si="32"/>
        <v>0.11857574748106367</v>
      </c>
      <c r="M96" s="2">
        <f t="shared" si="33"/>
        <v>11.857574748106368</v>
      </c>
      <c r="N96" s="1"/>
      <c r="U96" s="2">
        <f t="shared" si="30"/>
        <v>11.9</v>
      </c>
      <c r="V96" s="2">
        <f t="shared" si="34"/>
        <v>0.11912201934240986</v>
      </c>
      <c r="W96" s="2">
        <f t="shared" si="35"/>
        <v>11.912201934240986</v>
      </c>
      <c r="X96" s="1"/>
    </row>
    <row r="97" spans="2:24" x14ac:dyDescent="0.2">
      <c r="B97" s="2">
        <f t="shared" si="28"/>
        <v>122.3</v>
      </c>
      <c r="C97" s="2">
        <f t="shared" si="36"/>
        <v>0.11122770556646805</v>
      </c>
      <c r="D97" s="2">
        <f t="shared" si="31"/>
        <v>11.122770556646804</v>
      </c>
      <c r="K97" s="2">
        <f t="shared" si="29"/>
        <v>44.3</v>
      </c>
      <c r="L97" s="2">
        <f t="shared" si="32"/>
        <v>0.10956485656140444</v>
      </c>
      <c r="M97" s="2">
        <f t="shared" si="33"/>
        <v>10.956485656140444</v>
      </c>
      <c r="U97" s="2">
        <f t="shared" si="30"/>
        <v>15.8</v>
      </c>
      <c r="V97" s="2">
        <f t="shared" si="34"/>
        <v>0.10977570683901992</v>
      </c>
      <c r="W97" s="2">
        <f t="shared" si="35"/>
        <v>10.977570683901993</v>
      </c>
    </row>
    <row r="98" spans="2:24" x14ac:dyDescent="0.2">
      <c r="B98" s="2">
        <f t="shared" si="28"/>
        <v>157.1</v>
      </c>
      <c r="C98" s="2">
        <f t="shared" si="36"/>
        <v>0.1012527641457428</v>
      </c>
      <c r="D98" s="2">
        <f t="shared" si="31"/>
        <v>10.12527641457428</v>
      </c>
      <c r="E98" s="1"/>
      <c r="K98" s="2">
        <f t="shared" si="29"/>
        <v>55.9</v>
      </c>
      <c r="L98" s="2">
        <f t="shared" si="32"/>
        <v>0.10002391386258877</v>
      </c>
      <c r="M98" s="2">
        <f t="shared" si="33"/>
        <v>10.002391386258877</v>
      </c>
      <c r="N98" s="1"/>
      <c r="U98" s="2">
        <f t="shared" si="30"/>
        <v>20.2</v>
      </c>
      <c r="V98" s="2">
        <f t="shared" si="34"/>
        <v>9.9689493414604563E-2</v>
      </c>
      <c r="W98" s="2">
        <f t="shared" si="35"/>
        <v>9.9689493414604566</v>
      </c>
      <c r="X98" s="1"/>
    </row>
    <row r="99" spans="2:24" x14ac:dyDescent="0.2">
      <c r="B99" s="2">
        <f t="shared" si="28"/>
        <v>193</v>
      </c>
      <c r="C99" s="2">
        <f t="shared" si="36"/>
        <v>9.1453505956556685E-2</v>
      </c>
      <c r="D99" s="2">
        <f t="shared" si="31"/>
        <v>9.1453505956556693</v>
      </c>
      <c r="E99" s="1"/>
      <c r="K99" s="2">
        <f t="shared" si="29"/>
        <v>68.8</v>
      </c>
      <c r="L99" s="2">
        <f t="shared" si="32"/>
        <v>8.9924055770617142E-2</v>
      </c>
      <c r="M99" s="2">
        <f t="shared" si="33"/>
        <v>8.9924055770617137</v>
      </c>
      <c r="N99" s="1"/>
      <c r="U99" s="2">
        <f t="shared" si="30"/>
        <v>24.7</v>
      </c>
      <c r="V99" s="2">
        <f t="shared" si="34"/>
        <v>8.9876695404756526E-2</v>
      </c>
      <c r="W99" s="2">
        <f t="shared" si="35"/>
        <v>8.9876695404756521</v>
      </c>
      <c r="X99" s="1"/>
    </row>
    <row r="100" spans="2:24" x14ac:dyDescent="0.2">
      <c r="B100" s="2">
        <f t="shared" si="28"/>
        <v>231.6</v>
      </c>
      <c r="C100" s="2">
        <f t="shared" si="36"/>
        <v>8.1473539811724019E-2</v>
      </c>
      <c r="D100" s="2">
        <f t="shared" si="31"/>
        <v>8.1473539811724027</v>
      </c>
      <c r="E100" s="1"/>
      <c r="K100" s="2">
        <f t="shared" si="29"/>
        <v>81.900000000000006</v>
      </c>
      <c r="L100" s="2">
        <f t="shared" si="32"/>
        <v>8.0217579976429781E-2</v>
      </c>
      <c r="M100" s="2">
        <f t="shared" si="33"/>
        <v>8.0217579976429789</v>
      </c>
      <c r="N100" s="1"/>
      <c r="U100" s="2">
        <f t="shared" si="30"/>
        <v>29.9</v>
      </c>
      <c r="V100" s="2">
        <f t="shared" si="34"/>
        <v>7.9170509385115009E-2</v>
      </c>
      <c r="W100" s="2">
        <f t="shared" si="35"/>
        <v>7.9170509385115011</v>
      </c>
      <c r="X100" s="1"/>
    </row>
    <row r="101" spans="2:24" x14ac:dyDescent="0.2">
      <c r="B101" s="2">
        <f t="shared" si="28"/>
        <v>272.5</v>
      </c>
      <c r="C101" s="2">
        <f t="shared" si="36"/>
        <v>7.1527901574702221E-2</v>
      </c>
      <c r="D101" s="2">
        <f t="shared" si="31"/>
        <v>7.1527901574702222</v>
      </c>
      <c r="E101" s="1"/>
      <c r="K101" s="2">
        <f t="shared" si="29"/>
        <v>95.7</v>
      </c>
      <c r="L101" s="2">
        <f t="shared" si="32"/>
        <v>7.0591849113701227E-2</v>
      </c>
      <c r="M101" s="2">
        <f t="shared" si="33"/>
        <v>7.0591849113701226</v>
      </c>
      <c r="N101" s="1"/>
      <c r="U101" s="2">
        <f t="shared" si="30"/>
        <v>34.9</v>
      </c>
      <c r="V101" s="2">
        <f t="shared" si="34"/>
        <v>6.9516175267206909E-2</v>
      </c>
      <c r="W101" s="2">
        <f t="shared" si="35"/>
        <v>6.9516175267206908</v>
      </c>
      <c r="X101" s="1"/>
    </row>
    <row r="102" spans="2:24" x14ac:dyDescent="0.2">
      <c r="B102" s="2">
        <f t="shared" si="28"/>
        <v>315.60000000000002</v>
      </c>
      <c r="C102" s="2">
        <f t="shared" si="36"/>
        <v>6.1747630630428513E-2</v>
      </c>
      <c r="D102" s="2">
        <f t="shared" si="31"/>
        <v>6.1747630630428514</v>
      </c>
      <c r="E102" s="1"/>
      <c r="K102" s="2">
        <f t="shared" si="29"/>
        <v>112</v>
      </c>
      <c r="L102" s="2">
        <f t="shared" si="32"/>
        <v>6.0014550182119521E-2</v>
      </c>
      <c r="M102" s="2">
        <f t="shared" si="33"/>
        <v>6.0014550182119519</v>
      </c>
      <c r="N102" s="1"/>
      <c r="U102" s="2">
        <f t="shared" si="30"/>
        <v>40.700000000000003</v>
      </c>
      <c r="V102" s="2">
        <f t="shared" si="34"/>
        <v>5.9103311030530632E-2</v>
      </c>
      <c r="W102" s="2">
        <f t="shared" si="35"/>
        <v>5.9103311030530632</v>
      </c>
      <c r="X102" s="1"/>
    </row>
    <row r="103" spans="2:24" x14ac:dyDescent="0.2">
      <c r="B103" s="2">
        <f t="shared" si="28"/>
        <v>363.5</v>
      </c>
      <c r="C103" s="2">
        <f t="shared" si="36"/>
        <v>5.172133962064842E-2</v>
      </c>
      <c r="D103" s="2">
        <f t="shared" si="31"/>
        <v>5.1721339620648417</v>
      </c>
      <c r="E103" s="1"/>
      <c r="K103" s="2">
        <f t="shared" si="29"/>
        <v>129</v>
      </c>
      <c r="L103" s="2">
        <f t="shared" si="32"/>
        <v>4.9897097119543779E-2</v>
      </c>
      <c r="M103" s="2">
        <f t="shared" si="33"/>
        <v>4.9897097119543776</v>
      </c>
      <c r="N103" s="1"/>
      <c r="U103" s="2">
        <f t="shared" si="30"/>
        <v>47.2</v>
      </c>
      <c r="V103" s="2">
        <f t="shared" si="34"/>
        <v>4.8437134300423512E-2</v>
      </c>
      <c r="W103" s="2">
        <f t="shared" si="35"/>
        <v>4.8437134300423512</v>
      </c>
      <c r="X103" s="1"/>
    </row>
    <row r="104" spans="2:24" x14ac:dyDescent="0.2">
      <c r="B104" s="2">
        <f t="shared" si="28"/>
        <v>413.8</v>
      </c>
      <c r="C104" s="2">
        <f t="shared" si="36"/>
        <v>4.2148190700695067E-2</v>
      </c>
      <c r="D104" s="2">
        <f t="shared" si="31"/>
        <v>4.214819070069507</v>
      </c>
      <c r="E104" s="1"/>
      <c r="K104" s="2">
        <f t="shared" si="29"/>
        <v>146.80000000000001</v>
      </c>
      <c r="L104" s="2">
        <f t="shared" si="32"/>
        <v>4.0303742796913879E-2</v>
      </c>
      <c r="M104" s="2">
        <f t="shared" si="33"/>
        <v>4.0303742796913875</v>
      </c>
      <c r="N104" s="1"/>
      <c r="U104" s="2">
        <f t="shared" si="30"/>
        <v>54.1</v>
      </c>
      <c r="V104" s="2">
        <f t="shared" si="34"/>
        <v>3.8274996723512672E-2</v>
      </c>
      <c r="W104" s="2">
        <f t="shared" si="35"/>
        <v>3.8274996723512671</v>
      </c>
      <c r="X104" s="1"/>
    </row>
    <row r="105" spans="2:24" x14ac:dyDescent="0.2">
      <c r="B105" s="2">
        <f t="shared" si="28"/>
        <v>467</v>
      </c>
      <c r="C105" s="2">
        <f t="shared" si="36"/>
        <v>3.30882457572221E-2</v>
      </c>
      <c r="D105" s="2">
        <f t="shared" si="31"/>
        <v>3.3088245757222099</v>
      </c>
      <c r="E105" s="1"/>
      <c r="K105" s="2">
        <f t="shared" si="29"/>
        <v>166.3</v>
      </c>
      <c r="L105" s="2">
        <f t="shared" si="32"/>
        <v>3.096862646468802E-2</v>
      </c>
      <c r="M105" s="2">
        <f t="shared" si="33"/>
        <v>3.0968626464688018</v>
      </c>
      <c r="N105" s="1"/>
      <c r="U105" s="2">
        <f t="shared" si="30"/>
        <v>62</v>
      </c>
      <c r="V105" s="2">
        <f t="shared" si="34"/>
        <v>2.8107490082242736E-2</v>
      </c>
      <c r="W105" s="2">
        <f t="shared" si="35"/>
        <v>2.8107490082242736</v>
      </c>
      <c r="X105" s="1"/>
    </row>
    <row r="106" spans="2:24" x14ac:dyDescent="0.2">
      <c r="B106" s="2">
        <f t="shared" si="28"/>
        <v>533.9</v>
      </c>
      <c r="C106" s="2">
        <f t="shared" si="36"/>
        <v>2.3249448033566544E-2</v>
      </c>
      <c r="D106" s="2">
        <f t="shared" si="31"/>
        <v>2.3249448033566544</v>
      </c>
      <c r="E106" s="1"/>
      <c r="K106" s="2">
        <f t="shared" si="29"/>
        <v>190.6</v>
      </c>
      <c r="L106" s="2">
        <f t="shared" si="32"/>
        <v>2.1054232718700099E-2</v>
      </c>
      <c r="M106" s="2">
        <f t="shared" si="33"/>
        <v>2.1054232718700097</v>
      </c>
      <c r="N106" s="1"/>
      <c r="U106" s="2">
        <f t="shared" si="30"/>
        <v>71.099999999999994</v>
      </c>
      <c r="V106" s="2">
        <f t="shared" si="34"/>
        <v>1.8337114452058659E-2</v>
      </c>
      <c r="W106" s="2">
        <f t="shared" si="35"/>
        <v>1.833711445205866</v>
      </c>
      <c r="X106" s="1"/>
    </row>
    <row r="107" spans="2:24" x14ac:dyDescent="0.2">
      <c r="B107" s="2">
        <f t="shared" si="28"/>
        <v>608.29999999999995</v>
      </c>
      <c r="C107" s="2">
        <f t="shared" si="36"/>
        <v>1.4341256611953703E-2</v>
      </c>
      <c r="D107" s="2">
        <f t="shared" si="31"/>
        <v>1.4341256611953703</v>
      </c>
      <c r="E107" s="1"/>
      <c r="K107" s="2">
        <f t="shared" si="29"/>
        <v>217</v>
      </c>
      <c r="L107" s="2">
        <f t="shared" si="32"/>
        <v>1.244429269866713E-2</v>
      </c>
      <c r="M107" s="2">
        <f t="shared" si="33"/>
        <v>1.244429269866713</v>
      </c>
      <c r="N107" s="1"/>
      <c r="U107" s="2">
        <f t="shared" si="30"/>
        <v>83.4</v>
      </c>
      <c r="V107" s="2">
        <f t="shared" si="34"/>
        <v>8.4345450309853357E-3</v>
      </c>
      <c r="W107" s="2">
        <f t="shared" si="35"/>
        <v>0.84345450309853354</v>
      </c>
      <c r="X107" s="1"/>
    </row>
    <row r="108" spans="2:24" x14ac:dyDescent="0.2">
      <c r="B108" s="2"/>
      <c r="C108" s="2"/>
      <c r="D108" s="2"/>
      <c r="E108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36CE5-75F8-F548-9384-F2DEC021C87F}">
  <dimension ref="B3:AG63"/>
  <sheetViews>
    <sheetView topLeftCell="J5" zoomScale="92" zoomScaleNormal="112" workbookViewId="0">
      <selection activeCell="X30" sqref="X29:X30"/>
    </sheetView>
  </sheetViews>
  <sheetFormatPr baseColWidth="10" defaultColWidth="11" defaultRowHeight="16" x14ac:dyDescent="0.2"/>
  <cols>
    <col min="2" max="2" width="15" customWidth="1"/>
    <col min="4" max="4" width="13.83203125" customWidth="1"/>
    <col min="5" max="5" width="16.33203125" customWidth="1"/>
    <col min="7" max="7" width="13.1640625" customWidth="1"/>
    <col min="11" max="11" width="15.6640625" customWidth="1"/>
    <col min="12" max="12" width="15.1640625" customWidth="1"/>
    <col min="18" max="18" width="11.1640625" bestFit="1" customWidth="1"/>
    <col min="20" max="20" width="11.6640625" customWidth="1"/>
    <col min="22" max="22" width="16" customWidth="1"/>
  </cols>
  <sheetData>
    <row r="3" spans="2:19" ht="17" thickBot="1" x14ac:dyDescent="0.25"/>
    <row r="4" spans="2:19" ht="17" thickBot="1" x14ac:dyDescent="0.25">
      <c r="B4" t="s">
        <v>0</v>
      </c>
      <c r="D4" s="24" t="s">
        <v>79</v>
      </c>
      <c r="E4" s="25" t="s">
        <v>80</v>
      </c>
      <c r="G4" t="s">
        <v>1</v>
      </c>
    </row>
    <row r="5" spans="2:19" ht="17" thickBot="1" x14ac:dyDescent="0.25">
      <c r="L5" s="1"/>
      <c r="M5" s="2" t="s">
        <v>5</v>
      </c>
      <c r="N5" s="2" t="s">
        <v>6</v>
      </c>
      <c r="O5" s="2" t="s">
        <v>7</v>
      </c>
      <c r="R5" s="1"/>
    </row>
    <row r="6" spans="2:19" x14ac:dyDescent="0.2">
      <c r="B6" s="5" t="s">
        <v>9</v>
      </c>
      <c r="C6" s="5" t="s">
        <v>10</v>
      </c>
      <c r="D6" s="5" t="s">
        <v>11</v>
      </c>
      <c r="E6" s="5" t="s">
        <v>12</v>
      </c>
      <c r="G6" s="7" t="s">
        <v>13</v>
      </c>
      <c r="H6" s="8" t="s">
        <v>14</v>
      </c>
      <c r="I6" s="9" t="s">
        <v>15</v>
      </c>
      <c r="K6" s="1"/>
      <c r="L6" s="2" t="s">
        <v>9</v>
      </c>
      <c r="M6" s="2"/>
      <c r="N6" s="2">
        <v>6.05</v>
      </c>
      <c r="O6" s="2">
        <v>8.6999999999999993</v>
      </c>
    </row>
    <row r="7" spans="2:19" ht="17" thickBot="1" x14ac:dyDescent="0.25">
      <c r="B7" s="5">
        <v>195</v>
      </c>
      <c r="C7" s="5">
        <f>B7/2</f>
        <v>97.5</v>
      </c>
      <c r="D7" s="5">
        <f>PI()*C7^2</f>
        <v>29864.765163187971</v>
      </c>
      <c r="E7" s="6"/>
      <c r="G7" s="10">
        <v>1</v>
      </c>
      <c r="H7" s="11">
        <f>G7/1000</f>
        <v>1E-3</v>
      </c>
      <c r="I7" s="12" t="s">
        <v>17</v>
      </c>
      <c r="K7" s="1"/>
      <c r="L7" s="2" t="s">
        <v>18</v>
      </c>
      <c r="M7" s="2">
        <f>M6/1000</f>
        <v>0</v>
      </c>
      <c r="N7" s="2">
        <f t="shared" ref="N7:O7" si="0">N6/1000</f>
        <v>6.0499999999999998E-3</v>
      </c>
      <c r="O7" s="2">
        <f t="shared" si="0"/>
        <v>8.6999999999999994E-3</v>
      </c>
    </row>
    <row r="8" spans="2:19" x14ac:dyDescent="0.2">
      <c r="B8" t="s">
        <v>20</v>
      </c>
      <c r="L8" s="2" t="s">
        <v>11</v>
      </c>
      <c r="M8" s="2">
        <f>PI()*(M6/2)^2</f>
        <v>0</v>
      </c>
      <c r="N8" s="2">
        <f t="shared" ref="N8:O9" si="1">PI()*(N6/2)^2</f>
        <v>28.747536275755099</v>
      </c>
      <c r="O8" s="2">
        <f t="shared" si="1"/>
        <v>59.446786987552848</v>
      </c>
    </row>
    <row r="9" spans="2:19" x14ac:dyDescent="0.2">
      <c r="L9" s="2" t="s">
        <v>21</v>
      </c>
      <c r="M9" s="2">
        <f>PI()*(M7/2)^2</f>
        <v>0</v>
      </c>
      <c r="N9" s="2">
        <f t="shared" si="1"/>
        <v>2.87475362757551E-5</v>
      </c>
      <c r="O9" s="2">
        <f t="shared" si="1"/>
        <v>5.944678698755285E-5</v>
      </c>
    </row>
    <row r="10" spans="2:19" x14ac:dyDescent="0.2">
      <c r="B10" s="2" t="s">
        <v>18</v>
      </c>
      <c r="C10" s="2" t="s">
        <v>22</v>
      </c>
      <c r="D10" s="2" t="s">
        <v>21</v>
      </c>
      <c r="E10" s="2" t="s">
        <v>23</v>
      </c>
    </row>
    <row r="11" spans="2:19" x14ac:dyDescent="0.2">
      <c r="B11" s="2">
        <f>B7/1000</f>
        <v>0.19500000000000001</v>
      </c>
      <c r="C11" s="2">
        <f>B11/2</f>
        <v>9.7500000000000003E-2</v>
      </c>
      <c r="D11" s="2">
        <f>PI()*C11^2</f>
        <v>2.9864765163187975E-2</v>
      </c>
      <c r="E11" s="2">
        <f>E7/1000</f>
        <v>0</v>
      </c>
      <c r="H11" s="1" t="s">
        <v>24</v>
      </c>
      <c r="N11" t="s">
        <v>25</v>
      </c>
      <c r="O11" t="s">
        <v>26</v>
      </c>
    </row>
    <row r="12" spans="2:19" x14ac:dyDescent="0.2">
      <c r="H12">
        <f>0.15*D11</f>
        <v>4.4797147744781961E-3</v>
      </c>
      <c r="I12" t="s">
        <v>27</v>
      </c>
      <c r="K12" s="2" t="s">
        <v>70</v>
      </c>
      <c r="L12" s="2">
        <v>0.15</v>
      </c>
    </row>
    <row r="16" spans="2:19" x14ac:dyDescent="0.2">
      <c r="C16" s="4" t="s">
        <v>71</v>
      </c>
      <c r="D16" s="1"/>
      <c r="E16" s="1" t="s">
        <v>33</v>
      </c>
      <c r="F16" s="1" t="s">
        <v>34</v>
      </c>
      <c r="G16" s="1" t="s">
        <v>72</v>
      </c>
      <c r="I16" s="4" t="s">
        <v>71</v>
      </c>
      <c r="J16" s="1"/>
      <c r="K16" s="1" t="s">
        <v>33</v>
      </c>
      <c r="L16" s="1" t="s">
        <v>34</v>
      </c>
      <c r="O16" s="4" t="s">
        <v>71</v>
      </c>
      <c r="P16" s="1"/>
      <c r="Q16" s="1" t="s">
        <v>33</v>
      </c>
      <c r="R16" s="1" t="s">
        <v>34</v>
      </c>
      <c r="S16" s="1" t="s">
        <v>72</v>
      </c>
    </row>
    <row r="17" spans="2:33" x14ac:dyDescent="0.2">
      <c r="C17" t="s">
        <v>80</v>
      </c>
      <c r="D17" s="1" t="s">
        <v>5</v>
      </c>
      <c r="E17" s="1">
        <f>$M$7</f>
        <v>0</v>
      </c>
      <c r="F17" s="1">
        <f>$B$11</f>
        <v>0.19500000000000001</v>
      </c>
      <c r="G17" s="1">
        <v>0.25</v>
      </c>
      <c r="I17" t="s">
        <v>80</v>
      </c>
      <c r="J17" s="1" t="s">
        <v>6</v>
      </c>
      <c r="K17" s="1">
        <f>$N$7</f>
        <v>6.0499999999999998E-3</v>
      </c>
      <c r="L17" s="1">
        <f>$B$11</f>
        <v>0.19500000000000001</v>
      </c>
      <c r="O17" t="s">
        <v>80</v>
      </c>
      <c r="P17" s="1" t="s">
        <v>7</v>
      </c>
      <c r="Q17" s="1">
        <f>$O$7</f>
        <v>8.6999999999999994E-3</v>
      </c>
      <c r="R17" s="1">
        <f>$B$11</f>
        <v>0.19500000000000001</v>
      </c>
      <c r="S17" s="1">
        <v>0.5</v>
      </c>
    </row>
    <row r="20" spans="2:33" x14ac:dyDescent="0.2">
      <c r="B20" s="4" t="s">
        <v>35</v>
      </c>
      <c r="E20" s="4" t="s">
        <v>36</v>
      </c>
      <c r="H20" s="4" t="s">
        <v>35</v>
      </c>
      <c r="K20" s="4" t="s">
        <v>36</v>
      </c>
      <c r="M20" s="1"/>
      <c r="N20" s="4" t="s">
        <v>35</v>
      </c>
      <c r="Q20" s="4" t="s">
        <v>36</v>
      </c>
      <c r="T20" s="4" t="s">
        <v>75</v>
      </c>
      <c r="V20" s="1"/>
      <c r="W20" s="1"/>
    </row>
    <row r="21" spans="2:33" x14ac:dyDescent="0.2">
      <c r="M21" s="1"/>
      <c r="V21" s="1"/>
      <c r="W21" s="1"/>
    </row>
    <row r="22" spans="2:33" x14ac:dyDescent="0.2">
      <c r="M22" s="1"/>
      <c r="V22" s="1"/>
      <c r="W22" s="1"/>
    </row>
    <row r="23" spans="2:33" x14ac:dyDescent="0.2">
      <c r="B23" s="2" t="s">
        <v>15</v>
      </c>
      <c r="C23" s="2" t="s">
        <v>37</v>
      </c>
      <c r="E23" s="2" t="s">
        <v>15</v>
      </c>
      <c r="F23" s="2" t="s">
        <v>37</v>
      </c>
      <c r="H23" s="2" t="s">
        <v>15</v>
      </c>
      <c r="I23" s="2" t="s">
        <v>37</v>
      </c>
      <c r="K23" s="2" t="s">
        <v>15</v>
      </c>
      <c r="L23" s="2" t="s">
        <v>37</v>
      </c>
      <c r="M23" s="1"/>
      <c r="N23" s="2" t="s">
        <v>15</v>
      </c>
      <c r="O23" s="2" t="s">
        <v>37</v>
      </c>
      <c r="Q23" s="2" t="s">
        <v>15</v>
      </c>
      <c r="R23" s="2" t="s">
        <v>37</v>
      </c>
      <c r="T23" s="2" t="s">
        <v>15</v>
      </c>
      <c r="U23" s="2" t="s">
        <v>37</v>
      </c>
      <c r="V23" s="2" t="s">
        <v>40</v>
      </c>
      <c r="W23" s="1" t="s">
        <v>76</v>
      </c>
      <c r="Y23" s="2" t="s">
        <v>15</v>
      </c>
      <c r="Z23" s="2" t="s">
        <v>40</v>
      </c>
      <c r="AA23" s="2" t="s">
        <v>39</v>
      </c>
      <c r="AB23" s="2" t="s">
        <v>93</v>
      </c>
      <c r="AD23" s="2" t="s">
        <v>15</v>
      </c>
      <c r="AE23" s="2" t="s">
        <v>37</v>
      </c>
      <c r="AF23" s="2" t="s">
        <v>40</v>
      </c>
      <c r="AG23" t="s">
        <v>110</v>
      </c>
    </row>
    <row r="24" spans="2:33" x14ac:dyDescent="0.2">
      <c r="B24" s="2"/>
      <c r="C24" s="2">
        <v>0.15</v>
      </c>
      <c r="E24" s="2">
        <f t="shared" ref="E24:E39" si="2">B24</f>
        <v>0</v>
      </c>
      <c r="F24" s="2">
        <f>$L$12-($M$6^2/$B$11^2)*SQRT(2*9.81*$L$12)*E24+((($M$6^2/$B$11^2)^2)*(9.81/2)*E24^2)</f>
        <v>0.15</v>
      </c>
      <c r="H24" s="2"/>
      <c r="I24" s="2">
        <v>0.15</v>
      </c>
      <c r="K24" s="2">
        <f t="shared" ref="K24:K39" si="3">H24</f>
        <v>0</v>
      </c>
      <c r="L24" s="2">
        <f>$L$12-($N$6^2/$B$11^2)*SQRT(2*9.81*$L$12)*K24+((($N$6^2/$B$11^2)^2)*(9.81/2)*K24^2)</f>
        <v>0.15</v>
      </c>
      <c r="M24" s="1"/>
      <c r="N24" s="2">
        <v>0</v>
      </c>
      <c r="O24" s="2">
        <v>0.15</v>
      </c>
      <c r="Q24" s="2">
        <f t="shared" ref="Q24:Q39" si="4">N24</f>
        <v>0</v>
      </c>
      <c r="R24" s="2">
        <f>$L$12-($O$6^2/$B$11^2)*SQRT(2*9.81*$L$12)*Q24+((($O$6^2/$B$11^2)^2)*(9.81/2)*Q24^2)</f>
        <v>0.15</v>
      </c>
      <c r="T24" s="30">
        <f t="shared" ref="T24:T38" si="5">Q24</f>
        <v>0</v>
      </c>
      <c r="U24" s="2">
        <f t="shared" ref="U24:U38" si="6">0.25*(-2*SQRT(0.15)+$W$24*T24)^2</f>
        <v>0.15000000000000002</v>
      </c>
      <c r="V24" s="2">
        <f>U24*100</f>
        <v>15.000000000000002</v>
      </c>
      <c r="W24" s="1">
        <f>((Q17^2)/(R17^2))*SQRT((2*9.81)/(1+(0.5*$W$27/Q17)))</f>
        <v>7.0460775247181244E-3</v>
      </c>
      <c r="Y24" s="30">
        <f t="shared" ref="Y24:Y38" si="7">Q24</f>
        <v>0</v>
      </c>
      <c r="Z24" s="2">
        <f t="shared" ref="Z24:Z38" si="8">O24*100</f>
        <v>15</v>
      </c>
      <c r="AA24" s="2">
        <f t="shared" ref="AA24:AA38" si="9">R24*100</f>
        <v>15</v>
      </c>
      <c r="AB24" s="2">
        <f>V24</f>
        <v>15.000000000000002</v>
      </c>
      <c r="AD24" s="2">
        <f>Q24</f>
        <v>0</v>
      </c>
      <c r="AE24" s="2">
        <f>0.25*(-2*SQRT(0.15)+$AG$24*AD24)^2</f>
        <v>0.15000000000000002</v>
      </c>
      <c r="AF24" s="2">
        <f>AE24*100</f>
        <v>15.000000000000002</v>
      </c>
      <c r="AG24">
        <f>((Q17^2)/(R17^2))*SQRT((2*9.81)/(1+(0.5*$T$46/Q17)))</f>
        <v>6.1981708472856707E-3</v>
      </c>
    </row>
    <row r="25" spans="2:33" x14ac:dyDescent="0.2">
      <c r="B25" s="2"/>
      <c r="C25" s="2">
        <v>0.14000000000000001</v>
      </c>
      <c r="E25" s="2">
        <f t="shared" si="2"/>
        <v>0</v>
      </c>
      <c r="F25" s="2">
        <f t="shared" ref="F25:F39" si="10">$L$12-($M$6^2/$B$11^2)*SQRT(2*9.81*$L$12)*E25+((($M$6^2/$B$11^2)^2)*(9.81/2)*E25^2)</f>
        <v>0.15</v>
      </c>
      <c r="H25" s="2"/>
      <c r="I25" s="2">
        <v>0.14000000000000001</v>
      </c>
      <c r="K25" s="2">
        <f t="shared" si="3"/>
        <v>0</v>
      </c>
      <c r="L25" s="2">
        <f t="shared" ref="L25:L39" si="11">$L$12-($N$6^2/$B$11^2)*SQRT(2*9.81*$L$12)*K25+((($N$6^2/$B$11^2)^2)*(9.81/2)*K25^2)</f>
        <v>0.15</v>
      </c>
      <c r="M25" s="1"/>
      <c r="N25" s="2">
        <v>3.58</v>
      </c>
      <c r="O25" s="2">
        <v>0.14000000000000001</v>
      </c>
      <c r="Q25" s="2">
        <f t="shared" si="4"/>
        <v>3.58</v>
      </c>
      <c r="R25" s="2">
        <f>$L$12-($O$7^2/$B$11^2)*SQRT(2*9.81*$L$12)*Q25+((($O$7^2/$B$11^2)^2)*(9.81/2)*Q25^2)</f>
        <v>0.13802412292275679</v>
      </c>
      <c r="T25" s="30">
        <f t="shared" si="5"/>
        <v>3.58</v>
      </c>
      <c r="U25" s="2">
        <f t="shared" si="6"/>
        <v>0.14038949057516825</v>
      </c>
      <c r="V25" s="2">
        <f t="shared" ref="V25:V38" si="12">U25*100</f>
        <v>14.038949057516826</v>
      </c>
      <c r="Y25" s="30">
        <f t="shared" si="7"/>
        <v>3.58</v>
      </c>
      <c r="Z25" s="2">
        <f t="shared" si="8"/>
        <v>14.000000000000002</v>
      </c>
      <c r="AA25" s="2">
        <f t="shared" si="9"/>
        <v>13.80241229227568</v>
      </c>
      <c r="AB25" s="2">
        <f t="shared" ref="AB25:AB38" si="13">V25</f>
        <v>14.038949057516826</v>
      </c>
      <c r="AD25" s="2">
        <f t="shared" ref="AD25:AD38" si="14">Q25</f>
        <v>3.58</v>
      </c>
      <c r="AE25" s="2">
        <f t="shared" ref="AE25:AE38" si="15">0.25*(-2*SQRT(0.15)+$AG$24*AD25)^2</f>
        <v>0.14152915527722859</v>
      </c>
      <c r="AF25" s="2">
        <f t="shared" ref="AF25:AF38" si="16">AE25*100</f>
        <v>14.152915527722859</v>
      </c>
    </row>
    <row r="26" spans="2:33" x14ac:dyDescent="0.2">
      <c r="B26" s="2"/>
      <c r="C26" s="2">
        <v>0.13</v>
      </c>
      <c r="E26" s="2">
        <f t="shared" si="2"/>
        <v>0</v>
      </c>
      <c r="F26" s="2">
        <f t="shared" si="10"/>
        <v>0.15</v>
      </c>
      <c r="H26" s="2"/>
      <c r="I26" s="2">
        <v>0.13</v>
      </c>
      <c r="K26" s="2">
        <f t="shared" si="3"/>
        <v>0</v>
      </c>
      <c r="L26" s="2">
        <f t="shared" si="11"/>
        <v>0.15</v>
      </c>
      <c r="M26" s="1"/>
      <c r="N26" s="2">
        <v>7.78</v>
      </c>
      <c r="O26" s="2">
        <v>0.13</v>
      </c>
      <c r="Q26" s="2">
        <f t="shared" si="4"/>
        <v>7.78</v>
      </c>
      <c r="R26" s="2">
        <f t="shared" ref="R26:R39" si="17">$L$12-($O$7^2/$B$11^2)*SQRT(2*9.81*$L$12)*Q26+((($O$7^2/$B$11^2)^2)*(9.81/2)*Q26^2)</f>
        <v>0.12460925913850662</v>
      </c>
      <c r="T26" s="30">
        <f t="shared" si="5"/>
        <v>7.78</v>
      </c>
      <c r="U26" s="2">
        <f t="shared" si="6"/>
        <v>0.12952015929605518</v>
      </c>
      <c r="V26" s="2">
        <f t="shared" si="12"/>
        <v>12.952015929605517</v>
      </c>
      <c r="W26" s="1" t="s">
        <v>77</v>
      </c>
      <c r="Y26" s="30">
        <f t="shared" si="7"/>
        <v>7.78</v>
      </c>
      <c r="Z26" s="2">
        <f t="shared" si="8"/>
        <v>13</v>
      </c>
      <c r="AA26" s="2">
        <f t="shared" si="9"/>
        <v>12.460925913850662</v>
      </c>
      <c r="AB26" s="2">
        <f t="shared" si="13"/>
        <v>12.952015929605517</v>
      </c>
      <c r="AD26" s="2">
        <f t="shared" si="14"/>
        <v>7.78</v>
      </c>
      <c r="AE26" s="2">
        <f t="shared" si="15"/>
        <v>0.13190512385551692</v>
      </c>
      <c r="AF26" s="2">
        <f t="shared" si="16"/>
        <v>13.190512385551692</v>
      </c>
    </row>
    <row r="27" spans="2:33" x14ac:dyDescent="0.2">
      <c r="B27" s="2"/>
      <c r="C27" s="2">
        <v>0.12</v>
      </c>
      <c r="E27" s="2">
        <f t="shared" si="2"/>
        <v>0</v>
      </c>
      <c r="F27" s="2">
        <f t="shared" si="10"/>
        <v>0.15</v>
      </c>
      <c r="H27" s="2"/>
      <c r="I27" s="2">
        <v>0.12</v>
      </c>
      <c r="K27" s="2">
        <f t="shared" si="3"/>
        <v>0</v>
      </c>
      <c r="L27" s="2">
        <f t="shared" si="11"/>
        <v>0.15</v>
      </c>
      <c r="M27" s="1"/>
      <c r="N27" s="2">
        <v>12.29</v>
      </c>
      <c r="O27" s="2">
        <v>0.12</v>
      </c>
      <c r="Q27" s="2">
        <f t="shared" si="4"/>
        <v>12.29</v>
      </c>
      <c r="R27" s="2">
        <f t="shared" si="17"/>
        <v>0.11096768601050197</v>
      </c>
      <c r="T27" s="30">
        <f t="shared" si="5"/>
        <v>12.29</v>
      </c>
      <c r="U27" s="2">
        <f t="shared" si="6"/>
        <v>0.11833612950320342</v>
      </c>
      <c r="V27" s="2">
        <f t="shared" si="12"/>
        <v>11.833612950320342</v>
      </c>
      <c r="W27" s="1">
        <f>64/W30</f>
        <v>9.845324316708929E-3</v>
      </c>
      <c r="Y27" s="30">
        <f t="shared" si="7"/>
        <v>12.29</v>
      </c>
      <c r="Z27" s="2">
        <f t="shared" si="8"/>
        <v>12</v>
      </c>
      <c r="AA27" s="2">
        <f t="shared" si="9"/>
        <v>11.096768601050197</v>
      </c>
      <c r="AB27" s="2">
        <f t="shared" si="13"/>
        <v>11.833612950320342</v>
      </c>
      <c r="AD27" s="2">
        <f t="shared" si="14"/>
        <v>12.29</v>
      </c>
      <c r="AE27" s="2">
        <f t="shared" si="15"/>
        <v>0.12194802552712286</v>
      </c>
      <c r="AF27" s="2">
        <f t="shared" si="16"/>
        <v>12.194802552712286</v>
      </c>
    </row>
    <row r="28" spans="2:33" x14ac:dyDescent="0.2">
      <c r="B28" s="2"/>
      <c r="C28" s="2">
        <v>0.11</v>
      </c>
      <c r="E28" s="2">
        <f t="shared" si="2"/>
        <v>0</v>
      </c>
      <c r="F28" s="2">
        <f t="shared" si="10"/>
        <v>0.15</v>
      </c>
      <c r="H28" s="2"/>
      <c r="I28" s="2">
        <v>0.11</v>
      </c>
      <c r="K28" s="2">
        <f t="shared" si="3"/>
        <v>0</v>
      </c>
      <c r="L28" s="2">
        <f t="shared" si="11"/>
        <v>0.15</v>
      </c>
      <c r="M28" s="1"/>
      <c r="N28" s="2">
        <v>17.27</v>
      </c>
      <c r="O28" s="2">
        <v>0.11</v>
      </c>
      <c r="Q28" s="2">
        <f t="shared" si="4"/>
        <v>17.27</v>
      </c>
      <c r="R28" s="2">
        <f t="shared" si="17"/>
        <v>9.6822972777507316E-2</v>
      </c>
      <c r="T28" s="30">
        <f t="shared" si="5"/>
        <v>17.27</v>
      </c>
      <c r="U28" s="2">
        <f t="shared" si="6"/>
        <v>0.10657316422644451</v>
      </c>
      <c r="V28" s="2">
        <f t="shared" si="12"/>
        <v>10.657316422644451</v>
      </c>
      <c r="Y28" s="30">
        <f t="shared" si="7"/>
        <v>17.27</v>
      </c>
      <c r="Z28" s="2">
        <f t="shared" si="8"/>
        <v>11</v>
      </c>
      <c r="AA28" s="2">
        <f t="shared" si="9"/>
        <v>9.682297277750731</v>
      </c>
      <c r="AB28" s="2">
        <f t="shared" si="13"/>
        <v>10.657316422644451</v>
      </c>
      <c r="AD28" s="2">
        <f t="shared" si="14"/>
        <v>17.27</v>
      </c>
      <c r="AE28" s="2">
        <f t="shared" si="15"/>
        <v>0.11140717208008385</v>
      </c>
      <c r="AF28" s="2">
        <f t="shared" si="16"/>
        <v>11.140717208008386</v>
      </c>
    </row>
    <row r="29" spans="2:33" x14ac:dyDescent="0.2">
      <c r="B29" s="2"/>
      <c r="C29" s="2">
        <v>0.1</v>
      </c>
      <c r="E29" s="2">
        <f t="shared" si="2"/>
        <v>0</v>
      </c>
      <c r="F29" s="2">
        <f t="shared" si="10"/>
        <v>0.15</v>
      </c>
      <c r="H29" s="2"/>
      <c r="I29" s="2">
        <v>0.1</v>
      </c>
      <c r="K29" s="2">
        <f t="shared" si="3"/>
        <v>0</v>
      </c>
      <c r="L29" s="2">
        <f t="shared" si="11"/>
        <v>0.15</v>
      </c>
      <c r="M29" s="1"/>
      <c r="N29" s="2">
        <v>22.07</v>
      </c>
      <c r="O29" s="2">
        <v>0.1</v>
      </c>
      <c r="Q29" s="2">
        <f t="shared" si="4"/>
        <v>22.07</v>
      </c>
      <c r="R29" s="2">
        <f t="shared" si="17"/>
        <v>8.4101856241095202E-2</v>
      </c>
      <c r="T29" s="30">
        <f t="shared" si="5"/>
        <v>22.07</v>
      </c>
      <c r="U29" s="2">
        <f t="shared" si="6"/>
        <v>9.5818026008099702E-2</v>
      </c>
      <c r="V29" s="2">
        <f t="shared" si="12"/>
        <v>9.5818026008099704</v>
      </c>
      <c r="W29" s="1" t="s">
        <v>78</v>
      </c>
      <c r="X29" s="1" t="s">
        <v>117</v>
      </c>
      <c r="Y29" s="30">
        <f t="shared" si="7"/>
        <v>22.07</v>
      </c>
      <c r="Z29" s="2">
        <f t="shared" si="8"/>
        <v>10</v>
      </c>
      <c r="AA29" s="2">
        <f t="shared" si="9"/>
        <v>8.4101856241095199</v>
      </c>
      <c r="AB29" s="2">
        <f t="shared" si="13"/>
        <v>9.5818026008099704</v>
      </c>
      <c r="AD29" s="2">
        <f t="shared" si="14"/>
        <v>22.07</v>
      </c>
      <c r="AE29" s="2">
        <f t="shared" si="15"/>
        <v>0.10169817902520664</v>
      </c>
      <c r="AF29" s="2">
        <f t="shared" si="16"/>
        <v>10.169817902520665</v>
      </c>
    </row>
    <row r="30" spans="2:33" x14ac:dyDescent="0.2">
      <c r="B30" s="2"/>
      <c r="C30" s="2">
        <v>0.09</v>
      </c>
      <c r="E30" s="2">
        <f t="shared" si="2"/>
        <v>0</v>
      </c>
      <c r="F30" s="2">
        <f t="shared" si="10"/>
        <v>0.15</v>
      </c>
      <c r="H30" s="2"/>
      <c r="I30" s="2">
        <v>0.09</v>
      </c>
      <c r="K30" s="2">
        <f t="shared" si="3"/>
        <v>0</v>
      </c>
      <c r="L30" s="2">
        <f t="shared" si="11"/>
        <v>0.15</v>
      </c>
      <c r="M30" s="1"/>
      <c r="N30" s="2">
        <v>27.47</v>
      </c>
      <c r="O30" s="2">
        <v>0.09</v>
      </c>
      <c r="Q30" s="2">
        <f t="shared" si="4"/>
        <v>27.47</v>
      </c>
      <c r="R30" s="2">
        <f t="shared" si="17"/>
        <v>7.0861062761990126E-2</v>
      </c>
      <c r="T30" s="30">
        <f t="shared" si="5"/>
        <v>27.47</v>
      </c>
      <c r="U30" s="2">
        <f t="shared" si="6"/>
        <v>8.4402137573291111E-2</v>
      </c>
      <c r="V30" s="2">
        <f t="shared" si="12"/>
        <v>8.4402137573291114</v>
      </c>
      <c r="W30" s="1">
        <f>((0.15-0.01)/T38)*(R17^2/Q17^2)*Q17*10^6</f>
        <v>6500.5476651879117</v>
      </c>
      <c r="X30" s="1">
        <f>2*0.001*(R17/(Q17*10^-6))*(0.15-0.01)/T38 + (R17^2/(Q17^2 * 10^-6)*0.00005*(0.15-0.01)/T38) + (R17^2/(Q17*10^-6*T38)*0.001) + (R17^2/(Q17*T38*10^-6)*0.001) + 0.1*(0.15-0.01)*R17^2/(Q17*10^-6*T38^2)</f>
        <v>203.80264522276042</v>
      </c>
      <c r="Y30" s="30">
        <f t="shared" si="7"/>
        <v>27.47</v>
      </c>
      <c r="Z30" s="2">
        <f t="shared" si="8"/>
        <v>9</v>
      </c>
      <c r="AA30" s="2">
        <f t="shared" si="9"/>
        <v>7.086106276199013</v>
      </c>
      <c r="AB30" s="2">
        <f t="shared" si="13"/>
        <v>8.4402137573291114</v>
      </c>
      <c r="AD30" s="2">
        <f t="shared" si="14"/>
        <v>27.47</v>
      </c>
      <c r="AE30" s="2">
        <f t="shared" si="15"/>
        <v>9.1304568360373747E-2</v>
      </c>
      <c r="AF30" s="2">
        <f t="shared" si="16"/>
        <v>9.130456836037375</v>
      </c>
    </row>
    <row r="31" spans="2:33" x14ac:dyDescent="0.2">
      <c r="B31" s="2"/>
      <c r="C31" s="2">
        <v>0.08</v>
      </c>
      <c r="E31" s="2">
        <f t="shared" si="2"/>
        <v>0</v>
      </c>
      <c r="F31" s="2">
        <f t="shared" si="10"/>
        <v>0.15</v>
      </c>
      <c r="H31" s="2"/>
      <c r="I31" s="2">
        <v>0.08</v>
      </c>
      <c r="K31" s="2">
        <f t="shared" si="3"/>
        <v>0</v>
      </c>
      <c r="L31" s="2">
        <f t="shared" si="11"/>
        <v>0.15</v>
      </c>
      <c r="M31" s="1"/>
      <c r="N31" s="2">
        <v>33.200000000000003</v>
      </c>
      <c r="O31" s="2">
        <v>0.08</v>
      </c>
      <c r="Q31" s="2">
        <f t="shared" si="4"/>
        <v>33.200000000000003</v>
      </c>
      <c r="R31" s="2">
        <f t="shared" si="17"/>
        <v>5.8050554975904917E-2</v>
      </c>
      <c r="T31" s="30">
        <f t="shared" si="5"/>
        <v>33.200000000000003</v>
      </c>
      <c r="U31" s="2">
        <f t="shared" si="6"/>
        <v>7.3080172951002831E-2</v>
      </c>
      <c r="V31" s="2">
        <f t="shared" si="12"/>
        <v>7.3080172951002833</v>
      </c>
      <c r="W31" s="1"/>
      <c r="Y31" s="30">
        <f t="shared" si="7"/>
        <v>33.200000000000003</v>
      </c>
      <c r="Z31" s="2">
        <f t="shared" si="8"/>
        <v>8</v>
      </c>
      <c r="AA31" s="2">
        <f t="shared" si="9"/>
        <v>5.8050554975904918</v>
      </c>
      <c r="AB31" s="2">
        <f t="shared" si="13"/>
        <v>7.3080172951002833</v>
      </c>
      <c r="AD31" s="2">
        <f t="shared" si="14"/>
        <v>33.200000000000003</v>
      </c>
      <c r="AE31" s="2">
        <f t="shared" si="15"/>
        <v>8.0888307814203642E-2</v>
      </c>
      <c r="AF31" s="2">
        <f t="shared" si="16"/>
        <v>8.0888307814203646</v>
      </c>
    </row>
    <row r="32" spans="2:33" x14ac:dyDescent="0.2">
      <c r="B32" s="2"/>
      <c r="C32" s="2">
        <v>7.0000000000000007E-2</v>
      </c>
      <c r="E32" s="2">
        <f t="shared" si="2"/>
        <v>0</v>
      </c>
      <c r="F32" s="2">
        <f t="shared" si="10"/>
        <v>0.15</v>
      </c>
      <c r="H32" s="2"/>
      <c r="I32" s="2">
        <v>7.0000000000000007E-2</v>
      </c>
      <c r="K32" s="2">
        <f t="shared" si="3"/>
        <v>0</v>
      </c>
      <c r="L32" s="2">
        <f t="shared" si="11"/>
        <v>0.15</v>
      </c>
      <c r="N32" s="2">
        <v>39.659999999999997</v>
      </c>
      <c r="O32" s="2">
        <v>7.0000000000000007E-2</v>
      </c>
      <c r="Q32" s="2">
        <f t="shared" si="4"/>
        <v>39.659999999999997</v>
      </c>
      <c r="R32" s="2">
        <f t="shared" si="17"/>
        <v>4.5138424132387722E-2</v>
      </c>
      <c r="T32" s="30">
        <f t="shared" si="5"/>
        <v>39.659999999999997</v>
      </c>
      <c r="U32" s="2">
        <f t="shared" si="6"/>
        <v>6.129319113400504E-2</v>
      </c>
      <c r="V32" s="2">
        <f t="shared" si="12"/>
        <v>6.1293191134005038</v>
      </c>
      <c r="W32" s="1"/>
      <c r="Y32" s="30">
        <f t="shared" si="7"/>
        <v>39.659999999999997</v>
      </c>
      <c r="Z32" s="2">
        <f t="shared" si="8"/>
        <v>7.0000000000000009</v>
      </c>
      <c r="AA32" s="2">
        <f t="shared" si="9"/>
        <v>4.5138424132387724</v>
      </c>
      <c r="AB32" s="2">
        <f t="shared" si="13"/>
        <v>6.1293191134005038</v>
      </c>
      <c r="AD32" s="2">
        <f t="shared" si="14"/>
        <v>39.659999999999997</v>
      </c>
      <c r="AE32" s="2">
        <f t="shared" si="15"/>
        <v>6.9901335362849384E-2</v>
      </c>
      <c r="AF32" s="2">
        <f t="shared" si="16"/>
        <v>6.9901335362849384</v>
      </c>
    </row>
    <row r="33" spans="2:32" x14ac:dyDescent="0.2">
      <c r="B33" s="2"/>
      <c r="C33" s="2">
        <v>0.06</v>
      </c>
      <c r="E33" s="2">
        <f t="shared" si="2"/>
        <v>0</v>
      </c>
      <c r="F33" s="2">
        <f t="shared" si="10"/>
        <v>0.15</v>
      </c>
      <c r="H33" s="2"/>
      <c r="I33" s="2">
        <v>0.06</v>
      </c>
      <c r="K33" s="2">
        <f t="shared" si="3"/>
        <v>0</v>
      </c>
      <c r="L33" s="2">
        <f t="shared" si="11"/>
        <v>0.15</v>
      </c>
      <c r="N33" s="2">
        <v>45.86</v>
      </c>
      <c r="O33" s="2">
        <v>0.06</v>
      </c>
      <c r="Q33" s="2">
        <f t="shared" si="4"/>
        <v>45.86</v>
      </c>
      <c r="R33" s="2">
        <f t="shared" si="17"/>
        <v>3.4271444117369515E-2</v>
      </c>
      <c r="T33" s="30">
        <f t="shared" si="5"/>
        <v>45.86</v>
      </c>
      <c r="U33" s="2">
        <f t="shared" si="6"/>
        <v>5.0954835138076728E-2</v>
      </c>
      <c r="V33" s="2">
        <f t="shared" si="12"/>
        <v>5.0954835138076726</v>
      </c>
      <c r="W33" s="1"/>
      <c r="Y33" s="30">
        <f t="shared" si="7"/>
        <v>45.86</v>
      </c>
      <c r="Z33" s="2">
        <f t="shared" si="8"/>
        <v>6</v>
      </c>
      <c r="AA33" s="2">
        <f t="shared" si="9"/>
        <v>3.4271444117369514</v>
      </c>
      <c r="AB33" s="2">
        <f t="shared" si="13"/>
        <v>5.0954835138076726</v>
      </c>
      <c r="AD33" s="2">
        <f t="shared" si="14"/>
        <v>45.86</v>
      </c>
      <c r="AE33" s="2">
        <f t="shared" si="15"/>
        <v>6.0110426147820785E-2</v>
      </c>
      <c r="AF33" s="2">
        <f t="shared" si="16"/>
        <v>6.0110426147820784</v>
      </c>
    </row>
    <row r="34" spans="2:32" x14ac:dyDescent="0.2">
      <c r="B34" s="2"/>
      <c r="C34" s="2">
        <v>0.05</v>
      </c>
      <c r="E34" s="2">
        <f t="shared" si="2"/>
        <v>0</v>
      </c>
      <c r="F34" s="2">
        <f t="shared" si="10"/>
        <v>0.15</v>
      </c>
      <c r="H34" s="2"/>
      <c r="I34" s="2">
        <v>0.05</v>
      </c>
      <c r="K34" s="2">
        <f t="shared" si="3"/>
        <v>0</v>
      </c>
      <c r="L34" s="2">
        <f t="shared" si="11"/>
        <v>0.15</v>
      </c>
      <c r="N34" s="2">
        <v>53.05</v>
      </c>
      <c r="O34" s="2">
        <v>0.05</v>
      </c>
      <c r="Q34" s="2">
        <f t="shared" si="4"/>
        <v>53.05</v>
      </c>
      <c r="R34" s="2">
        <f t="shared" si="17"/>
        <v>2.3540309889641224E-2</v>
      </c>
      <c r="T34" s="30">
        <f t="shared" si="5"/>
        <v>53.05</v>
      </c>
      <c r="U34" s="2">
        <f t="shared" si="6"/>
        <v>4.0160612214932466E-2</v>
      </c>
      <c r="V34" s="2">
        <f t="shared" si="12"/>
        <v>4.0160612214932465</v>
      </c>
      <c r="W34" s="1"/>
      <c r="Y34" s="30">
        <f t="shared" si="7"/>
        <v>53.05</v>
      </c>
      <c r="Z34" s="2">
        <f t="shared" si="8"/>
        <v>5</v>
      </c>
      <c r="AA34" s="2">
        <f t="shared" si="9"/>
        <v>2.3540309889641224</v>
      </c>
      <c r="AB34" s="2">
        <f t="shared" si="13"/>
        <v>4.0160612214932465</v>
      </c>
      <c r="AD34" s="2">
        <f t="shared" si="14"/>
        <v>53.05</v>
      </c>
      <c r="AE34" s="2">
        <f t="shared" si="15"/>
        <v>4.9680778087630224E-2</v>
      </c>
      <c r="AF34" s="2">
        <f t="shared" si="16"/>
        <v>4.9680778087630229</v>
      </c>
    </row>
    <row r="35" spans="2:32" x14ac:dyDescent="0.2">
      <c r="B35" s="2"/>
      <c r="C35" s="2">
        <v>0.04</v>
      </c>
      <c r="E35" s="2">
        <f t="shared" si="2"/>
        <v>0</v>
      </c>
      <c r="F35" s="2">
        <f t="shared" si="10"/>
        <v>0.15</v>
      </c>
      <c r="H35" s="2"/>
      <c r="I35" s="2">
        <v>0.04</v>
      </c>
      <c r="K35" s="2">
        <f t="shared" si="3"/>
        <v>0</v>
      </c>
      <c r="L35" s="2">
        <f t="shared" si="11"/>
        <v>0.15</v>
      </c>
      <c r="N35" s="2">
        <v>60.7</v>
      </c>
      <c r="O35" s="2">
        <v>0.04</v>
      </c>
      <c r="Q35" s="2">
        <f t="shared" si="4"/>
        <v>60.7</v>
      </c>
      <c r="R35" s="2">
        <f t="shared" si="17"/>
        <v>1.4328964281750858E-2</v>
      </c>
      <c r="T35" s="30">
        <f t="shared" si="5"/>
        <v>60.7</v>
      </c>
      <c r="U35" s="2">
        <f t="shared" si="6"/>
        <v>3.0084861477544109E-2</v>
      </c>
      <c r="V35" s="2">
        <f t="shared" si="12"/>
        <v>3.0084861477544109</v>
      </c>
      <c r="W35" s="1"/>
      <c r="Y35" s="30">
        <f t="shared" si="7"/>
        <v>60.7</v>
      </c>
      <c r="Z35" s="2">
        <f t="shared" si="8"/>
        <v>4</v>
      </c>
      <c r="AA35" s="2">
        <f t="shared" si="9"/>
        <v>1.4328964281750858</v>
      </c>
      <c r="AB35" s="2">
        <f t="shared" si="13"/>
        <v>3.0084861477544109</v>
      </c>
      <c r="AD35" s="2">
        <f t="shared" si="14"/>
        <v>60.7</v>
      </c>
      <c r="AE35" s="2">
        <f t="shared" si="15"/>
        <v>3.9674205864041343E-2</v>
      </c>
      <c r="AF35" s="2">
        <f t="shared" si="16"/>
        <v>3.9674205864041343</v>
      </c>
    </row>
    <row r="36" spans="2:32" x14ac:dyDescent="0.2">
      <c r="B36" s="2"/>
      <c r="C36" s="2">
        <v>0.03</v>
      </c>
      <c r="E36" s="2">
        <f t="shared" si="2"/>
        <v>0</v>
      </c>
      <c r="F36" s="2">
        <f t="shared" si="10"/>
        <v>0.15</v>
      </c>
      <c r="H36" s="2"/>
      <c r="I36" s="2">
        <v>0.03</v>
      </c>
      <c r="K36" s="2">
        <f t="shared" si="3"/>
        <v>0</v>
      </c>
      <c r="L36" s="2">
        <f t="shared" si="11"/>
        <v>0.15</v>
      </c>
      <c r="N36" s="2">
        <v>69.37</v>
      </c>
      <c r="O36" s="2">
        <v>0.03</v>
      </c>
      <c r="Q36" s="2">
        <f t="shared" si="4"/>
        <v>69.37</v>
      </c>
      <c r="R36" s="2">
        <f t="shared" si="17"/>
        <v>6.6393388011605908E-3</v>
      </c>
      <c r="T36" s="30">
        <f t="shared" si="5"/>
        <v>69.37</v>
      </c>
      <c r="U36" s="2">
        <f t="shared" si="6"/>
        <v>2.0421877802545545E-2</v>
      </c>
      <c r="V36" s="2">
        <f t="shared" si="12"/>
        <v>2.0421877802545545</v>
      </c>
      <c r="W36" s="1"/>
      <c r="Y36" s="30">
        <f t="shared" si="7"/>
        <v>69.37</v>
      </c>
      <c r="Z36" s="2">
        <f t="shared" si="8"/>
        <v>3</v>
      </c>
      <c r="AA36" s="2">
        <f t="shared" si="9"/>
        <v>0.66393388011605903</v>
      </c>
      <c r="AB36" s="2">
        <f t="shared" si="13"/>
        <v>2.0421877802545545</v>
      </c>
      <c r="AD36" s="2">
        <f t="shared" si="14"/>
        <v>69.37</v>
      </c>
      <c r="AE36" s="2">
        <f t="shared" si="15"/>
        <v>2.9692382986909543E-2</v>
      </c>
      <c r="AF36" s="2">
        <f t="shared" si="16"/>
        <v>2.9692382986909545</v>
      </c>
    </row>
    <row r="37" spans="2:32" x14ac:dyDescent="0.2">
      <c r="B37" s="2"/>
      <c r="C37" s="2">
        <v>0.02</v>
      </c>
      <c r="E37" s="2">
        <f t="shared" si="2"/>
        <v>0</v>
      </c>
      <c r="F37" s="2">
        <f t="shared" si="10"/>
        <v>0.15</v>
      </c>
      <c r="H37" s="2"/>
      <c r="I37" s="2">
        <v>0.02</v>
      </c>
      <c r="K37" s="2">
        <f t="shared" si="3"/>
        <v>0</v>
      </c>
      <c r="L37" s="2">
        <f t="shared" si="11"/>
        <v>0.15</v>
      </c>
      <c r="N37" s="2">
        <v>81.44</v>
      </c>
      <c r="O37" s="2">
        <v>0.02</v>
      </c>
      <c r="Q37" s="2">
        <f t="shared" si="4"/>
        <v>81.44</v>
      </c>
      <c r="R37" s="2">
        <f t="shared" si="17"/>
        <v>7.9929438824719035E-4</v>
      </c>
      <c r="T37" s="30">
        <f t="shared" si="5"/>
        <v>81.44</v>
      </c>
      <c r="U37" s="2">
        <f t="shared" si="6"/>
        <v>1.0076557531017338E-2</v>
      </c>
      <c r="V37" s="2">
        <f t="shared" si="12"/>
        <v>1.0076557531017338</v>
      </c>
      <c r="W37" s="1"/>
      <c r="Y37" s="30">
        <f t="shared" si="7"/>
        <v>81.44</v>
      </c>
      <c r="Z37" s="2">
        <f t="shared" si="8"/>
        <v>2</v>
      </c>
      <c r="AA37" s="2">
        <f t="shared" si="9"/>
        <v>7.9929438824719035E-2</v>
      </c>
      <c r="AB37" s="2">
        <f t="shared" si="13"/>
        <v>1.0076557531017338</v>
      </c>
      <c r="AD37" s="2">
        <f t="shared" si="14"/>
        <v>81.44</v>
      </c>
      <c r="AE37" s="2">
        <f t="shared" si="15"/>
        <v>1.8200389098411006E-2</v>
      </c>
      <c r="AF37" s="2">
        <f t="shared" si="16"/>
        <v>1.8200389098411005</v>
      </c>
    </row>
    <row r="38" spans="2:32" x14ac:dyDescent="0.2">
      <c r="B38" s="2"/>
      <c r="C38" s="2">
        <v>0.01</v>
      </c>
      <c r="E38" s="2">
        <f t="shared" si="2"/>
        <v>0</v>
      </c>
      <c r="F38" s="2">
        <f t="shared" si="10"/>
        <v>0.15</v>
      </c>
      <c r="H38" s="2"/>
      <c r="I38" s="2">
        <v>0.01</v>
      </c>
      <c r="K38" s="2">
        <f t="shared" si="3"/>
        <v>0</v>
      </c>
      <c r="L38" s="2">
        <f t="shared" si="11"/>
        <v>0.15</v>
      </c>
      <c r="M38" s="1"/>
      <c r="N38" s="2">
        <v>94.13</v>
      </c>
      <c r="O38" s="2">
        <v>0.01</v>
      </c>
      <c r="Q38" s="2">
        <f t="shared" si="4"/>
        <v>94.13</v>
      </c>
      <c r="R38" s="2">
        <f t="shared" si="17"/>
        <v>7.6572879936773197E-4</v>
      </c>
      <c r="T38" s="30">
        <f t="shared" si="5"/>
        <v>94.13</v>
      </c>
      <c r="U38" s="2">
        <f t="shared" si="6"/>
        <v>3.0996717657714554E-3</v>
      </c>
      <c r="V38" s="2">
        <f t="shared" si="12"/>
        <v>0.30996717657714556</v>
      </c>
      <c r="W38" s="1"/>
      <c r="Y38" s="30">
        <f t="shared" si="7"/>
        <v>94.13</v>
      </c>
      <c r="Z38" s="2">
        <f t="shared" si="8"/>
        <v>1</v>
      </c>
      <c r="AA38" s="2">
        <f t="shared" si="9"/>
        <v>7.6572879936773197E-2</v>
      </c>
      <c r="AB38" s="2">
        <f t="shared" si="13"/>
        <v>0.30996717657714556</v>
      </c>
      <c r="AD38" s="2">
        <f t="shared" si="14"/>
        <v>94.13</v>
      </c>
      <c r="AE38" s="2">
        <f t="shared" si="15"/>
        <v>9.1358085552269725E-3</v>
      </c>
      <c r="AF38" s="2">
        <f t="shared" si="16"/>
        <v>0.9135808555226973</v>
      </c>
    </row>
    <row r="39" spans="2:32" x14ac:dyDescent="0.2">
      <c r="B39" s="2"/>
      <c r="C39" s="2">
        <v>0</v>
      </c>
      <c r="E39" s="2">
        <f t="shared" si="2"/>
        <v>0</v>
      </c>
      <c r="F39" s="2">
        <f t="shared" si="10"/>
        <v>0.15</v>
      </c>
      <c r="H39" s="2"/>
      <c r="I39" s="2">
        <v>0</v>
      </c>
      <c r="K39" s="2">
        <f t="shared" si="3"/>
        <v>0</v>
      </c>
      <c r="L39" s="2">
        <f t="shared" si="11"/>
        <v>0.15</v>
      </c>
      <c r="M39" s="1"/>
      <c r="N39" s="2"/>
      <c r="O39" s="2">
        <v>0</v>
      </c>
      <c r="Q39" s="2">
        <f t="shared" si="4"/>
        <v>0</v>
      </c>
      <c r="R39" s="2">
        <f t="shared" si="17"/>
        <v>0.15</v>
      </c>
    </row>
    <row r="40" spans="2:32" x14ac:dyDescent="0.2">
      <c r="Y40" t="s">
        <v>46</v>
      </c>
      <c r="Z40" t="s">
        <v>48</v>
      </c>
      <c r="AA40" t="s">
        <v>49</v>
      </c>
    </row>
    <row r="41" spans="2:32" ht="17" thickBot="1" x14ac:dyDescent="0.25">
      <c r="S41" s="41"/>
      <c r="T41" s="41"/>
      <c r="U41" s="41"/>
      <c r="V41" s="41"/>
      <c r="Y41" cm="1">
        <f t="array" ref="Y41:AA45">LINEST(Z24:Z38,Y24:Y38^COLUMN($A:$B), TRUE,TRUE)</f>
        <v>9.7572621889579862E-4</v>
      </c>
      <c r="Z41">
        <v>-0.23819469450317987</v>
      </c>
      <c r="AA41">
        <v>14.848435009706828</v>
      </c>
    </row>
    <row r="42" spans="2:32" x14ac:dyDescent="0.2">
      <c r="S42" s="41"/>
      <c r="T42" s="42" t="s">
        <v>94</v>
      </c>
      <c r="U42" s="43" t="s">
        <v>95</v>
      </c>
      <c r="V42" s="41"/>
      <c r="X42" t="s">
        <v>111</v>
      </c>
      <c r="Y42">
        <v>2.3501981515307426E-5</v>
      </c>
      <c r="Z42">
        <v>2.1811758326793287E-3</v>
      </c>
      <c r="AA42">
        <v>3.9974648202610735E-2</v>
      </c>
    </row>
    <row r="43" spans="2:32" ht="17" thickBot="1" x14ac:dyDescent="0.25">
      <c r="O43" s="1"/>
      <c r="P43" s="1"/>
      <c r="S43" s="41"/>
      <c r="T43" s="44">
        <f>(((9.81*Q17^5)/(S17*2*(Y41/100)*R17^4)))-(Q17/S17)</f>
        <v>1.7257629117156691E-2</v>
      </c>
      <c r="U43" s="45">
        <f>((2*9.81*0.15*Q17^5)/(S17*(-Z41/100)^2*R17^4))-(Q17/S17)</f>
        <v>1.8361350205819284E-2</v>
      </c>
      <c r="V43" s="41"/>
      <c r="X43" t="s">
        <v>44</v>
      </c>
      <c r="Y43">
        <v>0.99979935694912325</v>
      </c>
      <c r="Z43">
        <v>6.8422738816308823E-2</v>
      </c>
      <c r="AA43" t="e">
        <v>#N/A</v>
      </c>
    </row>
    <row r="44" spans="2:32" x14ac:dyDescent="0.2">
      <c r="N44" s="1"/>
      <c r="O44" s="1"/>
      <c r="P44" s="1"/>
      <c r="Q44" s="1"/>
      <c r="S44" s="41"/>
      <c r="T44" s="41">
        <f>((2*9.81*Q17^5)/(S17*(Y41/100)*R17^5))*0.001+((5*9.81*Q17^4)/(2*S17*(Y41/100)*R17^4)-(1)/(S17))*0.00005+((9.81*Q17^5)/(2*S17*R17^4*(Y41/100)^2))*(Y42/100)</f>
        <v>2.4416209889079666E-3</v>
      </c>
      <c r="U44" s="41">
        <f>((8*9.81*Q17^5)/(S17*(Z41/100)^2*R17^5))*0.001+((2*5*9.81*Q17^4)/(S17*(Z41/100)^2*R17^4)-(1)/(S17))*0.00005+((4*9.81*Q17^5)/(S17*R17^4*(-Z41/100)^3))*(Z42/100)</f>
        <v>1.600755095651785E-2</v>
      </c>
      <c r="V44" s="41"/>
      <c r="Y44">
        <v>29897.851510336237</v>
      </c>
      <c r="Z44">
        <v>12</v>
      </c>
      <c r="AA44" t="e">
        <v>#N/A</v>
      </c>
    </row>
    <row r="45" spans="2:32" x14ac:dyDescent="0.2">
      <c r="N45" s="1"/>
      <c r="O45" s="29"/>
      <c r="P45" s="1"/>
      <c r="Q45" s="1"/>
      <c r="T45" t="s">
        <v>112</v>
      </c>
      <c r="U45" t="s">
        <v>98</v>
      </c>
      <c r="Y45">
        <v>279.94381994575451</v>
      </c>
      <c r="Z45">
        <v>5.6180054245497768E-2</v>
      </c>
      <c r="AA45" t="e">
        <v>#N/A</v>
      </c>
    </row>
    <row r="46" spans="2:32" x14ac:dyDescent="0.2">
      <c r="N46" s="1"/>
      <c r="O46" s="1"/>
      <c r="P46" s="1"/>
      <c r="Q46" s="1"/>
      <c r="T46">
        <f>AVERAGE(U43,T43)</f>
        <v>1.7809489661487987E-2</v>
      </c>
      <c r="U46">
        <f>T44+U44</f>
        <v>1.8449171945425818E-2</v>
      </c>
    </row>
    <row r="47" spans="2:32" x14ac:dyDescent="0.2">
      <c r="N47" s="1"/>
      <c r="O47" s="1"/>
      <c r="P47" s="1"/>
      <c r="Q47" s="1"/>
    </row>
    <row r="48" spans="2:32" x14ac:dyDescent="0.2">
      <c r="N48" s="1"/>
      <c r="O48" s="1"/>
      <c r="P48" s="1"/>
      <c r="Q48" s="1"/>
      <c r="T48" s="2"/>
      <c r="U48" s="2"/>
    </row>
    <row r="49" spans="14:29" x14ac:dyDescent="0.2">
      <c r="N49" s="1"/>
      <c r="O49" s="1"/>
      <c r="P49" s="1"/>
      <c r="Q49" s="1"/>
      <c r="T49" s="2"/>
      <c r="U49" s="2"/>
      <c r="AA49" s="1"/>
      <c r="AC49" s="1"/>
    </row>
    <row r="50" spans="14:29" x14ac:dyDescent="0.2">
      <c r="N50" s="1"/>
      <c r="O50" s="29"/>
      <c r="P50" s="1"/>
      <c r="Q50" s="1"/>
      <c r="T50" s="2"/>
      <c r="U50" s="2"/>
      <c r="Y50" s="1"/>
      <c r="Z50" s="1"/>
      <c r="AA50" s="1"/>
      <c r="AB50" s="2"/>
      <c r="AC50" s="2"/>
    </row>
    <row r="51" spans="14:29" x14ac:dyDescent="0.2">
      <c r="N51" s="1"/>
      <c r="O51" s="1"/>
      <c r="P51" s="1"/>
      <c r="Q51" s="1"/>
      <c r="T51" s="2"/>
      <c r="U51" s="2"/>
      <c r="Y51" s="1"/>
      <c r="Z51" s="1"/>
      <c r="AA51" s="1"/>
      <c r="AB51" s="2"/>
      <c r="AC51" s="37"/>
    </row>
    <row r="52" spans="14:29" x14ac:dyDescent="0.2">
      <c r="N52" s="1"/>
      <c r="O52" s="1"/>
      <c r="P52" s="1"/>
      <c r="Q52" s="1"/>
      <c r="T52" s="2"/>
      <c r="U52" s="2"/>
      <c r="Y52" s="1"/>
      <c r="Z52" s="1"/>
      <c r="AA52" s="1"/>
      <c r="AB52" s="36"/>
      <c r="AC52" s="1"/>
    </row>
    <row r="53" spans="14:29" x14ac:dyDescent="0.2">
      <c r="N53" s="1"/>
      <c r="O53" s="1"/>
      <c r="T53" s="2"/>
      <c r="U53" s="2"/>
      <c r="Y53" s="1"/>
      <c r="Z53" s="1"/>
      <c r="AA53" s="1"/>
      <c r="AC53" s="1"/>
    </row>
    <row r="54" spans="14:29" x14ac:dyDescent="0.2">
      <c r="T54" s="2"/>
      <c r="U54" s="2"/>
      <c r="Y54" s="1"/>
      <c r="Z54" s="1"/>
      <c r="AA54" s="1"/>
      <c r="AC54" s="1"/>
    </row>
    <row r="55" spans="14:29" x14ac:dyDescent="0.2">
      <c r="T55" s="2"/>
      <c r="U55" s="2"/>
      <c r="Y55" s="1"/>
      <c r="Z55" s="1"/>
      <c r="AA55" s="1"/>
      <c r="AC55" s="1"/>
    </row>
    <row r="56" spans="14:29" x14ac:dyDescent="0.2">
      <c r="T56" s="2"/>
      <c r="U56" s="2"/>
    </row>
    <row r="57" spans="14:29" x14ac:dyDescent="0.2">
      <c r="T57" s="2"/>
      <c r="U57" s="2"/>
    </row>
    <row r="58" spans="14:29" x14ac:dyDescent="0.2">
      <c r="T58" s="2"/>
      <c r="U58" s="2"/>
    </row>
    <row r="59" spans="14:29" x14ac:dyDescent="0.2">
      <c r="T59" s="2"/>
      <c r="U59" s="2"/>
    </row>
    <row r="60" spans="14:29" x14ac:dyDescent="0.2">
      <c r="T60" s="2"/>
      <c r="U60" s="2"/>
    </row>
    <row r="61" spans="14:29" x14ac:dyDescent="0.2">
      <c r="T61" s="2"/>
      <c r="U61" s="2"/>
    </row>
    <row r="62" spans="14:29" x14ac:dyDescent="0.2">
      <c r="T62" s="2"/>
      <c r="U62" s="2"/>
    </row>
    <row r="63" spans="14:29" x14ac:dyDescent="0.2">
      <c r="T63" s="2"/>
      <c r="U63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575-FA90-1A4D-B09D-ED5D14D03359}">
  <dimension ref="B3:AO67"/>
  <sheetViews>
    <sheetView tabSelected="1" topLeftCell="O2" workbookViewId="0">
      <selection activeCell="AC32" sqref="AC32"/>
    </sheetView>
  </sheetViews>
  <sheetFormatPr baseColWidth="10" defaultColWidth="11" defaultRowHeight="16" x14ac:dyDescent="0.2"/>
  <cols>
    <col min="2" max="2" width="14.33203125" customWidth="1"/>
    <col min="4" max="4" width="15.6640625" customWidth="1"/>
    <col min="5" max="5" width="16" customWidth="1"/>
    <col min="7" max="7" width="13.83203125" customWidth="1"/>
    <col min="11" max="11" width="15.5" customWidth="1"/>
    <col min="12" max="12" width="15.83203125" customWidth="1"/>
    <col min="14" max="15" width="11.1640625" bestFit="1" customWidth="1"/>
    <col min="16" max="16" width="12.1640625" customWidth="1"/>
    <col min="17" max="17" width="11.1640625" bestFit="1" customWidth="1"/>
    <col min="18" max="18" width="12.33203125" bestFit="1" customWidth="1"/>
    <col min="20" max="20" width="11.1640625" bestFit="1" customWidth="1"/>
    <col min="21" max="21" width="13.33203125" bestFit="1" customWidth="1"/>
    <col min="22" max="22" width="11.1640625" bestFit="1" customWidth="1"/>
    <col min="25" max="26" width="11.1640625" bestFit="1" customWidth="1"/>
    <col min="27" max="27" width="14" bestFit="1" customWidth="1"/>
    <col min="28" max="29" width="11.1640625" bestFit="1" customWidth="1"/>
    <col min="31" max="31" width="11.1640625" bestFit="1" customWidth="1"/>
  </cols>
  <sheetData>
    <row r="3" spans="2:18" ht="17" thickBot="1" x14ac:dyDescent="0.2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2:18" ht="17" thickBot="1" x14ac:dyDescent="0.25">
      <c r="B4" s="13" t="s">
        <v>0</v>
      </c>
      <c r="C4" s="13"/>
      <c r="D4" s="22" t="s">
        <v>81</v>
      </c>
      <c r="E4" s="23" t="s">
        <v>82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2:18" x14ac:dyDescent="0.2">
      <c r="B5" s="13"/>
      <c r="C5" s="13"/>
      <c r="D5" s="13"/>
      <c r="E5" s="13"/>
      <c r="F5" s="13"/>
      <c r="G5" s="13" t="s">
        <v>1</v>
      </c>
      <c r="H5" s="13"/>
      <c r="I5" s="13"/>
      <c r="J5" s="13"/>
      <c r="K5" s="13"/>
      <c r="L5" s="14"/>
      <c r="M5" s="15" t="s">
        <v>5</v>
      </c>
      <c r="N5" s="16" t="s">
        <v>6</v>
      </c>
      <c r="O5" s="16" t="s">
        <v>7</v>
      </c>
      <c r="P5" s="13"/>
      <c r="Q5" s="13"/>
      <c r="R5" s="13"/>
    </row>
    <row r="6" spans="2:18" ht="17" thickBot="1" x14ac:dyDescent="0.25">
      <c r="B6" s="13"/>
      <c r="C6" s="13"/>
      <c r="D6" s="13"/>
      <c r="E6" s="13"/>
      <c r="F6" s="13"/>
      <c r="G6" s="13"/>
      <c r="H6" s="13"/>
      <c r="I6" s="13"/>
      <c r="J6" s="13"/>
      <c r="K6" s="13"/>
      <c r="L6" s="15" t="s">
        <v>9</v>
      </c>
      <c r="M6" s="2"/>
      <c r="N6" s="2">
        <v>6.05</v>
      </c>
      <c r="O6" s="2">
        <v>8.8000000000000007</v>
      </c>
      <c r="P6" s="13"/>
      <c r="Q6" s="13"/>
      <c r="R6" s="14"/>
    </row>
    <row r="7" spans="2:18" x14ac:dyDescent="0.2">
      <c r="B7" s="5" t="s">
        <v>9</v>
      </c>
      <c r="C7" s="17" t="s">
        <v>10</v>
      </c>
      <c r="D7" s="17" t="s">
        <v>11</v>
      </c>
      <c r="E7" s="17" t="s">
        <v>12</v>
      </c>
      <c r="F7" s="13"/>
      <c r="G7" s="7" t="s">
        <v>13</v>
      </c>
      <c r="H7" s="8" t="s">
        <v>14</v>
      </c>
      <c r="I7" s="9" t="s">
        <v>15</v>
      </c>
      <c r="J7" s="13"/>
      <c r="K7" s="14"/>
      <c r="L7" s="20" t="s">
        <v>18</v>
      </c>
      <c r="M7" s="2">
        <f>M6/1000</f>
        <v>0</v>
      </c>
      <c r="N7" s="2">
        <f t="shared" ref="N7" si="0">N6/1000</f>
        <v>6.0499999999999998E-3</v>
      </c>
      <c r="O7" s="2">
        <f>O6/1000</f>
        <v>8.8000000000000005E-3</v>
      </c>
      <c r="P7" s="13"/>
      <c r="Q7" s="13"/>
      <c r="R7" s="13"/>
    </row>
    <row r="8" spans="2:18" ht="17" thickBot="1" x14ac:dyDescent="0.25">
      <c r="B8" s="5">
        <v>195</v>
      </c>
      <c r="C8" s="18">
        <v>0</v>
      </c>
      <c r="D8" s="18">
        <v>0</v>
      </c>
      <c r="E8" s="19"/>
      <c r="F8" s="13"/>
      <c r="G8" s="10">
        <v>1</v>
      </c>
      <c r="H8" s="11">
        <f>G8/1000</f>
        <v>1E-3</v>
      </c>
      <c r="I8" s="12" t="s">
        <v>17</v>
      </c>
      <c r="J8" s="13"/>
      <c r="K8" s="14"/>
      <c r="L8" s="20" t="s">
        <v>11</v>
      </c>
      <c r="M8" s="2">
        <f>PI()*(M6/2)^2</f>
        <v>0</v>
      </c>
      <c r="N8" s="2">
        <f t="shared" ref="N8:O9" si="1">PI()*(N6/2)^2</f>
        <v>28.747536275755099</v>
      </c>
      <c r="O8" s="2">
        <f t="shared" si="1"/>
        <v>60.821233773498406</v>
      </c>
      <c r="P8" s="13"/>
      <c r="Q8" s="13"/>
      <c r="R8" s="13"/>
    </row>
    <row r="9" spans="2:18" x14ac:dyDescent="0.2">
      <c r="B9" t="s">
        <v>20</v>
      </c>
      <c r="C9" s="13"/>
      <c r="D9" s="13"/>
      <c r="E9" s="13"/>
      <c r="F9" s="13"/>
      <c r="G9" s="13"/>
      <c r="H9" s="13"/>
      <c r="I9" s="13"/>
      <c r="J9" s="13"/>
      <c r="K9" s="13"/>
      <c r="L9" s="20" t="s">
        <v>21</v>
      </c>
      <c r="M9" s="2">
        <f>PI()*(M7/2)^2</f>
        <v>0</v>
      </c>
      <c r="N9" s="2">
        <f t="shared" si="1"/>
        <v>2.87475362757551E-5</v>
      </c>
      <c r="O9" s="2">
        <f t="shared" si="1"/>
        <v>6.0821233773498395E-5</v>
      </c>
      <c r="P9" s="13"/>
      <c r="Q9" s="13"/>
      <c r="R9" s="13"/>
    </row>
    <row r="10" spans="2:18" x14ac:dyDescent="0.2">
      <c r="C10" s="13"/>
      <c r="D10" s="13"/>
      <c r="E10" s="13"/>
      <c r="F10" s="13"/>
      <c r="G10" s="13"/>
      <c r="H10" s="13"/>
      <c r="I10" s="13"/>
      <c r="J10" s="13"/>
      <c r="K10" s="13"/>
      <c r="P10" s="13"/>
      <c r="Q10" s="13"/>
      <c r="R10" s="13"/>
    </row>
    <row r="11" spans="2:18" x14ac:dyDescent="0.2">
      <c r="B11" s="2" t="s">
        <v>18</v>
      </c>
      <c r="C11" s="2" t="s">
        <v>22</v>
      </c>
      <c r="D11" s="2" t="s">
        <v>21</v>
      </c>
      <c r="E11" s="2" t="s">
        <v>23</v>
      </c>
      <c r="F11" s="13"/>
      <c r="G11" s="13"/>
      <c r="H11" s="13"/>
      <c r="I11" s="13"/>
      <c r="J11" s="13"/>
      <c r="K11" s="13"/>
      <c r="L11" s="13"/>
      <c r="N11" t="s">
        <v>25</v>
      </c>
      <c r="O11" t="s">
        <v>26</v>
      </c>
      <c r="P11" s="13"/>
      <c r="Q11" s="13"/>
      <c r="R11" s="13"/>
    </row>
    <row r="12" spans="2:18" x14ac:dyDescent="0.2">
      <c r="B12" s="2">
        <f>B8/1000</f>
        <v>0.19500000000000001</v>
      </c>
      <c r="C12" s="2">
        <f>B12/2</f>
        <v>9.7500000000000003E-2</v>
      </c>
      <c r="D12" s="2">
        <f>PI()*C12^2</f>
        <v>2.9864765163187975E-2</v>
      </c>
      <c r="E12" s="2">
        <f>E8/1000</f>
        <v>0</v>
      </c>
      <c r="F12" s="13"/>
      <c r="G12" s="13"/>
      <c r="H12" s="14" t="s">
        <v>24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2:18" x14ac:dyDescent="0.2">
      <c r="B13" s="13"/>
      <c r="C13" s="13"/>
      <c r="D13" s="13"/>
      <c r="E13" s="13"/>
      <c r="F13" s="13"/>
      <c r="G13" s="13"/>
      <c r="H13" s="13">
        <v>0</v>
      </c>
      <c r="I13" s="13" t="s">
        <v>27</v>
      </c>
      <c r="J13" s="13"/>
      <c r="K13" s="15" t="s">
        <v>70</v>
      </c>
      <c r="L13" s="16">
        <v>0.15</v>
      </c>
      <c r="M13" s="13"/>
      <c r="N13" s="13"/>
      <c r="O13" s="13"/>
      <c r="P13" s="13"/>
      <c r="Q13" s="13"/>
      <c r="R13" s="13"/>
    </row>
    <row r="14" spans="2:18" x14ac:dyDescent="0.2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spans="2:18" x14ac:dyDescent="0.2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2:18" x14ac:dyDescent="0.2"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spans="2:41" x14ac:dyDescent="0.2">
      <c r="B17" s="13"/>
      <c r="C17" s="21" t="s">
        <v>71</v>
      </c>
      <c r="D17" s="21"/>
      <c r="E17" s="14" t="s">
        <v>33</v>
      </c>
      <c r="F17" s="14" t="s">
        <v>34</v>
      </c>
      <c r="G17" s="13"/>
      <c r="H17" s="13"/>
      <c r="I17" s="21" t="s">
        <v>71</v>
      </c>
      <c r="J17" s="21"/>
      <c r="K17" s="14" t="s">
        <v>33</v>
      </c>
      <c r="L17" s="14" t="s">
        <v>34</v>
      </c>
      <c r="M17" s="13"/>
      <c r="N17" s="13"/>
      <c r="O17" s="21" t="s">
        <v>71</v>
      </c>
      <c r="P17" s="21"/>
      <c r="Q17" s="14" t="s">
        <v>33</v>
      </c>
      <c r="R17" s="14" t="s">
        <v>34</v>
      </c>
      <c r="S17" s="1" t="s">
        <v>72</v>
      </c>
      <c r="V17" s="14" t="s">
        <v>33</v>
      </c>
      <c r="W17" s="14" t="s">
        <v>34</v>
      </c>
      <c r="X17" s="1" t="s">
        <v>72</v>
      </c>
    </row>
    <row r="18" spans="2:41" x14ac:dyDescent="0.2">
      <c r="B18" s="13"/>
      <c r="C18" s="13" t="s">
        <v>82</v>
      </c>
      <c r="D18" s="14" t="s">
        <v>5</v>
      </c>
      <c r="E18" s="14">
        <v>0</v>
      </c>
      <c r="F18" s="14">
        <v>0</v>
      </c>
      <c r="G18" s="13"/>
      <c r="H18" s="13"/>
      <c r="I18" s="13" t="s">
        <v>82</v>
      </c>
      <c r="J18" s="14" t="s">
        <v>6</v>
      </c>
      <c r="K18" s="14">
        <v>0</v>
      </c>
      <c r="L18" s="14">
        <v>0</v>
      </c>
      <c r="M18" s="13"/>
      <c r="N18" s="13"/>
      <c r="O18" s="13" t="s">
        <v>82</v>
      </c>
      <c r="P18" s="14" t="s">
        <v>7</v>
      </c>
      <c r="Q18" s="14">
        <f>O7</f>
        <v>8.8000000000000005E-3</v>
      </c>
      <c r="R18" s="14">
        <f>B12</f>
        <v>0.19500000000000001</v>
      </c>
      <c r="S18" s="1">
        <v>0.75</v>
      </c>
      <c r="V18" s="14">
        <f>Q18</f>
        <v>8.8000000000000005E-3</v>
      </c>
      <c r="W18" s="14">
        <f>R18</f>
        <v>0.19500000000000001</v>
      </c>
      <c r="X18" s="1">
        <v>0.75</v>
      </c>
    </row>
    <row r="19" spans="2:41" x14ac:dyDescent="0.2"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spans="2:41" x14ac:dyDescent="0.2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2:41" x14ac:dyDescent="0.2">
      <c r="B21" s="4" t="s">
        <v>35</v>
      </c>
      <c r="E21" s="4" t="s">
        <v>36</v>
      </c>
      <c r="H21" s="4" t="s">
        <v>35</v>
      </c>
      <c r="K21" s="4" t="s">
        <v>36</v>
      </c>
      <c r="M21" s="1"/>
      <c r="N21" s="4" t="s">
        <v>35</v>
      </c>
      <c r="Q21" s="4" t="s">
        <v>36</v>
      </c>
      <c r="Y21" s="4" t="s">
        <v>75</v>
      </c>
      <c r="AA21" s="1"/>
      <c r="AB21" s="1"/>
    </row>
    <row r="22" spans="2:41" x14ac:dyDescent="0.2">
      <c r="M22" s="1"/>
      <c r="T22" t="s">
        <v>83</v>
      </c>
      <c r="U22" t="s">
        <v>84</v>
      </c>
      <c r="AA22" s="1"/>
      <c r="AB22" s="1"/>
      <c r="AE22" t="s">
        <v>87</v>
      </c>
    </row>
    <row r="23" spans="2:41" x14ac:dyDescent="0.2">
      <c r="M23" s="1"/>
      <c r="T23">
        <f>O7^2/B12^2</f>
        <v>2.0365548980933595E-3</v>
      </c>
      <c r="U23">
        <f>T23^2</f>
        <v>4.1475558529480537E-6</v>
      </c>
      <c r="AA23" s="1"/>
      <c r="AB23" s="1"/>
    </row>
    <row r="24" spans="2:41" x14ac:dyDescent="0.2">
      <c r="B24" s="2" t="s">
        <v>15</v>
      </c>
      <c r="C24" s="2" t="s">
        <v>37</v>
      </c>
      <c r="E24" s="2" t="s">
        <v>15</v>
      </c>
      <c r="F24" s="2" t="s">
        <v>37</v>
      </c>
      <c r="H24" s="2" t="s">
        <v>15</v>
      </c>
      <c r="I24" s="2" t="s">
        <v>37</v>
      </c>
      <c r="K24" s="2" t="s">
        <v>15</v>
      </c>
      <c r="L24" s="2" t="s">
        <v>37</v>
      </c>
      <c r="M24" s="1"/>
      <c r="N24" s="2" t="s">
        <v>15</v>
      </c>
      <c r="O24" s="2" t="s">
        <v>37</v>
      </c>
      <c r="Q24" s="2" t="s">
        <v>15</v>
      </c>
      <c r="R24" s="2" t="s">
        <v>37</v>
      </c>
      <c r="S24" s="2"/>
      <c r="Y24" s="2" t="s">
        <v>15</v>
      </c>
      <c r="Z24" s="2" t="s">
        <v>37</v>
      </c>
      <c r="AA24" s="2" t="s">
        <v>40</v>
      </c>
      <c r="AB24" s="1" t="s">
        <v>76</v>
      </c>
      <c r="AE24" t="s">
        <v>88</v>
      </c>
      <c r="AF24" t="s">
        <v>89</v>
      </c>
      <c r="AG24" t="s">
        <v>78</v>
      </c>
      <c r="AH24" t="s">
        <v>77</v>
      </c>
      <c r="AI24" t="s">
        <v>90</v>
      </c>
      <c r="AJ24" t="s">
        <v>91</v>
      </c>
      <c r="AL24" s="2" t="s">
        <v>15</v>
      </c>
      <c r="AM24" s="2" t="s">
        <v>37</v>
      </c>
      <c r="AN24" s="2" t="s">
        <v>40</v>
      </c>
      <c r="AO24" t="s">
        <v>110</v>
      </c>
    </row>
    <row r="25" spans="2:41" x14ac:dyDescent="0.2">
      <c r="B25" s="2"/>
      <c r="C25" s="2">
        <v>0.15</v>
      </c>
      <c r="E25" s="2">
        <f t="shared" ref="E25:E40" si="2">B25</f>
        <v>0</v>
      </c>
      <c r="F25" s="2">
        <f>$L$13-($M$6^2/$B$12^2)*SQRT(2*9.81*$L$13)*E25+((($M$6^2/$B$12^2)^2)*(9.81/2)*E25^2)</f>
        <v>0.15</v>
      </c>
      <c r="H25" s="2"/>
      <c r="I25" s="2">
        <v>0.15</v>
      </c>
      <c r="K25" s="2">
        <f t="shared" ref="K25:K40" si="3">H25</f>
        <v>0</v>
      </c>
      <c r="L25" s="2">
        <f>$L$13-($N$6^2/$B$12^2)*SQRT(2*9.81*$L$13)*K25+((($N$6^2/$B$12^2)^2)*(9.81/2)*K25^2)</f>
        <v>0.15</v>
      </c>
      <c r="M25" s="1"/>
      <c r="N25" s="2">
        <v>0</v>
      </c>
      <c r="O25" s="2">
        <v>0.15</v>
      </c>
      <c r="Q25" s="2">
        <f t="shared" ref="Q25:Q40" si="4">N25</f>
        <v>0</v>
      </c>
      <c r="R25" s="2">
        <f>$L$13-($O$7^2/$B$12^2)*SQRT(2*9.81*$L$13)*Q25+((($O$7^2/$B$12^2)^2)*(9.81/2)*Q25^2)</f>
        <v>0.15</v>
      </c>
      <c r="S25" s="28"/>
      <c r="U25" t="s">
        <v>85</v>
      </c>
      <c r="V25" t="s">
        <v>86</v>
      </c>
      <c r="Y25" s="2">
        <f>Q25</f>
        <v>0</v>
      </c>
      <c r="Z25" s="2">
        <f>0.25*(-2*SQRT(0.15)+$AB$25*Y25)^2</f>
        <v>0.15000000000000002</v>
      </c>
      <c r="AA25" s="2">
        <f>Z25*100</f>
        <v>15.000000000000002</v>
      </c>
      <c r="AB25" s="1">
        <f>((Q18^2)/(R18^2))*SQRT((2*9.81)/(1+(0.75*$AB$28/Q18)))</f>
        <v>6.2384235960791798E-3</v>
      </c>
      <c r="AE25">
        <f>(0.15-0.01)/Y39</f>
        <v>1.1617293170691227E-3</v>
      </c>
      <c r="AF25">
        <f>AE25*R18^2/Q18^2</f>
        <v>0.57043849795394364</v>
      </c>
      <c r="AG25">
        <f>AF25*Q18*10^6</f>
        <v>5019.8587819947043</v>
      </c>
      <c r="AH25">
        <f>64/AG25</f>
        <v>1.2749362637362637E-2</v>
      </c>
      <c r="AI25">
        <f>0.25*((-2*SQRT(0.15)+$AG$28*N45)^2)</f>
        <v>0.15000000000000002</v>
      </c>
      <c r="AJ25">
        <f>AI25*100</f>
        <v>15.000000000000002</v>
      </c>
      <c r="AL25" s="2">
        <f>Y25</f>
        <v>0</v>
      </c>
      <c r="AM25" s="2">
        <f>0.25*(-2*SQRT(0.15)+$AO$25*AL25)^2</f>
        <v>0.15000000000000002</v>
      </c>
      <c r="AN25" s="2">
        <f>AM25*100</f>
        <v>15.000000000000002</v>
      </c>
      <c r="AO25">
        <f>((Q18^2)/(R18^2))*SQRT((2*9.81)/(1+(Z47*S18)/Q18))</f>
        <v>4.7486787511974498E-3</v>
      </c>
    </row>
    <row r="26" spans="2:41" x14ac:dyDescent="0.2">
      <c r="B26" s="2"/>
      <c r="C26" s="2">
        <v>0.14000000000000001</v>
      </c>
      <c r="E26" s="2">
        <f t="shared" si="2"/>
        <v>0</v>
      </c>
      <c r="F26" s="2">
        <f t="shared" ref="F26:F40" si="5">$L$13-($M$6^2/$B$12^2)*SQRT(2*9.81*$L$13)*E26+((($M$6^2/$B$12^2)^2)*(9.81/2)*E26^2)</f>
        <v>0.15</v>
      </c>
      <c r="H26" s="2"/>
      <c r="I26" s="2">
        <v>0.14000000000000001</v>
      </c>
      <c r="K26" s="2">
        <f t="shared" si="3"/>
        <v>0</v>
      </c>
      <c r="L26" s="2">
        <f t="shared" ref="L26:L40" si="6">$L$13-($N$6^2/$B$12^2)*SQRT(2*9.81*$L$13)*K26+((($N$6^2/$B$12^2)^2)*(9.81/2)*K26^2)</f>
        <v>0.15</v>
      </c>
      <c r="M26" s="1"/>
      <c r="N26" s="2">
        <v>5.38</v>
      </c>
      <c r="O26" s="2">
        <v>0.14000000000000001</v>
      </c>
      <c r="Q26" s="2">
        <f t="shared" si="4"/>
        <v>5.38</v>
      </c>
      <c r="R26" s="2">
        <f t="shared" ref="R26:R40" si="7">$L$13-($O$7^2/$B$12^2)*SQRT(2*9.81*$L$13)*Q26+((($O$7^2/$B$12^2)^2)*(9.81/2)*Q26^2)</f>
        <v>0.13179248775165531</v>
      </c>
      <c r="S26" s="28"/>
      <c r="U26">
        <f>-$T$23*SQRT(2*9.8*0.15)*N26</f>
        <v>-1.8786767575940378E-2</v>
      </c>
      <c r="V26">
        <f>$U$23*N26^2*9.8/2</f>
        <v>5.8823772658734121E-4</v>
      </c>
      <c r="Y26" s="2">
        <f t="shared" ref="Y26:Y40" si="8">Q26</f>
        <v>5.38</v>
      </c>
      <c r="Z26" s="2">
        <f t="shared" ref="Z26:Z40" si="9">0.25*(-2*SQRT(0.15)+$AB$25*Y26)^2</f>
        <v>0.13728282887229656</v>
      </c>
      <c r="AA26" s="2">
        <f t="shared" ref="AA26:AA40" si="10">Z26*100</f>
        <v>13.728282887229657</v>
      </c>
      <c r="AI26">
        <f t="shared" ref="AI26:AI39" si="11">0.25*((-2*SQRT(0.15)+$AG$28*N46)^2)</f>
        <v>0.137269884283586</v>
      </c>
      <c r="AJ26">
        <f t="shared" ref="AJ26:AJ39" si="12">AI26*100</f>
        <v>13.726988428358599</v>
      </c>
      <c r="AL26" s="2">
        <f t="shared" ref="AL26:AL39" si="13">Y26</f>
        <v>5.38</v>
      </c>
      <c r="AM26" s="2">
        <f t="shared" ref="AM26:AM39" si="14">0.25*(-2*SQRT(0.15)+$AO$25*AL26)^2</f>
        <v>0.14026851779104801</v>
      </c>
      <c r="AN26" s="2">
        <f t="shared" ref="AN26:AN39" si="15">AM26*100</f>
        <v>14.026851779104801</v>
      </c>
    </row>
    <row r="27" spans="2:41" x14ac:dyDescent="0.2">
      <c r="B27" s="2"/>
      <c r="C27" s="2">
        <v>0.13</v>
      </c>
      <c r="E27" s="2">
        <f t="shared" si="2"/>
        <v>0</v>
      </c>
      <c r="F27" s="2">
        <f t="shared" si="5"/>
        <v>0.15</v>
      </c>
      <c r="H27" s="2"/>
      <c r="I27" s="2">
        <v>0.13</v>
      </c>
      <c r="K27" s="2">
        <f t="shared" si="3"/>
        <v>0</v>
      </c>
      <c r="L27" s="2">
        <f t="shared" si="6"/>
        <v>0.15</v>
      </c>
      <c r="M27" s="1"/>
      <c r="N27" s="2">
        <v>10.68</v>
      </c>
      <c r="O27" s="2">
        <v>0.13</v>
      </c>
      <c r="Q27" s="2">
        <f t="shared" si="4"/>
        <v>10.68</v>
      </c>
      <c r="R27" s="2">
        <f t="shared" si="7"/>
        <v>0.11500725745347476</v>
      </c>
      <c r="S27" s="28"/>
      <c r="U27">
        <f t="shared" ref="U27:U40" si="16">-$T$23*SQRT(2*9.8*0.15)*N27</f>
        <v>-3.7294178013205066E-2</v>
      </c>
      <c r="V27">
        <f t="shared" ref="V27:V40" si="17">$U$23*N27^2*9.8/2</f>
        <v>2.3180928561343803E-3</v>
      </c>
      <c r="Y27" s="2">
        <f t="shared" si="8"/>
        <v>10.68</v>
      </c>
      <c r="Z27" s="2">
        <f t="shared" si="9"/>
        <v>0.1253054882737614</v>
      </c>
      <c r="AA27" s="2">
        <f t="shared" si="10"/>
        <v>12.530548827376139</v>
      </c>
      <c r="AB27" s="1" t="s">
        <v>77</v>
      </c>
      <c r="AG27" t="s">
        <v>92</v>
      </c>
      <c r="AI27">
        <f t="shared" si="11"/>
        <v>0.12528093874643215</v>
      </c>
      <c r="AJ27">
        <f t="shared" si="12"/>
        <v>12.528093874643215</v>
      </c>
      <c r="AL27" s="2">
        <f t="shared" si="13"/>
        <v>10.68</v>
      </c>
      <c r="AM27" s="2">
        <f t="shared" si="14"/>
        <v>0.13100084597802891</v>
      </c>
      <c r="AN27" s="2">
        <f t="shared" si="15"/>
        <v>13.100084597802891</v>
      </c>
    </row>
    <row r="28" spans="2:41" x14ac:dyDescent="0.2">
      <c r="B28" s="2"/>
      <c r="C28" s="2">
        <v>0.12</v>
      </c>
      <c r="E28" s="2">
        <f t="shared" si="2"/>
        <v>0</v>
      </c>
      <c r="F28" s="2">
        <f t="shared" si="5"/>
        <v>0.15</v>
      </c>
      <c r="H28" s="2"/>
      <c r="I28" s="2">
        <v>0.12</v>
      </c>
      <c r="K28" s="2">
        <f t="shared" si="3"/>
        <v>0</v>
      </c>
      <c r="L28" s="2">
        <f t="shared" si="6"/>
        <v>0.15</v>
      </c>
      <c r="M28" s="1"/>
      <c r="N28" s="2">
        <v>16.53</v>
      </c>
      <c r="O28" s="2">
        <v>0.12</v>
      </c>
      <c r="Q28" s="2">
        <f t="shared" si="4"/>
        <v>16.53</v>
      </c>
      <c r="R28" s="2">
        <f t="shared" si="7"/>
        <v>9.7807136334332925E-2</v>
      </c>
      <c r="S28" s="28"/>
      <c r="U28">
        <f t="shared" si="16"/>
        <v>-5.7722168778865143E-2</v>
      </c>
      <c r="V28">
        <f t="shared" si="17"/>
        <v>5.5530812808929908E-3</v>
      </c>
      <c r="Y28" s="2">
        <f t="shared" si="8"/>
        <v>16.53</v>
      </c>
      <c r="Z28" s="2">
        <f t="shared" si="9"/>
        <v>0.11271984590655688</v>
      </c>
      <c r="AA28" s="2">
        <f t="shared" si="10"/>
        <v>11.271984590655688</v>
      </c>
      <c r="AB28" s="1">
        <f>64/AB31</f>
        <v>1.2800360087912088E-2</v>
      </c>
      <c r="AG28">
        <f>(Q18^2/R18^2)*SQRT(2*9.81/(1+AH25*0.75/Q18))</f>
        <v>6.2449175336389594E-3</v>
      </c>
      <c r="AI28">
        <f t="shared" si="11"/>
        <v>0.11268380908827157</v>
      </c>
      <c r="AJ28">
        <f t="shared" si="12"/>
        <v>11.268380908827156</v>
      </c>
      <c r="AL28" s="2">
        <f t="shared" si="13"/>
        <v>16.53</v>
      </c>
      <c r="AM28" s="2">
        <f t="shared" si="14"/>
        <v>0.12113915385122692</v>
      </c>
      <c r="AN28" s="2">
        <f t="shared" si="15"/>
        <v>12.113915385122692</v>
      </c>
    </row>
    <row r="29" spans="2:41" x14ac:dyDescent="0.2">
      <c r="B29" s="2"/>
      <c r="C29" s="2">
        <v>0.11</v>
      </c>
      <c r="E29" s="2">
        <f t="shared" si="2"/>
        <v>0</v>
      </c>
      <c r="F29" s="2">
        <f t="shared" si="5"/>
        <v>0.15</v>
      </c>
      <c r="H29" s="2"/>
      <c r="I29" s="2">
        <v>0.11</v>
      </c>
      <c r="K29" s="2">
        <f t="shared" si="3"/>
        <v>0</v>
      </c>
      <c r="L29" s="2">
        <f t="shared" si="6"/>
        <v>0.15</v>
      </c>
      <c r="M29" s="1"/>
      <c r="N29" s="2">
        <v>22.69</v>
      </c>
      <c r="O29" s="2">
        <v>0.11</v>
      </c>
      <c r="Q29" s="2">
        <f t="shared" si="4"/>
        <v>22.69</v>
      </c>
      <c r="R29" s="2">
        <f t="shared" si="7"/>
        <v>8.120061982819253E-2</v>
      </c>
      <c r="S29" s="28"/>
      <c r="U29">
        <f t="shared" si="16"/>
        <v>-7.9232668456893529E-2</v>
      </c>
      <c r="V29">
        <f t="shared" si="17"/>
        <v>1.0463026251333355E-2</v>
      </c>
      <c r="Y29" s="2">
        <f t="shared" si="8"/>
        <v>22.69</v>
      </c>
      <c r="Z29" s="2">
        <f t="shared" si="9"/>
        <v>0.10018707472684638</v>
      </c>
      <c r="AA29" s="2">
        <f t="shared" si="10"/>
        <v>10.018707472684637</v>
      </c>
      <c r="AI29">
        <f t="shared" si="11"/>
        <v>0.10014044123816246</v>
      </c>
      <c r="AJ29">
        <f t="shared" si="12"/>
        <v>10.014044123816246</v>
      </c>
      <c r="AL29" s="2">
        <f t="shared" si="13"/>
        <v>22.69</v>
      </c>
      <c r="AM29" s="2">
        <f t="shared" si="14"/>
        <v>0.11117194667272029</v>
      </c>
      <c r="AN29" s="2">
        <f t="shared" si="15"/>
        <v>11.117194667272029</v>
      </c>
    </row>
    <row r="30" spans="2:41" x14ac:dyDescent="0.2">
      <c r="B30" s="2"/>
      <c r="C30" s="2">
        <v>0.1</v>
      </c>
      <c r="E30" s="2">
        <f t="shared" si="2"/>
        <v>0</v>
      </c>
      <c r="F30" s="2">
        <f t="shared" si="5"/>
        <v>0.15</v>
      </c>
      <c r="H30" s="2"/>
      <c r="I30" s="2">
        <v>0.1</v>
      </c>
      <c r="K30" s="2">
        <f t="shared" si="3"/>
        <v>0</v>
      </c>
      <c r="L30" s="2">
        <f t="shared" si="6"/>
        <v>0.15</v>
      </c>
      <c r="M30" s="1"/>
      <c r="N30" s="2">
        <v>28.94</v>
      </c>
      <c r="O30" s="2">
        <v>0.1</v>
      </c>
      <c r="Q30" s="2">
        <f t="shared" si="4"/>
        <v>28.94</v>
      </c>
      <c r="R30" s="2">
        <f t="shared" si="7"/>
        <v>6.5929388643967246E-2</v>
      </c>
      <c r="S30" s="28"/>
      <c r="U30">
        <f t="shared" si="16"/>
        <v>-0.10105744491593208</v>
      </c>
      <c r="V30">
        <f t="shared" si="17"/>
        <v>1.7021011954894416E-2</v>
      </c>
      <c r="Y30" s="2">
        <f t="shared" si="8"/>
        <v>28.94</v>
      </c>
      <c r="Z30" s="2">
        <f t="shared" si="9"/>
        <v>8.8225837843622243E-2</v>
      </c>
      <c r="AA30" s="2">
        <f t="shared" si="10"/>
        <v>8.8225837843622248</v>
      </c>
      <c r="AB30" s="1" t="s">
        <v>78</v>
      </c>
      <c r="AC30" s="1" t="s">
        <v>117</v>
      </c>
      <c r="AI30">
        <f t="shared" si="11"/>
        <v>8.8170024784196499E-2</v>
      </c>
      <c r="AJ30">
        <f t="shared" si="12"/>
        <v>8.8170024784196492</v>
      </c>
      <c r="AL30" s="2">
        <f t="shared" si="13"/>
        <v>28.94</v>
      </c>
      <c r="AM30" s="2">
        <f t="shared" si="14"/>
        <v>0.10149637233594026</v>
      </c>
      <c r="AN30" s="2">
        <f t="shared" si="15"/>
        <v>10.149637233594026</v>
      </c>
    </row>
    <row r="31" spans="2:41" x14ac:dyDescent="0.2">
      <c r="B31" s="2"/>
      <c r="C31" s="2">
        <v>0.09</v>
      </c>
      <c r="E31" s="2">
        <f t="shared" si="2"/>
        <v>0</v>
      </c>
      <c r="F31" s="2">
        <f t="shared" si="5"/>
        <v>0.15</v>
      </c>
      <c r="H31" s="2"/>
      <c r="I31" s="2">
        <v>0.09</v>
      </c>
      <c r="K31" s="2">
        <f t="shared" si="3"/>
        <v>0</v>
      </c>
      <c r="L31" s="2">
        <f t="shared" si="6"/>
        <v>0.15</v>
      </c>
      <c r="M31" s="1"/>
      <c r="N31" s="2">
        <v>35.58</v>
      </c>
      <c r="O31" s="2">
        <v>0.09</v>
      </c>
      <c r="Q31" s="2">
        <f t="shared" si="4"/>
        <v>35.58</v>
      </c>
      <c r="R31" s="2">
        <f t="shared" si="7"/>
        <v>5.1446447039592738E-2</v>
      </c>
      <c r="S31" s="28"/>
      <c r="U31">
        <f t="shared" si="16"/>
        <v>-0.12424408742601462</v>
      </c>
      <c r="V31">
        <f t="shared" si="17"/>
        <v>2.5727655433871944E-2</v>
      </c>
      <c r="Y31" s="2">
        <f t="shared" si="8"/>
        <v>35.58</v>
      </c>
      <c r="Z31" s="2">
        <f t="shared" si="9"/>
        <v>7.6350962272101766E-2</v>
      </c>
      <c r="AA31" s="2">
        <f t="shared" si="10"/>
        <v>7.6350962272101768</v>
      </c>
      <c r="AB31" s="1">
        <f>((0.15-0.01)/Y39)*(R18^2/Q18^2)*Q18/0.000001004</f>
        <v>4999.8593446162395</v>
      </c>
      <c r="AC31" s="1">
        <f>2*0.001*(W18/(V18*10^-6))*(0.15-0.01)/Y39 + (W18^2/(V18^2 * 10^-6)*0.00005*(0.15-0.01)/Y39) + (W18^2/(V18*10^-6*Y39)*0.001) + (W18^2/(V18*Y39*10^-6)*0.001) + 0.1*(0.15-0.01)*W18^2/(V18*10^-6*Y39^2)</f>
        <v>155.88543653399609</v>
      </c>
      <c r="AI31">
        <f t="shared" si="11"/>
        <v>7.6287131439157829E-2</v>
      </c>
      <c r="AJ31">
        <f t="shared" si="12"/>
        <v>7.6287131439157827</v>
      </c>
      <c r="AL31" s="2">
        <f t="shared" si="13"/>
        <v>35.58</v>
      </c>
      <c r="AM31" s="2">
        <f t="shared" si="14"/>
        <v>9.1699552458151867E-2</v>
      </c>
      <c r="AN31" s="2">
        <f t="shared" si="15"/>
        <v>9.1699552458151867</v>
      </c>
    </row>
    <row r="32" spans="2:41" x14ac:dyDescent="0.2">
      <c r="B32" s="2"/>
      <c r="C32" s="2">
        <v>0.08</v>
      </c>
      <c r="E32" s="2">
        <f t="shared" si="2"/>
        <v>0</v>
      </c>
      <c r="F32" s="2">
        <f t="shared" si="5"/>
        <v>0.15</v>
      </c>
      <c r="H32" s="2"/>
      <c r="I32" s="2">
        <v>0.08</v>
      </c>
      <c r="K32" s="2">
        <f t="shared" si="3"/>
        <v>0</v>
      </c>
      <c r="L32" s="2">
        <f t="shared" si="6"/>
        <v>0.15</v>
      </c>
      <c r="M32" s="1"/>
      <c r="N32" s="2">
        <v>43.08</v>
      </c>
      <c r="O32" s="2">
        <v>0.08</v>
      </c>
      <c r="Q32" s="2">
        <f t="shared" si="4"/>
        <v>43.08</v>
      </c>
      <c r="R32" s="2">
        <f t="shared" si="7"/>
        <v>3.7245158660239433E-2</v>
      </c>
      <c r="S32" s="28"/>
      <c r="U32">
        <f t="shared" si="16"/>
        <v>-0.15043381917686088</v>
      </c>
      <c r="V32">
        <f t="shared" si="17"/>
        <v>3.7717223253560798E-2</v>
      </c>
      <c r="Y32" s="2">
        <f t="shared" si="8"/>
        <v>43.08</v>
      </c>
      <c r="Z32" s="2">
        <f t="shared" si="9"/>
        <v>6.396988729954553E-2</v>
      </c>
      <c r="AA32" s="2">
        <f t="shared" si="10"/>
        <v>6.3969887299545531</v>
      </c>
      <c r="AB32" s="1"/>
      <c r="AI32">
        <f t="shared" si="11"/>
        <v>6.389914950984131E-2</v>
      </c>
      <c r="AJ32">
        <f t="shared" si="12"/>
        <v>6.3899149509841306</v>
      </c>
      <c r="AL32" s="2">
        <f t="shared" si="13"/>
        <v>43.08</v>
      </c>
      <c r="AM32" s="2">
        <f t="shared" si="14"/>
        <v>8.1231722901476691E-2</v>
      </c>
      <c r="AN32" s="2">
        <f t="shared" si="15"/>
        <v>8.1231722901476697</v>
      </c>
    </row>
    <row r="33" spans="2:40" x14ac:dyDescent="0.2">
      <c r="B33" s="2"/>
      <c r="C33" s="2">
        <v>7.0000000000000007E-2</v>
      </c>
      <c r="E33" s="2">
        <f t="shared" si="2"/>
        <v>0</v>
      </c>
      <c r="F33" s="2">
        <f t="shared" si="5"/>
        <v>0.15</v>
      </c>
      <c r="H33" s="2"/>
      <c r="I33" s="2">
        <v>7.0000000000000007E-2</v>
      </c>
      <c r="K33" s="2">
        <f t="shared" si="3"/>
        <v>0</v>
      </c>
      <c r="L33" s="2">
        <f t="shared" si="6"/>
        <v>0.15</v>
      </c>
      <c r="N33" s="2">
        <v>51.4</v>
      </c>
      <c r="O33" s="2">
        <v>7.0000000000000007E-2</v>
      </c>
      <c r="Q33" s="2">
        <f t="shared" si="4"/>
        <v>51.4</v>
      </c>
      <c r="R33" s="2">
        <f t="shared" si="7"/>
        <v>2.4168890792966413E-2</v>
      </c>
      <c r="S33" s="28"/>
      <c r="U33">
        <f t="shared" si="16"/>
        <v>-0.17948696159913299</v>
      </c>
      <c r="V33">
        <f t="shared" si="17"/>
        <v>5.3692615640147746E-2</v>
      </c>
      <c r="Y33" s="2">
        <f t="shared" si="8"/>
        <v>51.4</v>
      </c>
      <c r="Z33" s="2">
        <f t="shared" si="9"/>
        <v>5.1515765933311433E-2</v>
      </c>
      <c r="AA33" s="2">
        <f t="shared" si="10"/>
        <v>5.1515765933311437</v>
      </c>
      <c r="AB33" s="1"/>
      <c r="AI33">
        <f t="shared" si="11"/>
        <v>5.1440033552855757E-2</v>
      </c>
      <c r="AJ33">
        <f t="shared" si="12"/>
        <v>5.1440033552855757</v>
      </c>
      <c r="AL33" s="2">
        <f t="shared" si="13"/>
        <v>51.4</v>
      </c>
      <c r="AM33" s="2">
        <f t="shared" si="14"/>
        <v>7.0361430277444639E-2</v>
      </c>
      <c r="AN33" s="2">
        <f t="shared" si="15"/>
        <v>7.0361430277444637</v>
      </c>
    </row>
    <row r="34" spans="2:40" x14ac:dyDescent="0.2">
      <c r="B34" s="2"/>
      <c r="C34" s="2">
        <v>0.06</v>
      </c>
      <c r="E34" s="2">
        <f t="shared" si="2"/>
        <v>0</v>
      </c>
      <c r="F34" s="2">
        <f t="shared" si="5"/>
        <v>0.15</v>
      </c>
      <c r="H34" s="2"/>
      <c r="I34" s="2">
        <v>0.06</v>
      </c>
      <c r="K34" s="2">
        <f t="shared" si="3"/>
        <v>0</v>
      </c>
      <c r="L34" s="2">
        <f t="shared" si="6"/>
        <v>0.15</v>
      </c>
      <c r="N34" s="2">
        <v>60.22</v>
      </c>
      <c r="O34" s="2">
        <v>0.06</v>
      </c>
      <c r="Q34" s="2">
        <f t="shared" si="4"/>
        <v>60.22</v>
      </c>
      <c r="R34" s="2">
        <f t="shared" si="7"/>
        <v>1.3382253589976495E-2</v>
      </c>
      <c r="S34" s="28"/>
      <c r="U34">
        <f t="shared" si="16"/>
        <v>-0.21028608613812819</v>
      </c>
      <c r="V34">
        <f t="shared" si="17"/>
        <v>7.3700396705487115E-2</v>
      </c>
      <c r="Y34" s="2">
        <f t="shared" si="8"/>
        <v>60.22</v>
      </c>
      <c r="Z34" s="2">
        <f t="shared" si="9"/>
        <v>3.9784052305324641E-2</v>
      </c>
      <c r="AA34" s="2">
        <f t="shared" si="10"/>
        <v>3.9784052305324642</v>
      </c>
      <c r="AB34" s="1"/>
      <c r="AI34">
        <f t="shared" si="11"/>
        <v>3.9706088963937375E-2</v>
      </c>
      <c r="AJ34">
        <f t="shared" si="12"/>
        <v>3.9706088963937374</v>
      </c>
      <c r="AL34" s="2">
        <f t="shared" si="13"/>
        <v>60.22</v>
      </c>
      <c r="AM34" s="2">
        <f t="shared" si="14"/>
        <v>5.9690120916384197E-2</v>
      </c>
      <c r="AN34" s="2">
        <f t="shared" si="15"/>
        <v>5.9690120916384197</v>
      </c>
    </row>
    <row r="35" spans="2:40" x14ac:dyDescent="0.2">
      <c r="B35" s="2"/>
      <c r="C35" s="2">
        <v>0.05</v>
      </c>
      <c r="E35" s="2">
        <f t="shared" si="2"/>
        <v>0</v>
      </c>
      <c r="F35" s="2">
        <f t="shared" si="5"/>
        <v>0.15</v>
      </c>
      <c r="H35" s="2"/>
      <c r="I35" s="2">
        <v>0.05</v>
      </c>
      <c r="K35" s="2">
        <f t="shared" si="3"/>
        <v>0</v>
      </c>
      <c r="L35" s="2">
        <f t="shared" si="6"/>
        <v>0.15</v>
      </c>
      <c r="N35" s="2">
        <v>69.87</v>
      </c>
      <c r="O35" s="2">
        <v>0.05</v>
      </c>
      <c r="Q35" s="2">
        <f t="shared" si="4"/>
        <v>69.87</v>
      </c>
      <c r="R35" s="2">
        <f t="shared" si="7"/>
        <v>5.2065278486190386E-3</v>
      </c>
      <c r="S35" s="28"/>
      <c r="U35">
        <f t="shared" si="16"/>
        <v>-0.24398354099088371</v>
      </c>
      <c r="V35">
        <f t="shared" si="17"/>
        <v>9.9213280457417063E-2</v>
      </c>
      <c r="Y35" s="2">
        <f t="shared" si="8"/>
        <v>69.87</v>
      </c>
      <c r="Z35" s="2">
        <f t="shared" si="9"/>
        <v>2.8682473012117345E-2</v>
      </c>
      <c r="AA35" s="2">
        <f t="shared" si="10"/>
        <v>2.8682473012117344</v>
      </c>
      <c r="AB35" s="1"/>
      <c r="AI35">
        <f t="shared" si="11"/>
        <v>2.8605680978209539E-2</v>
      </c>
      <c r="AJ35">
        <f t="shared" si="12"/>
        <v>2.8605680978209538</v>
      </c>
      <c r="AL35" s="2">
        <f t="shared" si="13"/>
        <v>69.87</v>
      </c>
      <c r="AM35" s="2">
        <f t="shared" si="14"/>
        <v>4.9019395766336772E-2</v>
      </c>
      <c r="AN35" s="2">
        <f t="shared" si="15"/>
        <v>4.9019395766336773</v>
      </c>
    </row>
    <row r="36" spans="2:40" x14ac:dyDescent="0.2">
      <c r="B36" s="2"/>
      <c r="C36" s="2">
        <v>0.04</v>
      </c>
      <c r="E36" s="2">
        <f t="shared" si="2"/>
        <v>0</v>
      </c>
      <c r="F36" s="2">
        <f t="shared" si="5"/>
        <v>0.15</v>
      </c>
      <c r="H36" s="2"/>
      <c r="I36" s="2">
        <v>0.04</v>
      </c>
      <c r="K36" s="2">
        <f t="shared" si="3"/>
        <v>0</v>
      </c>
      <c r="L36" s="2">
        <f t="shared" si="6"/>
        <v>0.15</v>
      </c>
      <c r="N36" s="2">
        <v>79.8</v>
      </c>
      <c r="O36" s="2">
        <v>0.04</v>
      </c>
      <c r="Q36" s="2">
        <f t="shared" si="4"/>
        <v>79.8</v>
      </c>
      <c r="R36" s="2">
        <f t="shared" si="7"/>
        <v>7.4900431110255794E-4</v>
      </c>
      <c r="S36" s="28"/>
      <c r="U36">
        <f t="shared" si="16"/>
        <v>-0.27865874582900413</v>
      </c>
      <c r="V36">
        <f t="shared" si="17"/>
        <v>0.12941782771165589</v>
      </c>
      <c r="Y36" s="2">
        <f t="shared" si="8"/>
        <v>79.8</v>
      </c>
      <c r="Z36" s="2">
        <f t="shared" si="9"/>
        <v>1.9150472750432333E-2</v>
      </c>
      <c r="AA36" s="2">
        <f t="shared" si="10"/>
        <v>1.9150472750432332</v>
      </c>
      <c r="AB36" s="1"/>
      <c r="AI36">
        <f t="shared" si="11"/>
        <v>1.9078826415401862E-2</v>
      </c>
      <c r="AJ36">
        <f t="shared" si="12"/>
        <v>1.9078826415401862</v>
      </c>
      <c r="AL36" s="2">
        <f t="shared" si="13"/>
        <v>79.8</v>
      </c>
      <c r="AM36" s="2">
        <f t="shared" si="14"/>
        <v>3.9135147027144393E-2</v>
      </c>
      <c r="AN36" s="2">
        <f t="shared" si="15"/>
        <v>3.9135147027144392</v>
      </c>
    </row>
    <row r="37" spans="2:40" x14ac:dyDescent="0.2">
      <c r="B37" s="2"/>
      <c r="C37" s="2">
        <v>0.03</v>
      </c>
      <c r="E37" s="2">
        <f t="shared" si="2"/>
        <v>0</v>
      </c>
      <c r="F37" s="2">
        <f t="shared" si="5"/>
        <v>0.15</v>
      </c>
      <c r="H37" s="2"/>
      <c r="I37" s="2">
        <v>0.03</v>
      </c>
      <c r="K37" s="2">
        <f t="shared" si="3"/>
        <v>0</v>
      </c>
      <c r="L37" s="2">
        <f>$L$13-($N$6^2/$B$12^2)*SQRT(2*9.81*$L$13)*K37+((($N$6^2/$B$12^2)^2)*(9.81/2)*K37^2)</f>
        <v>0.15</v>
      </c>
      <c r="N37" s="2">
        <v>90.38</v>
      </c>
      <c r="O37" s="2">
        <v>0.03</v>
      </c>
      <c r="Q37" s="2">
        <f t="shared" si="4"/>
        <v>90.38</v>
      </c>
      <c r="R37" s="2">
        <f t="shared" si="7"/>
        <v>4.1421006588640563E-4</v>
      </c>
      <c r="S37" s="28"/>
      <c r="U37">
        <f t="shared" si="16"/>
        <v>-0.31560372741886455</v>
      </c>
      <c r="V37">
        <f t="shared" si="17"/>
        <v>0.16600952126780161</v>
      </c>
      <c r="Y37" s="2">
        <f t="shared" si="8"/>
        <v>90.38</v>
      </c>
      <c r="Z37" s="2">
        <f t="shared" si="9"/>
        <v>1.1105781620661816E-2</v>
      </c>
      <c r="AA37" s="2">
        <f t="shared" si="10"/>
        <v>1.1105781620661817</v>
      </c>
      <c r="AB37" s="1"/>
      <c r="AI37">
        <f t="shared" si="11"/>
        <v>1.1044015560166412E-2</v>
      </c>
      <c r="AJ37">
        <f t="shared" si="12"/>
        <v>1.1044015560166411</v>
      </c>
      <c r="AL37" s="2">
        <f t="shared" si="13"/>
        <v>90.38</v>
      </c>
      <c r="AM37" s="2">
        <f t="shared" si="14"/>
        <v>2.9827204187128288E-2</v>
      </c>
      <c r="AN37" s="2">
        <f t="shared" si="15"/>
        <v>2.9827204187128289</v>
      </c>
    </row>
    <row r="38" spans="2:40" x14ac:dyDescent="0.2">
      <c r="B38" s="2"/>
      <c r="C38" s="2">
        <v>0.02</v>
      </c>
      <c r="E38" s="2">
        <f t="shared" si="2"/>
        <v>0</v>
      </c>
      <c r="F38" s="2">
        <f t="shared" si="5"/>
        <v>0.15</v>
      </c>
      <c r="H38" s="2"/>
      <c r="I38" s="2">
        <v>0.02</v>
      </c>
      <c r="K38" s="2">
        <f t="shared" si="3"/>
        <v>0</v>
      </c>
      <c r="L38" s="2">
        <f t="shared" si="6"/>
        <v>0.15</v>
      </c>
      <c r="N38" s="2">
        <v>105.55</v>
      </c>
      <c r="O38" s="2">
        <v>0.02</v>
      </c>
      <c r="Q38" s="2">
        <f t="shared" si="4"/>
        <v>105.55</v>
      </c>
      <c r="R38" s="2">
        <f t="shared" si="7"/>
        <v>7.8810022252566725E-3</v>
      </c>
      <c r="S38" s="28"/>
      <c r="U38">
        <f t="shared" si="16"/>
        <v>-0.3685768248402429</v>
      </c>
      <c r="V38">
        <f t="shared" si="17"/>
        <v>0.22641479301552525</v>
      </c>
      <c r="Y38" s="2">
        <f t="shared" si="8"/>
        <v>105.55</v>
      </c>
      <c r="Z38" s="2">
        <f t="shared" si="9"/>
        <v>3.371605697263004E-3</v>
      </c>
      <c r="AA38" s="2">
        <f t="shared" si="10"/>
        <v>0.33716056972630037</v>
      </c>
      <c r="AB38" s="1"/>
      <c r="AI38">
        <f t="shared" si="11"/>
        <v>3.331923000129368E-3</v>
      </c>
      <c r="AJ38">
        <f t="shared" si="12"/>
        <v>0.33319230001293682</v>
      </c>
      <c r="AL38" s="2">
        <f t="shared" si="13"/>
        <v>105.55</v>
      </c>
      <c r="AM38" s="2">
        <f t="shared" si="14"/>
        <v>1.8683284991972499E-2</v>
      </c>
      <c r="AN38" s="2">
        <f t="shared" si="15"/>
        <v>1.8683284991972497</v>
      </c>
    </row>
    <row r="39" spans="2:40" x14ac:dyDescent="0.2">
      <c r="B39" s="2"/>
      <c r="C39" s="2">
        <v>0.01</v>
      </c>
      <c r="E39" s="2">
        <f t="shared" si="2"/>
        <v>0</v>
      </c>
      <c r="F39" s="2">
        <f t="shared" si="5"/>
        <v>0.15</v>
      </c>
      <c r="H39" s="2"/>
      <c r="I39" s="2">
        <v>0.01</v>
      </c>
      <c r="K39" s="2">
        <f t="shared" si="3"/>
        <v>0</v>
      </c>
      <c r="L39" s="2">
        <f t="shared" si="6"/>
        <v>0.15</v>
      </c>
      <c r="M39" s="1"/>
      <c r="N39" s="2">
        <v>120.51</v>
      </c>
      <c r="O39" s="2">
        <v>0.01</v>
      </c>
      <c r="Q39" s="2">
        <f t="shared" si="4"/>
        <v>120.51</v>
      </c>
      <c r="R39" s="2">
        <f t="shared" si="7"/>
        <v>2.4414275438887634E-2</v>
      </c>
      <c r="S39" s="28"/>
      <c r="U39">
        <f t="shared" si="16"/>
        <v>-0.42081660977259761</v>
      </c>
      <c r="V39">
        <f>$U$23*N39^2*9.8/2</f>
        <v>0.29514436510083786</v>
      </c>
      <c r="Y39" s="2">
        <f t="shared" si="8"/>
        <v>120.51</v>
      </c>
      <c r="Z39" s="2">
        <f t="shared" si="9"/>
        <v>1.3000835962694658E-4</v>
      </c>
      <c r="AA39" s="2">
        <f t="shared" si="10"/>
        <v>1.3000835962694659E-2</v>
      </c>
      <c r="AB39" s="1"/>
      <c r="AI39">
        <f t="shared" si="11"/>
        <v>1.212383471484325E-4</v>
      </c>
      <c r="AJ39">
        <f t="shared" si="12"/>
        <v>1.2123834714843251E-2</v>
      </c>
      <c r="AL39" s="2">
        <f t="shared" si="13"/>
        <v>120.51</v>
      </c>
      <c r="AM39" s="2">
        <f t="shared" si="14"/>
        <v>1.0234700474114769E-2</v>
      </c>
      <c r="AN39" s="2">
        <f t="shared" si="15"/>
        <v>1.0234700474114768</v>
      </c>
    </row>
    <row r="40" spans="2:40" x14ac:dyDescent="0.2">
      <c r="B40" s="2"/>
      <c r="C40" s="2">
        <v>0</v>
      </c>
      <c r="E40" s="2">
        <f t="shared" si="2"/>
        <v>0</v>
      </c>
      <c r="F40" s="2">
        <f t="shared" si="5"/>
        <v>0.15</v>
      </c>
      <c r="H40" s="2"/>
      <c r="I40" s="2">
        <v>0</v>
      </c>
      <c r="K40" s="2">
        <f t="shared" si="3"/>
        <v>0</v>
      </c>
      <c r="L40" s="2">
        <f t="shared" si="6"/>
        <v>0.15</v>
      </c>
      <c r="M40" s="1"/>
      <c r="N40" s="2"/>
      <c r="O40" s="2">
        <v>0</v>
      </c>
      <c r="Q40" s="2">
        <f t="shared" si="4"/>
        <v>0</v>
      </c>
      <c r="R40" s="2">
        <f t="shared" si="7"/>
        <v>0.15</v>
      </c>
      <c r="S40" s="28"/>
      <c r="U40">
        <f t="shared" si="16"/>
        <v>0</v>
      </c>
      <c r="V40">
        <f t="shared" si="17"/>
        <v>0</v>
      </c>
      <c r="Y40" s="2">
        <f t="shared" si="8"/>
        <v>0</v>
      </c>
      <c r="Z40" s="2">
        <f t="shared" si="9"/>
        <v>0.15000000000000002</v>
      </c>
      <c r="AA40" s="2">
        <f t="shared" si="10"/>
        <v>15.000000000000002</v>
      </c>
      <c r="AB40" s="1"/>
    </row>
    <row r="41" spans="2:40" ht="17" thickBot="1" x14ac:dyDescent="0.25"/>
    <row r="42" spans="2:40" x14ac:dyDescent="0.2">
      <c r="Y42" t="s">
        <v>106</v>
      </c>
      <c r="Z42" s="32" t="s">
        <v>108</v>
      </c>
      <c r="AA42" s="33" t="s">
        <v>109</v>
      </c>
    </row>
    <row r="43" spans="2:40" ht="17" thickBot="1" x14ac:dyDescent="0.25">
      <c r="Y43" t="s">
        <v>107</v>
      </c>
      <c r="Z43" s="34">
        <f>(-Q18/S18)+((9.81*Q18^5)/(2*S18*(N62/100)*R18^4))</f>
        <v>3.0203710536671168E-2</v>
      </c>
      <c r="AA43" s="35">
        <f>(-Q18/S18)+(2*9.81*0.15*Q18^5)/(S18*R18^4*(O62/100)^2)</f>
        <v>3.1012785534373907E-2</v>
      </c>
    </row>
    <row r="44" spans="2:40" x14ac:dyDescent="0.2">
      <c r="N44" s="2" t="s">
        <v>15</v>
      </c>
      <c r="O44" s="2" t="s">
        <v>40</v>
      </c>
      <c r="P44" s="2" t="s">
        <v>39</v>
      </c>
      <c r="Z44">
        <f>((2*9.81*Q18^5)/(S18*(N62/100)*R18^5))*0.001+((5*9.81*Q18^4)/(2*S18*(N62/100)*R18^4)-(1)/(S18))*0.00005+((9.81*Q18^5)/(2*S18*R18^4*(N62/100)^2))*(N63/100)</f>
        <v>3.2584942963945615E-3</v>
      </c>
      <c r="AA44">
        <f>((8*9.81*Q18^5)/(S18*(O62/100)^2*R18^5))*0.001+((2*5*9.81*Q18^4)/(S18*(O62/100)^2*R18^4)-(1)/(S18))*0.00005+((4*9.81*Q18^5)/(S18*R18^4*(-O62/100)^3))*(O63/100)</f>
        <v>2.0312639049911436E-2</v>
      </c>
    </row>
    <row r="45" spans="2:40" x14ac:dyDescent="0.2">
      <c r="N45" s="30">
        <f>N25</f>
        <v>0</v>
      </c>
      <c r="O45" s="2">
        <f>O25*100</f>
        <v>15</v>
      </c>
      <c r="P45" s="2">
        <f>R25*100</f>
        <v>15</v>
      </c>
    </row>
    <row r="46" spans="2:40" x14ac:dyDescent="0.2">
      <c r="N46" s="30">
        <f t="shared" ref="N46:N58" si="18">N26</f>
        <v>5.38</v>
      </c>
      <c r="O46" s="2">
        <f t="shared" ref="O46:O59" si="19">O26*100</f>
        <v>14.000000000000002</v>
      </c>
      <c r="P46" s="2">
        <f>R26*100</f>
        <v>13.179248775165531</v>
      </c>
      <c r="Z46" t="s">
        <v>112</v>
      </c>
      <c r="AA46" t="s">
        <v>98</v>
      </c>
    </row>
    <row r="47" spans="2:40" x14ac:dyDescent="0.2">
      <c r="N47" s="30">
        <f t="shared" si="18"/>
        <v>10.68</v>
      </c>
      <c r="O47" s="2">
        <f t="shared" si="19"/>
        <v>13</v>
      </c>
      <c r="P47" s="2">
        <f t="shared" ref="P47:P59" si="20">R27*100</f>
        <v>11.500725745347475</v>
      </c>
      <c r="Z47">
        <f>AVERAGE(AA43,Z43)</f>
        <v>3.0608248035522537E-2</v>
      </c>
      <c r="AA47">
        <f>Z44+AA44</f>
        <v>2.3571133346305999E-2</v>
      </c>
    </row>
    <row r="48" spans="2:40" x14ac:dyDescent="0.2">
      <c r="N48" s="30">
        <f t="shared" si="18"/>
        <v>16.53</v>
      </c>
      <c r="O48" s="2">
        <f t="shared" si="19"/>
        <v>12</v>
      </c>
      <c r="P48" s="2">
        <f t="shared" si="20"/>
        <v>9.780713633433292</v>
      </c>
      <c r="Y48" s="2"/>
      <c r="Z48" s="2"/>
    </row>
    <row r="49" spans="13:34" x14ac:dyDescent="0.2">
      <c r="N49" s="30">
        <f t="shared" si="18"/>
        <v>22.69</v>
      </c>
      <c r="O49" s="2">
        <f t="shared" si="19"/>
        <v>11</v>
      </c>
      <c r="P49" s="2">
        <f t="shared" si="20"/>
        <v>8.1200619828192533</v>
      </c>
      <c r="Y49" s="2"/>
      <c r="Z49" s="2"/>
      <c r="AF49" s="1"/>
      <c r="AH49" s="1"/>
    </row>
    <row r="50" spans="13:34" x14ac:dyDescent="0.2">
      <c r="N50" s="30">
        <f t="shared" si="18"/>
        <v>28.94</v>
      </c>
      <c r="O50" s="2">
        <f t="shared" si="19"/>
        <v>10</v>
      </c>
      <c r="P50" s="2">
        <f t="shared" si="20"/>
        <v>6.5929388643967251</v>
      </c>
      <c r="Y50" s="2"/>
      <c r="Z50" s="2"/>
      <c r="AD50" s="1"/>
      <c r="AE50" s="1"/>
      <c r="AF50" s="1"/>
      <c r="AG50" s="2"/>
      <c r="AH50" s="2"/>
    </row>
    <row r="51" spans="13:34" x14ac:dyDescent="0.2">
      <c r="N51" s="30">
        <f t="shared" si="18"/>
        <v>35.58</v>
      </c>
      <c r="O51" s="2">
        <f t="shared" si="19"/>
        <v>9</v>
      </c>
      <c r="P51" s="2">
        <f t="shared" si="20"/>
        <v>5.1446447039592735</v>
      </c>
      <c r="Y51" s="2"/>
      <c r="Z51" s="2"/>
      <c r="AD51" s="1"/>
      <c r="AE51" s="1"/>
      <c r="AF51" s="1"/>
      <c r="AG51" s="2"/>
      <c r="AH51" s="37"/>
    </row>
    <row r="52" spans="13:34" x14ac:dyDescent="0.2">
      <c r="N52" s="30">
        <f t="shared" si="18"/>
        <v>43.08</v>
      </c>
      <c r="O52" s="2">
        <f t="shared" si="19"/>
        <v>8</v>
      </c>
      <c r="P52" s="2">
        <f t="shared" si="20"/>
        <v>3.7245158660239435</v>
      </c>
      <c r="Y52" s="2"/>
      <c r="Z52" s="2"/>
      <c r="AD52" s="1"/>
      <c r="AE52" s="1"/>
      <c r="AF52" s="1"/>
      <c r="AG52" s="36"/>
      <c r="AH52" s="1"/>
    </row>
    <row r="53" spans="13:34" x14ac:dyDescent="0.2">
      <c r="N53" s="30">
        <f t="shared" si="18"/>
        <v>51.4</v>
      </c>
      <c r="O53" s="2">
        <f t="shared" si="19"/>
        <v>7.0000000000000009</v>
      </c>
      <c r="P53" s="2">
        <f t="shared" si="20"/>
        <v>2.4168890792966415</v>
      </c>
      <c r="Y53" s="2"/>
      <c r="Z53" s="2"/>
      <c r="AD53" s="1"/>
      <c r="AE53" s="1"/>
      <c r="AF53" s="1"/>
      <c r="AH53" s="1"/>
    </row>
    <row r="54" spans="13:34" x14ac:dyDescent="0.2">
      <c r="N54" s="30">
        <f t="shared" si="18"/>
        <v>60.22</v>
      </c>
      <c r="O54" s="2">
        <f t="shared" si="19"/>
        <v>6</v>
      </c>
      <c r="P54" s="2">
        <f t="shared" si="20"/>
        <v>1.3382253589976494</v>
      </c>
      <c r="Y54" s="2"/>
      <c r="Z54" s="2"/>
      <c r="AD54" s="1"/>
      <c r="AE54" s="1"/>
      <c r="AF54" s="1"/>
      <c r="AH54" s="1"/>
    </row>
    <row r="55" spans="13:34" x14ac:dyDescent="0.2">
      <c r="N55" s="30">
        <f>N35</f>
        <v>69.87</v>
      </c>
      <c r="O55" s="2">
        <f t="shared" si="19"/>
        <v>5</v>
      </c>
      <c r="P55" s="2">
        <f t="shared" si="20"/>
        <v>0.52065278486190381</v>
      </c>
      <c r="Y55" s="2"/>
      <c r="Z55" s="2"/>
      <c r="AD55" s="1"/>
      <c r="AE55" s="1"/>
      <c r="AF55" s="1"/>
      <c r="AH55" s="1"/>
    </row>
    <row r="56" spans="13:34" x14ac:dyDescent="0.2">
      <c r="N56" s="30">
        <f t="shared" si="18"/>
        <v>79.8</v>
      </c>
      <c r="O56" s="2">
        <f t="shared" si="19"/>
        <v>4</v>
      </c>
      <c r="P56" s="2">
        <f t="shared" si="20"/>
        <v>7.4900431110255794E-2</v>
      </c>
      <c r="Y56" s="2"/>
      <c r="Z56" s="2"/>
    </row>
    <row r="57" spans="13:34" x14ac:dyDescent="0.2">
      <c r="N57" s="30">
        <f t="shared" si="18"/>
        <v>90.38</v>
      </c>
      <c r="O57" s="2">
        <f t="shared" si="19"/>
        <v>3</v>
      </c>
      <c r="P57" s="2">
        <f t="shared" si="20"/>
        <v>4.1421006588640563E-2</v>
      </c>
      <c r="Y57" s="2"/>
      <c r="Z57" s="2"/>
    </row>
    <row r="58" spans="13:34" x14ac:dyDescent="0.2">
      <c r="N58" s="30">
        <f t="shared" si="18"/>
        <v>105.55</v>
      </c>
      <c r="O58" s="2">
        <f t="shared" si="19"/>
        <v>2</v>
      </c>
      <c r="P58" s="2">
        <f t="shared" si="20"/>
        <v>0.78810022252566725</v>
      </c>
      <c r="Y58" s="2"/>
      <c r="Z58" s="2"/>
    </row>
    <row r="59" spans="13:34" x14ac:dyDescent="0.2">
      <c r="N59" s="30">
        <f>N39</f>
        <v>120.51</v>
      </c>
      <c r="O59" s="2">
        <f t="shared" si="19"/>
        <v>1</v>
      </c>
      <c r="P59" s="2">
        <f t="shared" si="20"/>
        <v>2.4414275438887634</v>
      </c>
      <c r="R59" s="1"/>
      <c r="S59" s="1"/>
      <c r="T59" s="1"/>
      <c r="U59" s="1"/>
      <c r="Y59" s="2"/>
      <c r="Z59" s="2"/>
    </row>
    <row r="60" spans="13:34" x14ac:dyDescent="0.2">
      <c r="R60" s="1"/>
      <c r="S60" s="38"/>
      <c r="T60" s="39"/>
      <c r="U60" s="39"/>
      <c r="Y60" s="2"/>
      <c r="Z60" s="2"/>
    </row>
    <row r="61" spans="13:34" x14ac:dyDescent="0.2">
      <c r="N61" t="s">
        <v>46</v>
      </c>
      <c r="O61" t="s">
        <v>48</v>
      </c>
      <c r="P61" t="s">
        <v>49</v>
      </c>
      <c r="R61" s="1"/>
      <c r="S61" s="39"/>
      <c r="T61" s="39"/>
      <c r="U61" s="39"/>
      <c r="Y61" s="2"/>
      <c r="Z61" s="2"/>
    </row>
    <row r="62" spans="13:34" x14ac:dyDescent="0.2">
      <c r="N62" cm="1">
        <f t="array" ref="N62:P66">LINEST(O45:O59,N45:N59^COLUMN($A:$B), TRUE,TRUE)</f>
        <v>5.6918683917918421E-4</v>
      </c>
      <c r="O62">
        <v>-0.18304320541405983</v>
      </c>
      <c r="P62">
        <v>14.903477378167665</v>
      </c>
      <c r="R62" s="1"/>
      <c r="S62" s="39"/>
      <c r="T62" s="39"/>
      <c r="U62" s="39"/>
      <c r="Y62" s="2"/>
      <c r="Z62" s="2"/>
    </row>
    <row r="63" spans="13:34" x14ac:dyDescent="0.2">
      <c r="M63" t="s">
        <v>111</v>
      </c>
      <c r="N63">
        <v>1.728474656399703E-5</v>
      </c>
      <c r="O63">
        <v>2.0675569158975005E-3</v>
      </c>
      <c r="P63">
        <v>4.8717010715878979E-2</v>
      </c>
      <c r="R63" s="1"/>
      <c r="S63" s="1"/>
      <c r="T63" s="1"/>
      <c r="U63" s="1"/>
      <c r="Y63" s="2"/>
      <c r="Z63" s="2"/>
    </row>
    <row r="64" spans="13:34" x14ac:dyDescent="0.2">
      <c r="M64" t="s">
        <v>44</v>
      </c>
      <c r="N64">
        <v>0.99971309894094029</v>
      </c>
      <c r="O64">
        <v>8.1819056733294829E-2</v>
      </c>
      <c r="P64" t="e">
        <v>#N/A</v>
      </c>
      <c r="R64" s="1"/>
      <c r="S64" s="1"/>
      <c r="T64" s="1"/>
      <c r="U64" s="1"/>
    </row>
    <row r="65" spans="14:21" x14ac:dyDescent="0.2">
      <c r="N65">
        <v>20907.132979239646</v>
      </c>
      <c r="O65">
        <v>12</v>
      </c>
      <c r="P65" t="e">
        <v>#N/A</v>
      </c>
      <c r="R65" s="1"/>
      <c r="S65" s="29"/>
      <c r="T65" s="1"/>
      <c r="U65" s="1"/>
    </row>
    <row r="66" spans="14:21" x14ac:dyDescent="0.2">
      <c r="N66">
        <v>279.91966770346329</v>
      </c>
      <c r="O66">
        <v>8.0332296536713407E-2</v>
      </c>
      <c r="P66" t="e">
        <v>#N/A</v>
      </c>
      <c r="R66" s="1"/>
      <c r="S66" s="1"/>
      <c r="T66" s="1"/>
      <c r="U66" s="1"/>
    </row>
    <row r="67" spans="14:21" x14ac:dyDescent="0.2">
      <c r="R67" s="1"/>
      <c r="S67" s="1"/>
      <c r="T67" s="1"/>
      <c r="U6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Sense manguera</vt:lpstr>
      <vt:lpstr>SENSE MAN</vt:lpstr>
      <vt:lpstr>Manguera 1</vt:lpstr>
      <vt:lpstr>Manguera 2</vt:lpstr>
      <vt:lpstr>Manguera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 Ribot Oliver</dc:creator>
  <cp:keywords/>
  <dc:description/>
  <cp:lastModifiedBy>Joan Ribot</cp:lastModifiedBy>
  <cp:revision/>
  <dcterms:created xsi:type="dcterms:W3CDTF">2023-03-16T09:42:11Z</dcterms:created>
  <dcterms:modified xsi:type="dcterms:W3CDTF">2023-05-03T09:48:01Z</dcterms:modified>
  <cp:category/>
  <cp:contentStatus/>
</cp:coreProperties>
</file>