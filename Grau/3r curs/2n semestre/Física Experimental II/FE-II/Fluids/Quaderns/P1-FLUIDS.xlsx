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bes-my.sharepoint.com/personal/jro754_id_uib_cat/Documents/"/>
    </mc:Choice>
  </mc:AlternateContent>
  <xr:revisionPtr revIDLastSave="13" documentId="101_{45B60BDD-4FB0-4A62-8825-70B1E093D305}" xr6:coauthVersionLast="47" xr6:coauthVersionMax="47" xr10:uidLastSave="{379CC6CE-B6E1-9145-817D-F64E85B1D91C}"/>
  <bookViews>
    <workbookView xWindow="0" yWindow="500" windowWidth="28800" windowHeight="16360" xr2:uid="{00000000-000D-0000-FFFF-FFFF00000000}"/>
  </bookViews>
  <sheets>
    <sheet name="Ful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5" i="1" l="1"/>
  <c r="T14" i="1"/>
  <c r="U14" i="1"/>
  <c r="D14" i="1"/>
  <c r="E14" i="1" s="1"/>
  <c r="F14" i="1" s="1"/>
  <c r="G185" i="1"/>
  <c r="H185" i="1"/>
  <c r="I185" i="1"/>
  <c r="J185" i="1"/>
  <c r="L185" i="1"/>
  <c r="M185" i="1" s="1"/>
  <c r="T185" i="1"/>
  <c r="X185" i="1" s="1"/>
  <c r="Y185" i="1" s="1"/>
  <c r="AB185" i="1"/>
  <c r="AC185" i="1" s="1"/>
  <c r="AI185" i="1"/>
  <c r="AJ185" i="1"/>
  <c r="AK185" i="1"/>
  <c r="AL185" i="1"/>
  <c r="J186" i="1"/>
  <c r="L186" i="1"/>
  <c r="T186" i="1"/>
  <c r="V186" i="1" s="1"/>
  <c r="X186" i="1"/>
  <c r="Z186" i="1"/>
  <c r="J187" i="1"/>
  <c r="L187" i="1"/>
  <c r="T187" i="1"/>
  <c r="X187" i="1" s="1"/>
  <c r="V187" i="1"/>
  <c r="Z187" i="1"/>
  <c r="AB187" i="1"/>
  <c r="J188" i="1"/>
  <c r="L188" i="1"/>
  <c r="T188" i="1"/>
  <c r="V188" i="1" s="1"/>
  <c r="X188" i="1"/>
  <c r="AB188" i="1"/>
  <c r="J189" i="1"/>
  <c r="L189" i="1"/>
  <c r="T189" i="1"/>
  <c r="V189" i="1" s="1"/>
  <c r="Z189" i="1"/>
  <c r="J190" i="1"/>
  <c r="K185" i="1" s="1"/>
  <c r="L190" i="1"/>
  <c r="AB190" i="1" s="1"/>
  <c r="T190" i="1"/>
  <c r="V190" i="1"/>
  <c r="X190" i="1"/>
  <c r="Z190" i="1"/>
  <c r="J191" i="1"/>
  <c r="L191" i="1"/>
  <c r="T191" i="1"/>
  <c r="Z191" i="1" s="1"/>
  <c r="J192" i="1"/>
  <c r="L192" i="1"/>
  <c r="T192" i="1"/>
  <c r="AB192" i="1" s="1"/>
  <c r="J193" i="1"/>
  <c r="L193" i="1"/>
  <c r="AB193" i="1" s="1"/>
  <c r="T193" i="1"/>
  <c r="V193" i="1"/>
  <c r="X193" i="1"/>
  <c r="Z193" i="1"/>
  <c r="J194" i="1"/>
  <c r="L194" i="1"/>
  <c r="T194" i="1"/>
  <c r="V194" i="1" s="1"/>
  <c r="X194" i="1"/>
  <c r="Z194" i="1"/>
  <c r="G170" i="1"/>
  <c r="H170" i="1"/>
  <c r="I170" i="1"/>
  <c r="J170" i="1"/>
  <c r="K170" i="1" s="1"/>
  <c r="L170" i="1"/>
  <c r="T170" i="1"/>
  <c r="X170" i="1" s="1"/>
  <c r="Y170" i="1" s="1"/>
  <c r="V170" i="1"/>
  <c r="W170" i="1" s="1"/>
  <c r="AB170" i="1"/>
  <c r="AC170" i="1" s="1"/>
  <c r="AI170" i="1"/>
  <c r="AJ170" i="1"/>
  <c r="AK170" i="1"/>
  <c r="AL170" i="1"/>
  <c r="J171" i="1"/>
  <c r="L171" i="1"/>
  <c r="T171" i="1"/>
  <c r="V171" i="1"/>
  <c r="X171" i="1"/>
  <c r="Z171" i="1"/>
  <c r="AB171" i="1"/>
  <c r="J172" i="1"/>
  <c r="L172" i="1"/>
  <c r="T172" i="1"/>
  <c r="V172" i="1"/>
  <c r="X172" i="1"/>
  <c r="Z172" i="1"/>
  <c r="AB172" i="1"/>
  <c r="J173" i="1"/>
  <c r="L173" i="1"/>
  <c r="AB173" i="1" s="1"/>
  <c r="T173" i="1"/>
  <c r="V173" i="1"/>
  <c r="X173" i="1"/>
  <c r="Z173" i="1"/>
  <c r="J174" i="1"/>
  <c r="L174" i="1"/>
  <c r="T174" i="1"/>
  <c r="V174" i="1" s="1"/>
  <c r="J175" i="1"/>
  <c r="L175" i="1"/>
  <c r="T175" i="1"/>
  <c r="X175" i="1" s="1"/>
  <c r="V175" i="1"/>
  <c r="J176" i="1"/>
  <c r="L176" i="1"/>
  <c r="T176" i="1"/>
  <c r="Z176" i="1" s="1"/>
  <c r="X176" i="1"/>
  <c r="J177" i="1"/>
  <c r="L177" i="1"/>
  <c r="T177" i="1"/>
  <c r="AB177" i="1" s="1"/>
  <c r="V177" i="1"/>
  <c r="X177" i="1"/>
  <c r="Z177" i="1"/>
  <c r="J178" i="1"/>
  <c r="L178" i="1"/>
  <c r="T178" i="1"/>
  <c r="V178" i="1" s="1"/>
  <c r="X178" i="1"/>
  <c r="Z178" i="1"/>
  <c r="AB178" i="1"/>
  <c r="J179" i="1"/>
  <c r="L179" i="1"/>
  <c r="T179" i="1"/>
  <c r="V179" i="1"/>
  <c r="X179" i="1"/>
  <c r="Z179" i="1"/>
  <c r="AB179" i="1"/>
  <c r="G155" i="1"/>
  <c r="H155" i="1"/>
  <c r="I155" i="1"/>
  <c r="J155" i="1"/>
  <c r="K155" i="1" s="1"/>
  <c r="L155" i="1"/>
  <c r="T155" i="1"/>
  <c r="AB155" i="1" s="1"/>
  <c r="AC155" i="1" s="1"/>
  <c r="AI155" i="1"/>
  <c r="AJ155" i="1"/>
  <c r="AK155" i="1"/>
  <c r="AL155" i="1"/>
  <c r="J156" i="1"/>
  <c r="L156" i="1"/>
  <c r="T156" i="1"/>
  <c r="V156" i="1" s="1"/>
  <c r="X156" i="1"/>
  <c r="Z156" i="1"/>
  <c r="AB156" i="1"/>
  <c r="J157" i="1"/>
  <c r="L157" i="1"/>
  <c r="T157" i="1"/>
  <c r="X157" i="1" s="1"/>
  <c r="V157" i="1"/>
  <c r="Z157" i="1"/>
  <c r="AB157" i="1"/>
  <c r="J158" i="1"/>
  <c r="L158" i="1"/>
  <c r="AB158" i="1" s="1"/>
  <c r="T158" i="1"/>
  <c r="Z158" i="1" s="1"/>
  <c r="V158" i="1"/>
  <c r="X158" i="1"/>
  <c r="J159" i="1"/>
  <c r="L159" i="1"/>
  <c r="T159" i="1"/>
  <c r="V159" i="1" s="1"/>
  <c r="J160" i="1"/>
  <c r="L160" i="1"/>
  <c r="T160" i="1"/>
  <c r="X160" i="1" s="1"/>
  <c r="J161" i="1"/>
  <c r="L161" i="1"/>
  <c r="T161" i="1"/>
  <c r="Z161" i="1" s="1"/>
  <c r="X161" i="1"/>
  <c r="J162" i="1"/>
  <c r="L162" i="1"/>
  <c r="T162" i="1"/>
  <c r="AB162" i="1" s="1"/>
  <c r="V162" i="1"/>
  <c r="X162" i="1"/>
  <c r="Z162" i="1"/>
  <c r="J163" i="1"/>
  <c r="L163" i="1"/>
  <c r="T163" i="1"/>
  <c r="V163" i="1"/>
  <c r="X163" i="1"/>
  <c r="Z163" i="1"/>
  <c r="AB163" i="1"/>
  <c r="J164" i="1"/>
  <c r="L164" i="1"/>
  <c r="T164" i="1"/>
  <c r="V164" i="1"/>
  <c r="X164" i="1"/>
  <c r="Z164" i="1"/>
  <c r="AB164" i="1"/>
  <c r="G140" i="1"/>
  <c r="H140" i="1"/>
  <c r="I140" i="1"/>
  <c r="J140" i="1"/>
  <c r="K140" i="1"/>
  <c r="L140" i="1"/>
  <c r="M140" i="1"/>
  <c r="R140" i="1" s="1"/>
  <c r="N140" i="1"/>
  <c r="S140" i="1" s="1"/>
  <c r="O140" i="1" s="1"/>
  <c r="T140" i="1"/>
  <c r="U140" i="1"/>
  <c r="V140" i="1"/>
  <c r="W140" i="1" s="1"/>
  <c r="X140" i="1"/>
  <c r="Y140" i="1"/>
  <c r="Z140" i="1"/>
  <c r="AA140" i="1" s="1"/>
  <c r="AB140" i="1"/>
  <c r="AC140" i="1"/>
  <c r="AI140" i="1"/>
  <c r="AJ140" i="1"/>
  <c r="AK140" i="1"/>
  <c r="AL140" i="1"/>
  <c r="J141" i="1"/>
  <c r="L141" i="1"/>
  <c r="T141" i="1"/>
  <c r="V141" i="1"/>
  <c r="X141" i="1"/>
  <c r="Z141" i="1"/>
  <c r="AB141" i="1"/>
  <c r="J142" i="1"/>
  <c r="L142" i="1"/>
  <c r="T142" i="1"/>
  <c r="V142" i="1"/>
  <c r="X142" i="1"/>
  <c r="Z142" i="1"/>
  <c r="AB142" i="1"/>
  <c r="J143" i="1"/>
  <c r="L143" i="1"/>
  <c r="T143" i="1"/>
  <c r="V143" i="1"/>
  <c r="X143" i="1"/>
  <c r="Z143" i="1"/>
  <c r="AB143" i="1"/>
  <c r="J144" i="1"/>
  <c r="L144" i="1"/>
  <c r="T144" i="1"/>
  <c r="V144" i="1"/>
  <c r="X144" i="1"/>
  <c r="Z144" i="1"/>
  <c r="AB144" i="1"/>
  <c r="J145" i="1"/>
  <c r="L145" i="1"/>
  <c r="T145" i="1"/>
  <c r="V145" i="1"/>
  <c r="X145" i="1"/>
  <c r="Z145" i="1"/>
  <c r="AB145" i="1"/>
  <c r="J146" i="1"/>
  <c r="L146" i="1"/>
  <c r="T146" i="1"/>
  <c r="V146" i="1"/>
  <c r="X146" i="1"/>
  <c r="Z146" i="1"/>
  <c r="AB146" i="1"/>
  <c r="J147" i="1"/>
  <c r="L147" i="1"/>
  <c r="T147" i="1"/>
  <c r="V147" i="1"/>
  <c r="X147" i="1"/>
  <c r="Z147" i="1"/>
  <c r="AB147" i="1"/>
  <c r="J148" i="1"/>
  <c r="L148" i="1"/>
  <c r="T148" i="1"/>
  <c r="V148" i="1"/>
  <c r="X148" i="1"/>
  <c r="Z148" i="1"/>
  <c r="AB148" i="1"/>
  <c r="J149" i="1"/>
  <c r="L149" i="1"/>
  <c r="T149" i="1"/>
  <c r="V149" i="1"/>
  <c r="X149" i="1"/>
  <c r="Z149" i="1"/>
  <c r="AB149" i="1"/>
  <c r="G125" i="1"/>
  <c r="H125" i="1"/>
  <c r="I125" i="1"/>
  <c r="J125" i="1"/>
  <c r="K125" i="1" s="1"/>
  <c r="L125" i="1"/>
  <c r="T125" i="1"/>
  <c r="X125" i="1" s="1"/>
  <c r="Y125" i="1" s="1"/>
  <c r="V125" i="1"/>
  <c r="W125" i="1" s="1"/>
  <c r="AI125" i="1"/>
  <c r="AJ125" i="1"/>
  <c r="AK125" i="1"/>
  <c r="AL125" i="1"/>
  <c r="J126" i="1"/>
  <c r="L126" i="1"/>
  <c r="T126" i="1"/>
  <c r="V126" i="1" s="1"/>
  <c r="Z126" i="1"/>
  <c r="AB126" i="1"/>
  <c r="J127" i="1"/>
  <c r="L127" i="1"/>
  <c r="T127" i="1"/>
  <c r="X127" i="1" s="1"/>
  <c r="V127" i="1"/>
  <c r="AB127" i="1"/>
  <c r="J128" i="1"/>
  <c r="L128" i="1"/>
  <c r="M125" i="1" s="1"/>
  <c r="T128" i="1"/>
  <c r="Z128" i="1" s="1"/>
  <c r="V128" i="1"/>
  <c r="X128" i="1"/>
  <c r="J129" i="1"/>
  <c r="L129" i="1"/>
  <c r="T129" i="1"/>
  <c r="V129" i="1" s="1"/>
  <c r="J130" i="1"/>
  <c r="L130" i="1"/>
  <c r="T130" i="1"/>
  <c r="X130" i="1" s="1"/>
  <c r="J131" i="1"/>
  <c r="L131" i="1"/>
  <c r="T131" i="1"/>
  <c r="Z131" i="1" s="1"/>
  <c r="X131" i="1"/>
  <c r="J132" i="1"/>
  <c r="L132" i="1"/>
  <c r="T132" i="1"/>
  <c r="AB132" i="1" s="1"/>
  <c r="V132" i="1"/>
  <c r="X132" i="1"/>
  <c r="Z132" i="1"/>
  <c r="J133" i="1"/>
  <c r="L133" i="1"/>
  <c r="T133" i="1"/>
  <c r="V133" i="1"/>
  <c r="X133" i="1"/>
  <c r="Z133" i="1"/>
  <c r="AB133" i="1"/>
  <c r="J134" i="1"/>
  <c r="L134" i="1"/>
  <c r="T134" i="1"/>
  <c r="V134" i="1" s="1"/>
  <c r="Z134" i="1"/>
  <c r="AB134" i="1"/>
  <c r="G110" i="1"/>
  <c r="H110" i="1"/>
  <c r="I110" i="1"/>
  <c r="J110" i="1"/>
  <c r="L110" i="1"/>
  <c r="T110" i="1"/>
  <c r="X110" i="1" s="1"/>
  <c r="Y110" i="1" s="1"/>
  <c r="U110" i="1"/>
  <c r="V110" i="1"/>
  <c r="W110" i="1" s="1"/>
  <c r="AI110" i="1"/>
  <c r="AJ110" i="1"/>
  <c r="AK110" i="1"/>
  <c r="AL110" i="1"/>
  <c r="J111" i="1"/>
  <c r="L111" i="1"/>
  <c r="T111" i="1"/>
  <c r="V111" i="1" s="1"/>
  <c r="X111" i="1"/>
  <c r="Z111" i="1"/>
  <c r="AB111" i="1"/>
  <c r="J112" i="1"/>
  <c r="K110" i="1" s="1"/>
  <c r="L112" i="1"/>
  <c r="T112" i="1"/>
  <c r="X112" i="1" s="1"/>
  <c r="V112" i="1"/>
  <c r="Z112" i="1"/>
  <c r="AB112" i="1"/>
  <c r="J113" i="1"/>
  <c r="L113" i="1"/>
  <c r="AB113" i="1" s="1"/>
  <c r="T113" i="1"/>
  <c r="Z113" i="1" s="1"/>
  <c r="V113" i="1"/>
  <c r="X113" i="1"/>
  <c r="J114" i="1"/>
  <c r="L114" i="1"/>
  <c r="T114" i="1"/>
  <c r="V114" i="1" s="1"/>
  <c r="J115" i="1"/>
  <c r="L115" i="1"/>
  <c r="T115" i="1"/>
  <c r="Z115" i="1" s="1"/>
  <c r="V115" i="1"/>
  <c r="X115" i="1"/>
  <c r="J116" i="1"/>
  <c r="L116" i="1"/>
  <c r="T116" i="1"/>
  <c r="AB116" i="1" s="1"/>
  <c r="V116" i="1"/>
  <c r="X116" i="1"/>
  <c r="Z116" i="1"/>
  <c r="J117" i="1"/>
  <c r="L117" i="1"/>
  <c r="T117" i="1"/>
  <c r="V117" i="1"/>
  <c r="X117" i="1"/>
  <c r="Z117" i="1"/>
  <c r="AB117" i="1"/>
  <c r="J118" i="1"/>
  <c r="L118" i="1"/>
  <c r="T118" i="1"/>
  <c r="V118" i="1"/>
  <c r="X118" i="1"/>
  <c r="Z118" i="1"/>
  <c r="AB118" i="1"/>
  <c r="J119" i="1"/>
  <c r="L119" i="1"/>
  <c r="T119" i="1"/>
  <c r="V119" i="1" s="1"/>
  <c r="X119" i="1"/>
  <c r="Z119" i="1"/>
  <c r="AB119" i="1"/>
  <c r="G95" i="1"/>
  <c r="H95" i="1"/>
  <c r="I95" i="1"/>
  <c r="J95" i="1"/>
  <c r="K95" i="1" s="1"/>
  <c r="L95" i="1"/>
  <c r="T95" i="1"/>
  <c r="X95" i="1" s="1"/>
  <c r="Y95" i="1" s="1"/>
  <c r="U95" i="1"/>
  <c r="V95" i="1"/>
  <c r="W95" i="1" s="1"/>
  <c r="AB95" i="1"/>
  <c r="AC95" i="1"/>
  <c r="AI95" i="1"/>
  <c r="AJ95" i="1"/>
  <c r="AK95" i="1"/>
  <c r="AL95" i="1"/>
  <c r="J96" i="1"/>
  <c r="L96" i="1"/>
  <c r="T96" i="1"/>
  <c r="V96" i="1" s="1"/>
  <c r="Z96" i="1"/>
  <c r="AB96" i="1"/>
  <c r="J97" i="1"/>
  <c r="L97" i="1"/>
  <c r="T97" i="1"/>
  <c r="X97" i="1" s="1"/>
  <c r="V97" i="1"/>
  <c r="AB97" i="1"/>
  <c r="J98" i="1"/>
  <c r="L98" i="1"/>
  <c r="M95" i="1" s="1"/>
  <c r="T98" i="1"/>
  <c r="Z98" i="1" s="1"/>
  <c r="V98" i="1"/>
  <c r="X98" i="1"/>
  <c r="J99" i="1"/>
  <c r="L99" i="1"/>
  <c r="T99" i="1"/>
  <c r="V99" i="1" s="1"/>
  <c r="J100" i="1"/>
  <c r="L100" i="1"/>
  <c r="T100" i="1"/>
  <c r="X100" i="1" s="1"/>
  <c r="J101" i="1"/>
  <c r="L101" i="1"/>
  <c r="T101" i="1"/>
  <c r="Z101" i="1" s="1"/>
  <c r="X101" i="1"/>
  <c r="J102" i="1"/>
  <c r="L102" i="1"/>
  <c r="T102" i="1"/>
  <c r="V102" i="1"/>
  <c r="X102" i="1"/>
  <c r="Z102" i="1"/>
  <c r="AB102" i="1"/>
  <c r="J103" i="1"/>
  <c r="L103" i="1"/>
  <c r="T103" i="1"/>
  <c r="V103" i="1"/>
  <c r="X103" i="1"/>
  <c r="Z103" i="1"/>
  <c r="AB103" i="1"/>
  <c r="J104" i="1"/>
  <c r="L104" i="1"/>
  <c r="T104" i="1"/>
  <c r="V104" i="1" s="1"/>
  <c r="AB104" i="1"/>
  <c r="G80" i="1"/>
  <c r="H80" i="1"/>
  <c r="I80" i="1"/>
  <c r="J80" i="1"/>
  <c r="K80" i="1" s="1"/>
  <c r="L80" i="1"/>
  <c r="T80" i="1"/>
  <c r="X80" i="1" s="1"/>
  <c r="Y80" i="1" s="1"/>
  <c r="U80" i="1"/>
  <c r="V80" i="1"/>
  <c r="W80" i="1" s="1"/>
  <c r="AI80" i="1"/>
  <c r="AJ80" i="1"/>
  <c r="AK80" i="1"/>
  <c r="AL80" i="1"/>
  <c r="J81" i="1"/>
  <c r="L81" i="1"/>
  <c r="T81" i="1"/>
  <c r="X81" i="1" s="1"/>
  <c r="V81" i="1"/>
  <c r="Z81" i="1"/>
  <c r="AB81" i="1"/>
  <c r="J82" i="1"/>
  <c r="L82" i="1"/>
  <c r="T82" i="1"/>
  <c r="Z82" i="1" s="1"/>
  <c r="V82" i="1"/>
  <c r="X82" i="1"/>
  <c r="AB82" i="1"/>
  <c r="J83" i="1"/>
  <c r="L83" i="1"/>
  <c r="M80" i="1" s="1"/>
  <c r="T83" i="1"/>
  <c r="V83" i="1" s="1"/>
  <c r="J84" i="1"/>
  <c r="L84" i="1"/>
  <c r="T84" i="1"/>
  <c r="V84" i="1" s="1"/>
  <c r="J85" i="1"/>
  <c r="L85" i="1"/>
  <c r="T85" i="1"/>
  <c r="X85" i="1" s="1"/>
  <c r="V85" i="1"/>
  <c r="J86" i="1"/>
  <c r="L86" i="1"/>
  <c r="T86" i="1"/>
  <c r="AB86" i="1" s="1"/>
  <c r="V86" i="1"/>
  <c r="X86" i="1"/>
  <c r="Z86" i="1"/>
  <c r="J87" i="1"/>
  <c r="L87" i="1"/>
  <c r="T87" i="1"/>
  <c r="V87" i="1"/>
  <c r="X87" i="1"/>
  <c r="Z87" i="1"/>
  <c r="AB87" i="1"/>
  <c r="J88" i="1"/>
  <c r="L88" i="1"/>
  <c r="T88" i="1"/>
  <c r="V88" i="1" s="1"/>
  <c r="Z88" i="1"/>
  <c r="AB88" i="1"/>
  <c r="J89" i="1"/>
  <c r="L89" i="1"/>
  <c r="T89" i="1"/>
  <c r="V89" i="1" s="1"/>
  <c r="Z89" i="1"/>
  <c r="AB89" i="1"/>
  <c r="G65" i="1"/>
  <c r="H65" i="1"/>
  <c r="I65" i="1"/>
  <c r="J65" i="1"/>
  <c r="K65" i="1" s="1"/>
  <c r="L65" i="1"/>
  <c r="T65" i="1"/>
  <c r="X65" i="1" s="1"/>
  <c r="Y65" i="1" s="1"/>
  <c r="U65" i="1"/>
  <c r="AB65" i="1"/>
  <c r="AC65" i="1"/>
  <c r="AI65" i="1"/>
  <c r="AJ65" i="1"/>
  <c r="AK65" i="1"/>
  <c r="AL65" i="1"/>
  <c r="J66" i="1"/>
  <c r="L66" i="1"/>
  <c r="T66" i="1"/>
  <c r="V66" i="1" s="1"/>
  <c r="Z66" i="1"/>
  <c r="AB66" i="1"/>
  <c r="J67" i="1"/>
  <c r="L67" i="1"/>
  <c r="M65" i="1" s="1"/>
  <c r="T67" i="1"/>
  <c r="V67" i="1" s="1"/>
  <c r="J68" i="1"/>
  <c r="L68" i="1"/>
  <c r="T68" i="1"/>
  <c r="Z68" i="1" s="1"/>
  <c r="V68" i="1"/>
  <c r="X68" i="1"/>
  <c r="J69" i="1"/>
  <c r="L69" i="1"/>
  <c r="T69" i="1"/>
  <c r="V69" i="1" s="1"/>
  <c r="J70" i="1"/>
  <c r="L70" i="1"/>
  <c r="T70" i="1"/>
  <c r="X70" i="1" s="1"/>
  <c r="J71" i="1"/>
  <c r="L71" i="1"/>
  <c r="T71" i="1"/>
  <c r="Z71" i="1" s="1"/>
  <c r="V71" i="1"/>
  <c r="X71" i="1"/>
  <c r="J72" i="1"/>
  <c r="L72" i="1"/>
  <c r="T72" i="1"/>
  <c r="AB72" i="1" s="1"/>
  <c r="J73" i="1"/>
  <c r="L73" i="1"/>
  <c r="T73" i="1"/>
  <c r="V73" i="1"/>
  <c r="X73" i="1"/>
  <c r="Z73" i="1"/>
  <c r="AB73" i="1"/>
  <c r="J74" i="1"/>
  <c r="L74" i="1"/>
  <c r="T74" i="1"/>
  <c r="V74" i="1" s="1"/>
  <c r="AB74" i="1"/>
  <c r="J55" i="1"/>
  <c r="AT11" i="1"/>
  <c r="AT10" i="1"/>
  <c r="AS14" i="1" s="1"/>
  <c r="AT14" i="1" s="1"/>
  <c r="AU14" i="1" s="1"/>
  <c r="AO11" i="1"/>
  <c r="AO10" i="1"/>
  <c r="AJ11" i="1"/>
  <c r="AJ10" i="1"/>
  <c r="AD11" i="1"/>
  <c r="AD10" i="1"/>
  <c r="Y11" i="1"/>
  <c r="Y10" i="1"/>
  <c r="X14" i="1" s="1"/>
  <c r="Y14" i="1" s="1"/>
  <c r="Z14" i="1" s="1"/>
  <c r="T11" i="1"/>
  <c r="T10" i="1"/>
  <c r="O11" i="1"/>
  <c r="O10" i="1"/>
  <c r="J11" i="1"/>
  <c r="J10" i="1"/>
  <c r="N14" i="1" l="1"/>
  <c r="O14" i="1" s="1"/>
  <c r="P14" i="1" s="1"/>
  <c r="S14" i="1"/>
  <c r="AC14" i="1"/>
  <c r="AD14" i="1" s="1"/>
  <c r="AE14" i="1" s="1"/>
  <c r="AN14" i="1"/>
  <c r="AO14" i="1" s="1"/>
  <c r="AP14" i="1" s="1"/>
  <c r="AI14" i="1"/>
  <c r="AJ14" i="1" s="1"/>
  <c r="AK14" i="1" s="1"/>
  <c r="N185" i="1"/>
  <c r="S185" i="1" s="1"/>
  <c r="O185" i="1" s="1"/>
  <c r="Z192" i="1"/>
  <c r="X191" i="1"/>
  <c r="V185" i="1"/>
  <c r="W185" i="1" s="1"/>
  <c r="AB194" i="1"/>
  <c r="X192" i="1"/>
  <c r="V191" i="1"/>
  <c r="AB186" i="1"/>
  <c r="U185" i="1"/>
  <c r="V192" i="1"/>
  <c r="AB189" i="1"/>
  <c r="Z188" i="1"/>
  <c r="Z185" i="1"/>
  <c r="AA185" i="1" s="1"/>
  <c r="AB191" i="1"/>
  <c r="X189" i="1"/>
  <c r="V176" i="1"/>
  <c r="U170" i="1"/>
  <c r="M170" i="1"/>
  <c r="AB174" i="1"/>
  <c r="Z170" i="1"/>
  <c r="AA170" i="1" s="1"/>
  <c r="AB175" i="1"/>
  <c r="Z174" i="1"/>
  <c r="AB176" i="1"/>
  <c r="Z175" i="1"/>
  <c r="X174" i="1"/>
  <c r="U155" i="1"/>
  <c r="M155" i="1"/>
  <c r="V161" i="1"/>
  <c r="AB159" i="1"/>
  <c r="Z155" i="1"/>
  <c r="AA155" i="1" s="1"/>
  <c r="V160" i="1"/>
  <c r="V155" i="1"/>
  <c r="W155" i="1" s="1"/>
  <c r="AB160" i="1"/>
  <c r="Z159" i="1"/>
  <c r="AB161" i="1"/>
  <c r="Z160" i="1"/>
  <c r="X159" i="1"/>
  <c r="X155" i="1"/>
  <c r="Y155" i="1" s="1"/>
  <c r="P140" i="1"/>
  <c r="Q140" i="1"/>
  <c r="AF140" i="1"/>
  <c r="AG140" i="1" s="1"/>
  <c r="N125" i="1"/>
  <c r="R125" i="1" s="1"/>
  <c r="S125" i="1"/>
  <c r="O125" i="1" s="1"/>
  <c r="U125" i="1"/>
  <c r="X134" i="1"/>
  <c r="AB128" i="1"/>
  <c r="Z127" i="1"/>
  <c r="X126" i="1"/>
  <c r="V130" i="1"/>
  <c r="AB125" i="1"/>
  <c r="AC125" i="1" s="1"/>
  <c r="AB129" i="1"/>
  <c r="Z125" i="1"/>
  <c r="AA125" i="1" s="1"/>
  <c r="AB130" i="1"/>
  <c r="Z129" i="1"/>
  <c r="AB131" i="1"/>
  <c r="Z130" i="1"/>
  <c r="X129" i="1"/>
  <c r="V131" i="1"/>
  <c r="AB114" i="1"/>
  <c r="Z110" i="1"/>
  <c r="AA110" i="1" s="1"/>
  <c r="M110" i="1"/>
  <c r="AB110" i="1"/>
  <c r="AC110" i="1" s="1"/>
  <c r="AB115" i="1"/>
  <c r="Z114" i="1"/>
  <c r="X114" i="1"/>
  <c r="N95" i="1"/>
  <c r="S95" i="1" s="1"/>
  <c r="O95" i="1" s="1"/>
  <c r="Z104" i="1"/>
  <c r="V100" i="1"/>
  <c r="V101" i="1"/>
  <c r="X104" i="1"/>
  <c r="AB98" i="1"/>
  <c r="Z97" i="1"/>
  <c r="X96" i="1"/>
  <c r="AB99" i="1"/>
  <c r="Z95" i="1"/>
  <c r="AA95" i="1" s="1"/>
  <c r="AE95" i="1" s="1"/>
  <c r="AB100" i="1"/>
  <c r="Z99" i="1"/>
  <c r="AB101" i="1"/>
  <c r="Z100" i="1"/>
  <c r="X99" i="1"/>
  <c r="AF95" i="1"/>
  <c r="AG95" i="1" s="1"/>
  <c r="N80" i="1"/>
  <c r="S80" i="1" s="1"/>
  <c r="O80" i="1" s="1"/>
  <c r="R80" i="1"/>
  <c r="X88" i="1"/>
  <c r="AB80" i="1"/>
  <c r="AC80" i="1" s="1"/>
  <c r="X89" i="1"/>
  <c r="AB83" i="1"/>
  <c r="AB84" i="1"/>
  <c r="Z83" i="1"/>
  <c r="Z80" i="1"/>
  <c r="AA80" i="1" s="1"/>
  <c r="AB85" i="1"/>
  <c r="Z84" i="1"/>
  <c r="X83" i="1"/>
  <c r="Z85" i="1"/>
  <c r="X84" i="1"/>
  <c r="N65" i="1"/>
  <c r="R65" i="1" s="1"/>
  <c r="S65" i="1"/>
  <c r="V65" i="1"/>
  <c r="W65" i="1" s="1"/>
  <c r="AD65" i="1" s="1"/>
  <c r="Z74" i="1"/>
  <c r="V72" i="1"/>
  <c r="AB67" i="1"/>
  <c r="AB68" i="1"/>
  <c r="Z67" i="1"/>
  <c r="X66" i="1"/>
  <c r="Z72" i="1"/>
  <c r="V70" i="1"/>
  <c r="X72" i="1"/>
  <c r="X74" i="1"/>
  <c r="AB69" i="1"/>
  <c r="X67" i="1"/>
  <c r="Z65" i="1"/>
  <c r="AA65" i="1" s="1"/>
  <c r="AE65" i="1" s="1"/>
  <c r="AB70" i="1"/>
  <c r="Z69" i="1"/>
  <c r="AF65" i="1"/>
  <c r="AG65" i="1" s="1"/>
  <c r="AB71" i="1"/>
  <c r="Z70" i="1"/>
  <c r="X69" i="1"/>
  <c r="I14" i="1"/>
  <c r="J14" i="1" s="1"/>
  <c r="K14" i="1" s="1"/>
  <c r="P185" i="1" l="1"/>
  <c r="Q185" i="1"/>
  <c r="AF185" i="1"/>
  <c r="AG185" i="1" s="1"/>
  <c r="AH185" i="1"/>
  <c r="R185" i="1"/>
  <c r="N170" i="1"/>
  <c r="S170" i="1" s="1"/>
  <c r="O170" i="1" s="1"/>
  <c r="AF170" i="1"/>
  <c r="AG170" i="1" s="1"/>
  <c r="AH170" i="1"/>
  <c r="N155" i="1"/>
  <c r="S155" i="1" s="1"/>
  <c r="O155" i="1" s="1"/>
  <c r="R155" i="1"/>
  <c r="AF155" i="1"/>
  <c r="AG155" i="1" s="1"/>
  <c r="AD140" i="1"/>
  <c r="AE140" i="1"/>
  <c r="AH140" i="1"/>
  <c r="AF125" i="1"/>
  <c r="AE125" i="1" s="1"/>
  <c r="P125" i="1"/>
  <c r="Q125" i="1"/>
  <c r="AG125" i="1"/>
  <c r="AD125" i="1"/>
  <c r="N110" i="1"/>
  <c r="S110" i="1" s="1"/>
  <c r="O110" i="1" s="1"/>
  <c r="AF110" i="1"/>
  <c r="AH110" i="1" s="1"/>
  <c r="P95" i="1"/>
  <c r="Q95" i="1"/>
  <c r="R95" i="1"/>
  <c r="AH95" i="1"/>
  <c r="AD95" i="1"/>
  <c r="P80" i="1"/>
  <c r="Q80" i="1"/>
  <c r="AF80" i="1"/>
  <c r="AH80" i="1" s="1"/>
  <c r="P65" i="1"/>
  <c r="Q65" i="1"/>
  <c r="AH65" i="1"/>
  <c r="AE185" i="1" l="1"/>
  <c r="AD185" i="1"/>
  <c r="AE170" i="1"/>
  <c r="P170" i="1"/>
  <c r="Q170" i="1"/>
  <c r="R170" i="1"/>
  <c r="AD170" i="1"/>
  <c r="P155" i="1"/>
  <c r="Q155" i="1"/>
  <c r="AH155" i="1"/>
  <c r="AE155" i="1"/>
  <c r="AD155" i="1"/>
  <c r="AH125" i="1"/>
  <c r="AG110" i="1"/>
  <c r="AD110" i="1"/>
  <c r="P110" i="1"/>
  <c r="Q110" i="1"/>
  <c r="R110" i="1"/>
  <c r="AE110" i="1"/>
  <c r="AD80" i="1"/>
  <c r="AG80" i="1"/>
  <c r="AE80" i="1"/>
</calcChain>
</file>

<file path=xl/sharedStrings.xml><?xml version="1.0" encoding="utf-8"?>
<sst xmlns="http://schemas.openxmlformats.org/spreadsheetml/2006/main" count="475" uniqueCount="70">
  <si>
    <t>TEMPS DE REACCIÓ HUMÀ… XD</t>
  </si>
  <si>
    <t>d = 6 cm</t>
  </si>
  <si>
    <t>densitat 1%</t>
  </si>
  <si>
    <t>densitat 0,5%</t>
  </si>
  <si>
    <t>densitat 0,25%</t>
  </si>
  <si>
    <t>d = 8 cm</t>
  </si>
  <si>
    <t>d = 12 cm</t>
  </si>
  <si>
    <t>17,0 g sal per 1 kg aigua</t>
  </si>
  <si>
    <t>9,8 g sal per 1 kg aigua</t>
  </si>
  <si>
    <t>6,3 g sal per 1 kg aigua</t>
  </si>
  <si>
    <t>d (m)</t>
  </si>
  <si>
    <t>Altura (m)</t>
  </si>
  <si>
    <t>Costat 1 (m)</t>
  </si>
  <si>
    <t>Costat 2 (m)</t>
  </si>
  <si>
    <t>Volum inicial (m^3)</t>
  </si>
  <si>
    <t>Aigua (kg)</t>
  </si>
  <si>
    <t>Sal a afegir (g)</t>
  </si>
  <si>
    <t>DESDE ZERO</t>
  </si>
  <si>
    <t>Temps</t>
  </si>
  <si>
    <t>Espai (Horizontal)(cm)</t>
  </si>
  <si>
    <t>altura * (cm)</t>
  </si>
  <si>
    <t>restar 3,5 cm a l'inici</t>
  </si>
  <si>
    <t>restar 3,5 cm al primer</t>
  </si>
  <si>
    <t>RESTAR 3,5 AL PRIMER</t>
  </si>
  <si>
    <t>restar 3,5 a l'inical…</t>
  </si>
  <si>
    <t>3,5 diferència a l'inic</t>
  </si>
  <si>
    <t>DIFERÈNCIES</t>
  </si>
  <si>
    <t>0,5 cm incertesa horitz</t>
  </si>
  <si>
    <t>0,5 cm incertesa vertical</t>
  </si>
  <si>
    <t>INCERTESES</t>
  </si>
  <si>
    <t>PRECISIÓ</t>
  </si>
  <si>
    <t>1 mm</t>
  </si>
  <si>
    <t>CALCULADES</t>
  </si>
  <si>
    <t>Volum (m^3)</t>
  </si>
  <si>
    <t>Aigua i sal ? Crec que no fa falta…</t>
  </si>
  <si>
    <t>Temps (s)</t>
  </si>
  <si>
    <t>80 ms huma</t>
  </si>
  <si>
    <t>crono</t>
  </si>
  <si>
    <t>h(m)</t>
  </si>
  <si>
    <t>Sin pesos</t>
  </si>
  <si>
    <t>Con peos</t>
  </si>
  <si>
    <t>x</t>
  </si>
  <si>
    <t>y</t>
  </si>
  <si>
    <t>Incertidumbre de x</t>
  </si>
  <si>
    <t>Incertidumbre de y</t>
  </si>
  <si>
    <t>Sn</t>
  </si>
  <si>
    <t>Sx</t>
  </si>
  <si>
    <t>Sy</t>
  </si>
  <si>
    <t>xy</t>
  </si>
  <si>
    <t>Sxy</t>
  </si>
  <si>
    <r>
      <t>X</t>
    </r>
    <r>
      <rPr>
        <vertAlign val="superscript"/>
        <sz val="11"/>
        <color theme="1"/>
        <rFont val="Calibri"/>
        <family val="2"/>
        <scheme val="minor"/>
      </rPr>
      <t>2</t>
    </r>
  </si>
  <si>
    <r>
      <t>Sx</t>
    </r>
    <r>
      <rPr>
        <vertAlign val="superscript"/>
        <sz val="11"/>
        <color theme="1"/>
        <rFont val="Calibri"/>
        <family val="2"/>
        <scheme val="minor"/>
      </rPr>
      <t>2</t>
    </r>
  </si>
  <si>
    <t>Δ</t>
  </si>
  <si>
    <r>
      <t>σ</t>
    </r>
    <r>
      <rPr>
        <vertAlign val="subscript"/>
        <sz val="11"/>
        <rFont val="Calibri"/>
        <family val="2"/>
      </rPr>
      <t>y (equivalente)</t>
    </r>
  </si>
  <si>
    <r>
      <t>σ</t>
    </r>
    <r>
      <rPr>
        <vertAlign val="subscript"/>
        <sz val="11"/>
        <rFont val="Calibri"/>
        <family val="2"/>
      </rPr>
      <t>A</t>
    </r>
  </si>
  <si>
    <r>
      <t>σ</t>
    </r>
    <r>
      <rPr>
        <vertAlign val="subscript"/>
        <sz val="11"/>
        <rFont val="Calibri"/>
        <family val="2"/>
      </rPr>
      <t>B</t>
    </r>
  </si>
  <si>
    <t>A</t>
  </si>
  <si>
    <t>B</t>
  </si>
  <si>
    <t>W</t>
  </si>
  <si>
    <t>wx</t>
  </si>
  <si>
    <t>wy</t>
  </si>
  <si>
    <t>wxy</t>
  </si>
  <si>
    <t>wx2</t>
  </si>
  <si>
    <t>Sx2</t>
  </si>
  <si>
    <r>
      <t>σ</t>
    </r>
    <r>
      <rPr>
        <vertAlign val="subscript"/>
        <sz val="11"/>
        <color theme="0"/>
        <rFont val="Calibri"/>
        <family val="2"/>
      </rPr>
      <t>A</t>
    </r>
  </si>
  <si>
    <r>
      <t>σ</t>
    </r>
    <r>
      <rPr>
        <vertAlign val="subscript"/>
        <sz val="11"/>
        <color theme="0"/>
        <rFont val="Calibri"/>
        <family val="2"/>
      </rPr>
      <t>B</t>
    </r>
  </si>
  <si>
    <r>
      <t>σ</t>
    </r>
    <r>
      <rPr>
        <vertAlign val="subscript"/>
        <sz val="11"/>
        <color theme="1"/>
        <rFont val="Calibri"/>
        <family val="2"/>
        <scheme val="minor"/>
      </rPr>
      <t>x</t>
    </r>
  </si>
  <si>
    <r>
      <t>σ</t>
    </r>
    <r>
      <rPr>
        <vertAlign val="subscript"/>
        <sz val="11"/>
        <color theme="1"/>
        <rFont val="Calibri"/>
        <family val="2"/>
        <scheme val="minor"/>
      </rPr>
      <t>y</t>
    </r>
  </si>
  <si>
    <r>
      <t>σ</t>
    </r>
    <r>
      <rPr>
        <vertAlign val="subscript"/>
        <sz val="11"/>
        <color theme="1"/>
        <rFont val="Calibri"/>
        <family val="2"/>
        <scheme val="minor"/>
      </rPr>
      <t>xy</t>
    </r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</si>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</sst>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</font>
    <font>
      <sz val="11"/>
      <color theme="0"/>
      <name val="Calibri"/>
      <family val="2"/>
    </font>
    <font>
      <vertAlign val="superscript"/>
      <sz val="11"/>
      <color theme="1"/>
      <name val="Calibri"/>
      <family val="2"/>
      <scheme val="minor"/>
    </font>
    <font>
      <vertAlign val="subscript"/>
      <sz val="11"/>
      <name val="Calibri"/>
      <family val="2"/>
    </font>
    <font>
      <vertAlign val="subscript"/>
      <sz val="11"/>
      <color theme="0"/>
      <name val="Calibri"/>
      <family val="2"/>
    </font>
    <font>
      <vertAlign val="subscript"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2" fontId="0" fillId="6" borderId="8" xfId="0" applyNumberFormat="1" applyFill="1" applyBorder="1" applyAlignment="1">
      <alignment horizontal="center" vertical="center"/>
    </xf>
    <xf numFmtId="164" fontId="0" fillId="6" borderId="8" xfId="0" applyNumberFormat="1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2" fontId="0" fillId="6" borderId="10" xfId="0" applyNumberFormat="1" applyFill="1" applyBorder="1" applyAlignment="1">
      <alignment horizontal="center" vertical="center"/>
    </xf>
    <xf numFmtId="164" fontId="0" fillId="6" borderId="10" xfId="0" applyNumberFormat="1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2" fontId="0" fillId="6" borderId="14" xfId="0" applyNumberFormat="1" applyFill="1" applyBorder="1" applyAlignment="1">
      <alignment horizontal="center" vertical="center"/>
    </xf>
    <xf numFmtId="164" fontId="0" fillId="6" borderId="14" xfId="0" applyNumberFormat="1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5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Espai Vs.</a:t>
            </a:r>
            <a:r>
              <a:rPr lang="en-US" baseline="0"/>
              <a:t> Temps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Full1!$E$18</c:f>
              <c:strCache>
                <c:ptCount val="1"/>
                <c:pt idx="0">
                  <c:v>Espai (Horizontal)(cm)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Full1!$D$19:$D$31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</c:numCache>
            </c:numRef>
          </c:xVal>
          <c:yVal>
            <c:numRef>
              <c:f>Full1!$E$19:$E$31</c:f>
              <c:numCache>
                <c:formatCode>General</c:formatCode>
                <c:ptCount val="13"/>
                <c:pt idx="0">
                  <c:v>10.5</c:v>
                </c:pt>
                <c:pt idx="1">
                  <c:v>19.5</c:v>
                </c:pt>
                <c:pt idx="2">
                  <c:v>28.5</c:v>
                </c:pt>
                <c:pt idx="3">
                  <c:v>38</c:v>
                </c:pt>
                <c:pt idx="4">
                  <c:v>44.5</c:v>
                </c:pt>
                <c:pt idx="5">
                  <c:v>52.5</c:v>
                </c:pt>
                <c:pt idx="6">
                  <c:v>59</c:v>
                </c:pt>
                <c:pt idx="7">
                  <c:v>66.5</c:v>
                </c:pt>
                <c:pt idx="8">
                  <c:v>74.5</c:v>
                </c:pt>
                <c:pt idx="9">
                  <c:v>80</c:v>
                </c:pt>
                <c:pt idx="10">
                  <c:v>87</c:v>
                </c:pt>
                <c:pt idx="11">
                  <c:v>93.5</c:v>
                </c:pt>
                <c:pt idx="12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B4-5E46-A866-C0BAA049C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7728432"/>
        <c:axId val="1027738960"/>
      </c:scatterChart>
      <c:valAx>
        <c:axId val="102772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027738960"/>
        <c:crosses val="autoZero"/>
        <c:crossBetween val="midCat"/>
      </c:valAx>
      <c:valAx>
        <c:axId val="102773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x</a:t>
                </a:r>
                <a:r>
                  <a:rPr lang="en-GB" baseline="0"/>
                  <a:t>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027728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Full1!$N$19:$N$41</c:f>
              <c:numCache>
                <c:formatCode>General</c:formatCode>
                <c:ptCount val="23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</c:numCache>
            </c:numRef>
          </c:xVal>
          <c:yVal>
            <c:numRef>
              <c:f>Full1!$O$19:$O$41</c:f>
              <c:numCache>
                <c:formatCode>General</c:formatCode>
                <c:ptCount val="23"/>
                <c:pt idx="0">
                  <c:v>6.5</c:v>
                </c:pt>
                <c:pt idx="1">
                  <c:v>11</c:v>
                </c:pt>
                <c:pt idx="2">
                  <c:v>16</c:v>
                </c:pt>
                <c:pt idx="3">
                  <c:v>21.5</c:v>
                </c:pt>
                <c:pt idx="4">
                  <c:v>24.5</c:v>
                </c:pt>
                <c:pt idx="5">
                  <c:v>28.75</c:v>
                </c:pt>
                <c:pt idx="6">
                  <c:v>32.5</c:v>
                </c:pt>
                <c:pt idx="7">
                  <c:v>36.25</c:v>
                </c:pt>
                <c:pt idx="8">
                  <c:v>40.5</c:v>
                </c:pt>
                <c:pt idx="9">
                  <c:v>45.5</c:v>
                </c:pt>
                <c:pt idx="10">
                  <c:v>50.5</c:v>
                </c:pt>
                <c:pt idx="11">
                  <c:v>55.5</c:v>
                </c:pt>
                <c:pt idx="12">
                  <c:v>59.5</c:v>
                </c:pt>
                <c:pt idx="13">
                  <c:v>64</c:v>
                </c:pt>
                <c:pt idx="14">
                  <c:v>68.5</c:v>
                </c:pt>
                <c:pt idx="15">
                  <c:v>72.5</c:v>
                </c:pt>
                <c:pt idx="16">
                  <c:v>76</c:v>
                </c:pt>
                <c:pt idx="17">
                  <c:v>80</c:v>
                </c:pt>
                <c:pt idx="18">
                  <c:v>82.75</c:v>
                </c:pt>
                <c:pt idx="19">
                  <c:v>86</c:v>
                </c:pt>
                <c:pt idx="20">
                  <c:v>90.5</c:v>
                </c:pt>
                <c:pt idx="21">
                  <c:v>93.5</c:v>
                </c:pt>
                <c:pt idx="22">
                  <c:v>97.5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F5E-D64F-AF42-12271F1E95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610416"/>
        <c:axId val="650315600"/>
      </c:scatterChart>
      <c:valAx>
        <c:axId val="1113610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650315600"/>
        <c:crosses val="autoZero"/>
        <c:crossBetween val="midCat"/>
      </c:valAx>
      <c:valAx>
        <c:axId val="65031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113610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Full1!$I$19:$I$36</c:f>
              <c:numCache>
                <c:formatCode>General</c:formatCode>
                <c:ptCount val="18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</c:numCache>
            </c:numRef>
          </c:xVal>
          <c:yVal>
            <c:numRef>
              <c:f>Full1!$J$19:$J$36</c:f>
              <c:numCache>
                <c:formatCode>General</c:formatCode>
                <c:ptCount val="18"/>
                <c:pt idx="0">
                  <c:v>7.5</c:v>
                </c:pt>
                <c:pt idx="1">
                  <c:v>11.5</c:v>
                </c:pt>
                <c:pt idx="2">
                  <c:v>17</c:v>
                </c:pt>
                <c:pt idx="3">
                  <c:v>23</c:v>
                </c:pt>
                <c:pt idx="4">
                  <c:v>27</c:v>
                </c:pt>
                <c:pt idx="5">
                  <c:v>32.5</c:v>
                </c:pt>
                <c:pt idx="6">
                  <c:v>39</c:v>
                </c:pt>
                <c:pt idx="7">
                  <c:v>44</c:v>
                </c:pt>
                <c:pt idx="8">
                  <c:v>48.5</c:v>
                </c:pt>
                <c:pt idx="9">
                  <c:v>53.5</c:v>
                </c:pt>
                <c:pt idx="10">
                  <c:v>57.5</c:v>
                </c:pt>
                <c:pt idx="11">
                  <c:v>64</c:v>
                </c:pt>
                <c:pt idx="12">
                  <c:v>70</c:v>
                </c:pt>
                <c:pt idx="13">
                  <c:v>74.5</c:v>
                </c:pt>
                <c:pt idx="14">
                  <c:v>81.5</c:v>
                </c:pt>
                <c:pt idx="15">
                  <c:v>86</c:v>
                </c:pt>
                <c:pt idx="16">
                  <c:v>91</c:v>
                </c:pt>
                <c:pt idx="17">
                  <c:v>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DF-4D4C-A296-93434EDE0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003792"/>
        <c:axId val="1124005360"/>
      </c:scatterChart>
      <c:valAx>
        <c:axId val="1112003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124005360"/>
        <c:crosses val="autoZero"/>
        <c:crossBetween val="midCat"/>
      </c:valAx>
      <c:valAx>
        <c:axId val="112400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112003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Full1!$Y$18</c:f>
              <c:strCache>
                <c:ptCount val="1"/>
                <c:pt idx="0">
                  <c:v>Espai (Horizontal)(cm)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Full1!$X$19:$X$33</c:f>
              <c:numCache>
                <c:formatCode>General</c:formatCode>
                <c:ptCount val="15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</c:numCache>
            </c:numRef>
          </c:xVal>
          <c:yVal>
            <c:numRef>
              <c:f>Full1!$Y$19:$Y$33</c:f>
              <c:numCache>
                <c:formatCode>General</c:formatCode>
                <c:ptCount val="15"/>
                <c:pt idx="0">
                  <c:v>11.5</c:v>
                </c:pt>
                <c:pt idx="1">
                  <c:v>16.5</c:v>
                </c:pt>
                <c:pt idx="2">
                  <c:v>21</c:v>
                </c:pt>
                <c:pt idx="3">
                  <c:v>27.5</c:v>
                </c:pt>
                <c:pt idx="4">
                  <c:v>32</c:v>
                </c:pt>
                <c:pt idx="5">
                  <c:v>39</c:v>
                </c:pt>
                <c:pt idx="6">
                  <c:v>47</c:v>
                </c:pt>
                <c:pt idx="7">
                  <c:v>54</c:v>
                </c:pt>
                <c:pt idx="8">
                  <c:v>61</c:v>
                </c:pt>
                <c:pt idx="9">
                  <c:v>65.5</c:v>
                </c:pt>
                <c:pt idx="10">
                  <c:v>73</c:v>
                </c:pt>
                <c:pt idx="11">
                  <c:v>80</c:v>
                </c:pt>
                <c:pt idx="12">
                  <c:v>87</c:v>
                </c:pt>
                <c:pt idx="13">
                  <c:v>94</c:v>
                </c:pt>
                <c:pt idx="1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10-1E49-BC42-317E910AE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6191712"/>
        <c:axId val="1106154784"/>
      </c:scatterChart>
      <c:valAx>
        <c:axId val="110619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106154784"/>
        <c:crosses val="autoZero"/>
        <c:crossBetween val="midCat"/>
      </c:valAx>
      <c:valAx>
        <c:axId val="110615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106191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Full1!$S$19:$S$31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</c:numCache>
            </c:numRef>
          </c:xVal>
          <c:yVal>
            <c:numRef>
              <c:f>Full1!$T$19:$T$31</c:f>
              <c:numCache>
                <c:formatCode>General</c:formatCode>
                <c:ptCount val="13"/>
                <c:pt idx="0">
                  <c:v>10</c:v>
                </c:pt>
                <c:pt idx="1">
                  <c:v>17</c:v>
                </c:pt>
                <c:pt idx="2">
                  <c:v>27</c:v>
                </c:pt>
                <c:pt idx="3">
                  <c:v>34</c:v>
                </c:pt>
                <c:pt idx="4">
                  <c:v>41</c:v>
                </c:pt>
                <c:pt idx="5">
                  <c:v>47.5</c:v>
                </c:pt>
                <c:pt idx="6">
                  <c:v>55.5</c:v>
                </c:pt>
                <c:pt idx="7">
                  <c:v>62.5</c:v>
                </c:pt>
                <c:pt idx="8">
                  <c:v>70</c:v>
                </c:pt>
                <c:pt idx="9">
                  <c:v>76.5</c:v>
                </c:pt>
                <c:pt idx="10">
                  <c:v>84</c:v>
                </c:pt>
                <c:pt idx="11">
                  <c:v>91.5</c:v>
                </c:pt>
                <c:pt idx="12">
                  <c:v>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D2-FD4E-A232-C4510918F9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4002064"/>
        <c:axId val="1029052592"/>
      </c:scatterChart>
      <c:valAx>
        <c:axId val="1124002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029052592"/>
        <c:crosses val="autoZero"/>
        <c:crossBetween val="midCat"/>
      </c:valAx>
      <c:valAx>
        <c:axId val="102905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1124002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Full1!$AD$18</c:f>
              <c:strCache>
                <c:ptCount val="1"/>
                <c:pt idx="0">
                  <c:v>Espai (Horizontal)(cm)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Full1!$AC$19:$AC$37</c:f>
              <c:numCache>
                <c:formatCode>General</c:formatCode>
                <c:ptCount val="1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</c:numCache>
            </c:numRef>
          </c:xVal>
          <c:yVal>
            <c:numRef>
              <c:f>Full1!$AD$19:$AD$37</c:f>
              <c:numCache>
                <c:formatCode>General</c:formatCode>
                <c:ptCount val="19"/>
                <c:pt idx="0">
                  <c:v>12.5</c:v>
                </c:pt>
                <c:pt idx="1">
                  <c:v>16</c:v>
                </c:pt>
                <c:pt idx="2">
                  <c:v>20.5</c:v>
                </c:pt>
                <c:pt idx="3">
                  <c:v>26</c:v>
                </c:pt>
                <c:pt idx="4">
                  <c:v>32</c:v>
                </c:pt>
                <c:pt idx="5">
                  <c:v>37</c:v>
                </c:pt>
                <c:pt idx="6">
                  <c:v>41</c:v>
                </c:pt>
                <c:pt idx="7">
                  <c:v>46</c:v>
                </c:pt>
                <c:pt idx="8">
                  <c:v>52</c:v>
                </c:pt>
                <c:pt idx="9">
                  <c:v>58</c:v>
                </c:pt>
                <c:pt idx="10">
                  <c:v>62</c:v>
                </c:pt>
                <c:pt idx="11">
                  <c:v>65</c:v>
                </c:pt>
                <c:pt idx="12">
                  <c:v>70</c:v>
                </c:pt>
                <c:pt idx="13">
                  <c:v>74.5</c:v>
                </c:pt>
                <c:pt idx="14">
                  <c:v>79</c:v>
                </c:pt>
                <c:pt idx="15">
                  <c:v>84.5</c:v>
                </c:pt>
                <c:pt idx="16">
                  <c:v>90.5</c:v>
                </c:pt>
                <c:pt idx="17">
                  <c:v>96</c:v>
                </c:pt>
                <c:pt idx="18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60-7145-A002-1172550E6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7107152"/>
        <c:axId val="636758528"/>
      </c:scatterChart>
      <c:valAx>
        <c:axId val="637107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636758528"/>
        <c:crosses val="autoZero"/>
        <c:crossBetween val="midCat"/>
      </c:valAx>
      <c:valAx>
        <c:axId val="63675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637107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Full1!$AT$17</c:f>
              <c:strCache>
                <c:ptCount val="1"/>
                <c:pt idx="0">
                  <c:v>Espai (Horizontal)(cm)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Full1!$AS$18:$AS$33</c:f>
              <c:numCache>
                <c:formatCode>General</c:formatCode>
                <c:ptCount val="16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</c:numCache>
            </c:numRef>
          </c:xVal>
          <c:yVal>
            <c:numRef>
              <c:f>Full1!$AT$18:$AT$33</c:f>
              <c:numCache>
                <c:formatCode>General</c:formatCode>
                <c:ptCount val="16"/>
                <c:pt idx="0">
                  <c:v>11</c:v>
                </c:pt>
                <c:pt idx="1">
                  <c:v>18.5</c:v>
                </c:pt>
                <c:pt idx="2">
                  <c:v>25</c:v>
                </c:pt>
                <c:pt idx="3">
                  <c:v>30.5</c:v>
                </c:pt>
                <c:pt idx="4">
                  <c:v>35.5</c:v>
                </c:pt>
                <c:pt idx="5">
                  <c:v>42</c:v>
                </c:pt>
                <c:pt idx="6">
                  <c:v>48</c:v>
                </c:pt>
                <c:pt idx="7">
                  <c:v>53.5</c:v>
                </c:pt>
                <c:pt idx="8">
                  <c:v>59.5</c:v>
                </c:pt>
                <c:pt idx="9">
                  <c:v>66</c:v>
                </c:pt>
                <c:pt idx="10">
                  <c:v>72.5</c:v>
                </c:pt>
                <c:pt idx="11">
                  <c:v>79.5</c:v>
                </c:pt>
                <c:pt idx="12">
                  <c:v>85.5</c:v>
                </c:pt>
                <c:pt idx="13">
                  <c:v>91</c:v>
                </c:pt>
                <c:pt idx="14">
                  <c:v>96</c:v>
                </c:pt>
                <c:pt idx="15">
                  <c:v>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38-F04A-AD1F-A01711FE3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957120"/>
        <c:axId val="649382768"/>
      </c:scatterChart>
      <c:valAx>
        <c:axId val="64995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649382768"/>
        <c:crosses val="autoZero"/>
        <c:crossBetween val="midCat"/>
      </c:valAx>
      <c:valAx>
        <c:axId val="64938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6499571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Full1!$AN$18:$AN$30</c:f>
              <c:numCache>
                <c:formatCode>General</c:formatCode>
                <c:ptCount val="13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</c:numCache>
            </c:numRef>
          </c:xVal>
          <c:yVal>
            <c:numRef>
              <c:f>Full1!$AO$18:$AO$30</c:f>
              <c:numCache>
                <c:formatCode>General</c:formatCode>
                <c:ptCount val="13"/>
                <c:pt idx="0">
                  <c:v>9.5</c:v>
                </c:pt>
                <c:pt idx="1">
                  <c:v>17</c:v>
                </c:pt>
                <c:pt idx="2">
                  <c:v>26.5</c:v>
                </c:pt>
                <c:pt idx="3">
                  <c:v>34</c:v>
                </c:pt>
                <c:pt idx="4">
                  <c:v>43.5</c:v>
                </c:pt>
                <c:pt idx="5">
                  <c:v>51.5</c:v>
                </c:pt>
                <c:pt idx="6">
                  <c:v>59.5</c:v>
                </c:pt>
                <c:pt idx="7">
                  <c:v>67</c:v>
                </c:pt>
                <c:pt idx="8">
                  <c:v>74.5</c:v>
                </c:pt>
                <c:pt idx="9">
                  <c:v>82</c:v>
                </c:pt>
                <c:pt idx="10">
                  <c:v>89</c:v>
                </c:pt>
                <c:pt idx="11">
                  <c:v>96</c:v>
                </c:pt>
                <c:pt idx="12">
                  <c:v>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E1-8E4E-98BC-C232C229E8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538016"/>
        <c:axId val="635584048"/>
      </c:scatterChart>
      <c:valAx>
        <c:axId val="649538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635584048"/>
        <c:crosses val="autoZero"/>
        <c:crossBetween val="midCat"/>
      </c:valAx>
      <c:valAx>
        <c:axId val="63558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649538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Full1!$AI$18:$AI$26</c:f>
              <c:numCache>
                <c:formatCode>General</c:formatCode>
                <c:ptCount val="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</c:numCache>
            </c:numRef>
          </c:xVal>
          <c:yVal>
            <c:numRef>
              <c:f>Full1!$AJ$18:$AJ$26</c:f>
              <c:numCache>
                <c:formatCode>General</c:formatCode>
                <c:ptCount val="9"/>
                <c:pt idx="0">
                  <c:v>13</c:v>
                </c:pt>
                <c:pt idx="1">
                  <c:v>24.5</c:v>
                </c:pt>
                <c:pt idx="2">
                  <c:v>36.5</c:v>
                </c:pt>
                <c:pt idx="3">
                  <c:v>46.5</c:v>
                </c:pt>
                <c:pt idx="4">
                  <c:v>58</c:v>
                </c:pt>
                <c:pt idx="5">
                  <c:v>68.5</c:v>
                </c:pt>
                <c:pt idx="6">
                  <c:v>78</c:v>
                </c:pt>
                <c:pt idx="7">
                  <c:v>88.5</c:v>
                </c:pt>
                <c:pt idx="8">
                  <c:v>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39-874F-A6E6-E05A4B91D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625408"/>
        <c:axId val="634988224"/>
      </c:scatterChart>
      <c:valAx>
        <c:axId val="634625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634988224"/>
        <c:crosses val="autoZero"/>
        <c:crossBetween val="midCat"/>
      </c:valAx>
      <c:valAx>
        <c:axId val="63498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ES"/>
          </a:p>
        </c:txPr>
        <c:crossAx val="6346254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32</xdr:row>
      <xdr:rowOff>44450</xdr:rowOff>
    </xdr:from>
    <xdr:to>
      <xdr:col>5</xdr:col>
      <xdr:colOff>1187450</xdr:colOff>
      <xdr:row>46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C1BDF8-EC34-0C8C-4522-C6CFCCAF6B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292100</xdr:colOff>
      <xdr:row>43</xdr:row>
      <xdr:rowOff>158750</xdr:rowOff>
    </xdr:from>
    <xdr:to>
      <xdr:col>16</xdr:col>
      <xdr:colOff>381000</xdr:colOff>
      <xdr:row>58</xdr:row>
      <xdr:rowOff>44450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501CB25-680F-5B9F-46D2-95D157ABEE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254000</xdr:colOff>
      <xdr:row>36</xdr:row>
      <xdr:rowOff>120650</xdr:rowOff>
    </xdr:from>
    <xdr:to>
      <xdr:col>11</xdr:col>
      <xdr:colOff>228600</xdr:colOff>
      <xdr:row>51</xdr:row>
      <xdr:rowOff>6350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AEC4532-D1A0-ECB6-3BD9-FBBF68B95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12700</xdr:colOff>
      <xdr:row>36</xdr:row>
      <xdr:rowOff>6350</xdr:rowOff>
    </xdr:from>
    <xdr:to>
      <xdr:col>26</xdr:col>
      <xdr:colOff>419100</xdr:colOff>
      <xdr:row>50</xdr:row>
      <xdr:rowOff>82550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980716E-630F-98B8-B3C5-92B0E90FAF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88900</xdr:colOff>
      <xdr:row>36</xdr:row>
      <xdr:rowOff>146050</xdr:rowOff>
    </xdr:from>
    <xdr:to>
      <xdr:col>21</xdr:col>
      <xdr:colOff>241300</xdr:colOff>
      <xdr:row>51</xdr:row>
      <xdr:rowOff>31750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EC28984-D5DB-A7C3-CD27-FC0D33BBAF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444500</xdr:colOff>
      <xdr:row>38</xdr:row>
      <xdr:rowOff>158750</xdr:rowOff>
    </xdr:from>
    <xdr:to>
      <xdr:col>31</xdr:col>
      <xdr:colOff>114300</xdr:colOff>
      <xdr:row>53</xdr:row>
      <xdr:rowOff>44450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C68602B-4665-13A0-2D28-C1FE8D3351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43</xdr:col>
      <xdr:colOff>63500</xdr:colOff>
      <xdr:row>36</xdr:row>
      <xdr:rowOff>158750</xdr:rowOff>
    </xdr:from>
    <xdr:to>
      <xdr:col>47</xdr:col>
      <xdr:colOff>469900</xdr:colOff>
      <xdr:row>51</xdr:row>
      <xdr:rowOff>44450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2B47FC0-9B14-E479-275D-EE76F10E8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38</xdr:col>
      <xdr:colOff>38100</xdr:colOff>
      <xdr:row>36</xdr:row>
      <xdr:rowOff>57150</xdr:rowOff>
    </xdr:from>
    <xdr:to>
      <xdr:col>42</xdr:col>
      <xdr:colOff>520700</xdr:colOff>
      <xdr:row>50</xdr:row>
      <xdr:rowOff>133350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A0D8FC6-BBBB-5507-61FF-1ED9AD34C3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32</xdr:col>
      <xdr:colOff>419100</xdr:colOff>
      <xdr:row>35</xdr:row>
      <xdr:rowOff>120650</xdr:rowOff>
    </xdr:from>
    <xdr:to>
      <xdr:col>37</xdr:col>
      <xdr:colOff>139700</xdr:colOff>
      <xdr:row>50</xdr:row>
      <xdr:rowOff>6350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080DFF7-A312-9073-F5DE-B80FAEAE88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AU194"/>
  <sheetViews>
    <sheetView tabSelected="1" workbookViewId="0">
      <selection activeCell="O75" sqref="O75"/>
    </sheetView>
  </sheetViews>
  <sheetFormatPr baseColWidth="10" defaultColWidth="8.83203125" defaultRowHeight="15" x14ac:dyDescent="0.2"/>
  <cols>
    <col min="4" max="4" width="16.83203125" customWidth="1"/>
    <col min="5" max="5" width="16.6640625" customWidth="1"/>
    <col min="6" max="6" width="15.6640625" customWidth="1"/>
    <col min="9" max="9" width="17.5" customWidth="1"/>
    <col min="10" max="10" width="20.33203125" customWidth="1"/>
    <col min="11" max="11" width="13.6640625" customWidth="1"/>
    <col min="14" max="14" width="18.33203125" customWidth="1"/>
    <col min="15" max="15" width="18" customWidth="1"/>
    <col min="16" max="16" width="13.6640625" customWidth="1"/>
    <col min="19" max="19" width="19.33203125" customWidth="1"/>
    <col min="20" max="20" width="16.83203125" customWidth="1"/>
    <col min="21" max="21" width="13" customWidth="1"/>
    <col min="24" max="24" width="16.1640625" customWidth="1"/>
    <col min="25" max="25" width="16.83203125" customWidth="1"/>
    <col min="26" max="26" width="12.83203125" customWidth="1"/>
    <col min="29" max="29" width="16" customWidth="1"/>
    <col min="30" max="30" width="19" customWidth="1"/>
    <col min="31" max="31" width="11.6640625" customWidth="1"/>
    <col min="35" max="35" width="16.5" customWidth="1"/>
    <col min="36" max="36" width="17" customWidth="1"/>
    <col min="37" max="37" width="12.5" customWidth="1"/>
    <col min="40" max="40" width="15.83203125" customWidth="1"/>
    <col min="41" max="41" width="16.6640625" customWidth="1"/>
    <col min="42" max="42" width="12.33203125" customWidth="1"/>
    <col min="45" max="45" width="16.1640625" customWidth="1"/>
    <col min="46" max="46" width="17.1640625" customWidth="1"/>
    <col min="47" max="47" width="12.5" customWidth="1"/>
  </cols>
  <sheetData>
    <row r="3" spans="3:47" x14ac:dyDescent="0.2">
      <c r="C3" s="3"/>
      <c r="D3" s="3" t="s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3:47" x14ac:dyDescent="0.2"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3:47" x14ac:dyDescent="0.2">
      <c r="C5" s="3"/>
      <c r="D5" s="3" t="s">
        <v>1</v>
      </c>
      <c r="E5" s="3" t="s">
        <v>2</v>
      </c>
      <c r="F5" s="3"/>
      <c r="G5" s="3"/>
      <c r="H5" s="3"/>
      <c r="I5" s="3" t="s">
        <v>1</v>
      </c>
      <c r="J5" s="3" t="s">
        <v>3</v>
      </c>
      <c r="K5" s="3"/>
      <c r="L5" s="3"/>
      <c r="M5" s="3"/>
      <c r="N5" s="3" t="s">
        <v>1</v>
      </c>
      <c r="O5" s="3" t="s">
        <v>4</v>
      </c>
      <c r="P5" s="3"/>
      <c r="Q5" s="3"/>
      <c r="S5" s="3" t="s">
        <v>5</v>
      </c>
      <c r="T5" s="3" t="s">
        <v>2</v>
      </c>
      <c r="U5" s="3"/>
      <c r="V5" s="3"/>
      <c r="W5" s="3"/>
      <c r="X5" s="3" t="s">
        <v>5</v>
      </c>
      <c r="Y5" s="3" t="s">
        <v>3</v>
      </c>
      <c r="Z5" s="3"/>
      <c r="AA5" s="3"/>
      <c r="AB5" s="3"/>
      <c r="AC5" s="3" t="s">
        <v>5</v>
      </c>
      <c r="AD5" s="3" t="s">
        <v>4</v>
      </c>
      <c r="AE5" s="3"/>
      <c r="AH5" s="1"/>
      <c r="AI5" s="3" t="s">
        <v>6</v>
      </c>
      <c r="AJ5" s="3" t="s">
        <v>2</v>
      </c>
      <c r="AK5" s="3"/>
      <c r="AL5" s="3"/>
      <c r="AM5" s="3"/>
      <c r="AN5" s="3" t="s">
        <v>6</v>
      </c>
      <c r="AO5" s="3" t="s">
        <v>3</v>
      </c>
      <c r="AP5" s="3"/>
      <c r="AQ5" s="3"/>
      <c r="AR5" s="3"/>
      <c r="AS5" s="3" t="s">
        <v>6</v>
      </c>
      <c r="AT5" s="3" t="s">
        <v>4</v>
      </c>
      <c r="AU5" s="3"/>
    </row>
    <row r="6" spans="3:47" x14ac:dyDescent="0.2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</row>
    <row r="7" spans="3:47" x14ac:dyDescent="0.2">
      <c r="C7" s="3"/>
      <c r="D7" s="3" t="s">
        <v>7</v>
      </c>
      <c r="E7" s="3"/>
      <c r="F7" s="3"/>
      <c r="G7" s="3"/>
      <c r="H7" s="3"/>
      <c r="I7" s="3" t="s">
        <v>8</v>
      </c>
      <c r="J7" s="3"/>
      <c r="K7" s="3"/>
      <c r="L7" s="3"/>
      <c r="M7" s="3"/>
      <c r="N7" s="3" t="s">
        <v>9</v>
      </c>
      <c r="O7" s="3"/>
      <c r="P7" s="3"/>
      <c r="Q7" s="3"/>
      <c r="S7" s="3" t="s">
        <v>7</v>
      </c>
      <c r="T7" s="3"/>
      <c r="U7" s="3"/>
      <c r="V7" s="3"/>
      <c r="W7" s="3"/>
      <c r="X7" s="3" t="s">
        <v>8</v>
      </c>
      <c r="Y7" s="3"/>
      <c r="Z7" s="3"/>
      <c r="AA7" s="3"/>
      <c r="AB7" s="3"/>
      <c r="AC7" s="3" t="s">
        <v>9</v>
      </c>
      <c r="AD7" s="3"/>
      <c r="AE7" s="3"/>
      <c r="AI7" s="3" t="s">
        <v>7</v>
      </c>
      <c r="AJ7" s="3"/>
      <c r="AK7" s="3"/>
      <c r="AL7" s="3"/>
      <c r="AM7" s="3"/>
      <c r="AN7" s="3" t="s">
        <v>8</v>
      </c>
      <c r="AO7" s="3"/>
      <c r="AP7" s="3"/>
      <c r="AQ7" s="3"/>
      <c r="AR7" s="3"/>
      <c r="AS7" s="3" t="s">
        <v>9</v>
      </c>
      <c r="AT7" s="3"/>
      <c r="AU7" s="3"/>
    </row>
    <row r="8" spans="3:47" x14ac:dyDescent="0.2"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</row>
    <row r="9" spans="3:47" x14ac:dyDescent="0.2">
      <c r="C9" s="3"/>
      <c r="D9" s="3" t="s">
        <v>10</v>
      </c>
      <c r="E9" s="3">
        <v>0.06</v>
      </c>
      <c r="F9" s="3"/>
      <c r="G9" s="3"/>
      <c r="H9" s="3"/>
      <c r="I9" s="3" t="s">
        <v>11</v>
      </c>
      <c r="J9" s="3">
        <v>0.06</v>
      </c>
      <c r="K9" s="3"/>
      <c r="L9" s="3"/>
      <c r="M9" s="3"/>
      <c r="N9" s="3" t="s">
        <v>11</v>
      </c>
      <c r="O9" s="3">
        <v>0.06</v>
      </c>
      <c r="P9" s="3"/>
      <c r="Q9" s="3"/>
      <c r="S9" s="3" t="s">
        <v>11</v>
      </c>
      <c r="T9" s="3">
        <v>0.08</v>
      </c>
      <c r="U9" s="3"/>
      <c r="V9" s="3"/>
      <c r="W9" s="3"/>
      <c r="X9" s="3" t="s">
        <v>11</v>
      </c>
      <c r="Y9" s="3">
        <v>0.08</v>
      </c>
      <c r="Z9" s="3"/>
      <c r="AA9" s="3"/>
      <c r="AB9" s="3"/>
      <c r="AC9" s="3" t="s">
        <v>11</v>
      </c>
      <c r="AD9" s="3">
        <v>0.08</v>
      </c>
      <c r="AE9" s="3"/>
      <c r="AI9" s="3" t="s">
        <v>11</v>
      </c>
      <c r="AJ9" s="3">
        <v>0.12</v>
      </c>
      <c r="AK9" s="3"/>
      <c r="AL9" s="3"/>
      <c r="AM9" s="3"/>
      <c r="AN9" s="3" t="s">
        <v>11</v>
      </c>
      <c r="AO9" s="3">
        <v>0.12</v>
      </c>
      <c r="AP9" s="3"/>
      <c r="AQ9" s="3"/>
      <c r="AR9" s="3"/>
      <c r="AS9" s="3" t="s">
        <v>11</v>
      </c>
      <c r="AT9" s="3">
        <v>0.12</v>
      </c>
      <c r="AU9" s="3"/>
    </row>
    <row r="10" spans="3:47" x14ac:dyDescent="0.2">
      <c r="C10" s="3"/>
      <c r="D10" s="3" t="s">
        <v>12</v>
      </c>
      <c r="E10" s="3">
        <v>0.14699999999999999</v>
      </c>
      <c r="F10" s="3"/>
      <c r="G10" s="3"/>
      <c r="H10" s="3"/>
      <c r="I10" s="3" t="s">
        <v>12</v>
      </c>
      <c r="J10" s="3">
        <f>$E$10</f>
        <v>0.14699999999999999</v>
      </c>
      <c r="K10" s="3"/>
      <c r="L10" s="3"/>
      <c r="M10" s="3"/>
      <c r="N10" s="3" t="s">
        <v>12</v>
      </c>
      <c r="O10" s="3">
        <f>$E$10</f>
        <v>0.14699999999999999</v>
      </c>
      <c r="P10" s="3"/>
      <c r="Q10" s="3"/>
      <c r="S10" s="3" t="s">
        <v>12</v>
      </c>
      <c r="T10" s="3">
        <f>$E$10</f>
        <v>0.14699999999999999</v>
      </c>
      <c r="U10" s="3"/>
      <c r="V10" s="3"/>
      <c r="W10" s="3"/>
      <c r="X10" s="3" t="s">
        <v>12</v>
      </c>
      <c r="Y10" s="3">
        <f>$E$10</f>
        <v>0.14699999999999999</v>
      </c>
      <c r="Z10" s="3"/>
      <c r="AA10" s="3"/>
      <c r="AB10" s="3"/>
      <c r="AC10" s="3" t="s">
        <v>12</v>
      </c>
      <c r="AD10" s="3">
        <f>$E$10</f>
        <v>0.14699999999999999</v>
      </c>
      <c r="AE10" s="3"/>
      <c r="AI10" s="3" t="s">
        <v>12</v>
      </c>
      <c r="AJ10" s="3">
        <f>$E$10</f>
        <v>0.14699999999999999</v>
      </c>
      <c r="AK10" s="3"/>
      <c r="AL10" s="3"/>
      <c r="AM10" s="3"/>
      <c r="AN10" s="3" t="s">
        <v>12</v>
      </c>
      <c r="AO10" s="3">
        <f>$E$10</f>
        <v>0.14699999999999999</v>
      </c>
      <c r="AP10" s="3"/>
      <c r="AQ10" s="3"/>
      <c r="AR10" s="3"/>
      <c r="AS10" s="3" t="s">
        <v>12</v>
      </c>
      <c r="AT10" s="3">
        <f>$E$10</f>
        <v>0.14699999999999999</v>
      </c>
      <c r="AU10" s="3"/>
    </row>
    <row r="11" spans="3:47" x14ac:dyDescent="0.2">
      <c r="C11" s="3"/>
      <c r="D11" s="3" t="s">
        <v>13</v>
      </c>
      <c r="E11" s="3">
        <v>0.15</v>
      </c>
      <c r="F11" s="3"/>
      <c r="G11" s="3"/>
      <c r="H11" s="3"/>
      <c r="I11" s="3" t="s">
        <v>13</v>
      </c>
      <c r="J11" s="3">
        <f>$E$11</f>
        <v>0.15</v>
      </c>
      <c r="K11" s="3"/>
      <c r="L11" s="3"/>
      <c r="M11" s="3"/>
      <c r="N11" s="3" t="s">
        <v>13</v>
      </c>
      <c r="O11" s="3">
        <f>$E$11</f>
        <v>0.15</v>
      </c>
      <c r="P11" s="3"/>
      <c r="Q11" s="3"/>
      <c r="S11" s="3" t="s">
        <v>13</v>
      </c>
      <c r="T11" s="3">
        <f>$E$11</f>
        <v>0.15</v>
      </c>
      <c r="U11" s="3"/>
      <c r="V11" s="3"/>
      <c r="W11" s="3"/>
      <c r="X11" s="3" t="s">
        <v>13</v>
      </c>
      <c r="Y11" s="3">
        <f>$E$11</f>
        <v>0.15</v>
      </c>
      <c r="Z11" s="3"/>
      <c r="AA11" s="3"/>
      <c r="AB11" s="3"/>
      <c r="AC11" s="3" t="s">
        <v>13</v>
      </c>
      <c r="AD11" s="3">
        <f>$E$11</f>
        <v>0.15</v>
      </c>
      <c r="AE11" s="3"/>
      <c r="AI11" s="3" t="s">
        <v>13</v>
      </c>
      <c r="AJ11" s="3">
        <f>$E$11</f>
        <v>0.15</v>
      </c>
      <c r="AK11" s="3"/>
      <c r="AL11" s="3"/>
      <c r="AM11" s="3"/>
      <c r="AN11" s="3" t="s">
        <v>13</v>
      </c>
      <c r="AO11" s="3">
        <f>$E$11</f>
        <v>0.15</v>
      </c>
      <c r="AP11" s="3"/>
      <c r="AQ11" s="3"/>
      <c r="AR11" s="3"/>
      <c r="AS11" s="3" t="s">
        <v>13</v>
      </c>
      <c r="AT11" s="3">
        <f>$E$11</f>
        <v>0.15</v>
      </c>
      <c r="AU11" s="3"/>
    </row>
    <row r="12" spans="3:47" x14ac:dyDescent="0.2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</row>
    <row r="13" spans="3:47" x14ac:dyDescent="0.2">
      <c r="C13" s="3"/>
      <c r="D13" s="4" t="s">
        <v>14</v>
      </c>
      <c r="E13" s="4" t="s">
        <v>15</v>
      </c>
      <c r="F13" s="4" t="s">
        <v>16</v>
      </c>
      <c r="G13" s="3"/>
      <c r="H13" s="3"/>
      <c r="I13" s="4" t="s">
        <v>14</v>
      </c>
      <c r="J13" s="4" t="s">
        <v>15</v>
      </c>
      <c r="K13" s="4" t="s">
        <v>16</v>
      </c>
      <c r="L13" s="3"/>
      <c r="M13" s="3"/>
      <c r="N13" s="4" t="s">
        <v>14</v>
      </c>
      <c r="O13" s="4" t="s">
        <v>15</v>
      </c>
      <c r="P13" s="4" t="s">
        <v>16</v>
      </c>
      <c r="Q13" s="3"/>
      <c r="S13" s="4" t="s">
        <v>14</v>
      </c>
      <c r="T13" s="4" t="s">
        <v>15</v>
      </c>
      <c r="U13" s="4" t="s">
        <v>16</v>
      </c>
      <c r="V13" s="3"/>
      <c r="W13" s="3"/>
      <c r="X13" s="4" t="s">
        <v>14</v>
      </c>
      <c r="Y13" s="4" t="s">
        <v>15</v>
      </c>
      <c r="Z13" s="4" t="s">
        <v>16</v>
      </c>
      <c r="AA13" s="3"/>
      <c r="AB13" s="3"/>
      <c r="AC13" s="4" t="s">
        <v>14</v>
      </c>
      <c r="AD13" s="4" t="s">
        <v>15</v>
      </c>
      <c r="AE13" s="4" t="s">
        <v>16</v>
      </c>
      <c r="AI13" s="4" t="s">
        <v>14</v>
      </c>
      <c r="AJ13" s="4" t="s">
        <v>15</v>
      </c>
      <c r="AK13" s="4" t="s">
        <v>16</v>
      </c>
      <c r="AL13" s="3"/>
      <c r="AM13" s="3"/>
      <c r="AN13" s="4" t="s">
        <v>14</v>
      </c>
      <c r="AO13" s="4" t="s">
        <v>15</v>
      </c>
      <c r="AP13" s="4" t="s">
        <v>16</v>
      </c>
      <c r="AQ13" s="3"/>
      <c r="AR13" s="3"/>
      <c r="AS13" s="4" t="s">
        <v>14</v>
      </c>
      <c r="AT13" s="4" t="s">
        <v>15</v>
      </c>
      <c r="AU13" s="4" t="s">
        <v>16</v>
      </c>
    </row>
    <row r="14" spans="3:47" x14ac:dyDescent="0.2">
      <c r="C14" s="3"/>
      <c r="D14" s="4">
        <f>E9*E10*E11</f>
        <v>1.323E-3</v>
      </c>
      <c r="E14" s="4">
        <f>D14*1000</f>
        <v>1.323</v>
      </c>
      <c r="F14" s="4">
        <f>E14*17</f>
        <v>22.491</v>
      </c>
      <c r="G14" s="3"/>
      <c r="H14" s="3"/>
      <c r="I14" s="4">
        <f>J9*J10*J11</f>
        <v>1.323E-3</v>
      </c>
      <c r="J14" s="4">
        <f>I14*1000</f>
        <v>1.323</v>
      </c>
      <c r="K14" s="4">
        <f>J14*9.8</f>
        <v>12.965400000000001</v>
      </c>
      <c r="L14" s="3"/>
      <c r="M14" s="3"/>
      <c r="N14" s="4">
        <f>O9*O10*O11</f>
        <v>1.323E-3</v>
      </c>
      <c r="O14" s="4">
        <f>N14*1000</f>
        <v>1.323</v>
      </c>
      <c r="P14" s="4">
        <f>O14*6.3</f>
        <v>8.3348999999999993</v>
      </c>
      <c r="Q14" s="3"/>
      <c r="S14" s="4">
        <f>T9*T10*T11</f>
        <v>1.7639999999999999E-3</v>
      </c>
      <c r="T14" s="4">
        <f>S14*1000</f>
        <v>1.764</v>
      </c>
      <c r="U14" s="4">
        <f>T14*17</f>
        <v>29.988</v>
      </c>
      <c r="V14" s="3"/>
      <c r="W14" s="3"/>
      <c r="X14" s="4">
        <f>Y9*Y10*Y11</f>
        <v>1.7639999999999999E-3</v>
      </c>
      <c r="Y14" s="4">
        <f>X14*1000</f>
        <v>1.764</v>
      </c>
      <c r="Z14" s="4">
        <f>Y14*9.8</f>
        <v>17.287200000000002</v>
      </c>
      <c r="AA14" s="3"/>
      <c r="AB14" s="3"/>
      <c r="AC14" s="4">
        <f>AD9*AD10*AD11</f>
        <v>1.7639999999999999E-3</v>
      </c>
      <c r="AD14" s="4">
        <f>AC14*1000</f>
        <v>1.764</v>
      </c>
      <c r="AE14" s="4">
        <f>AD14*6.3</f>
        <v>11.113199999999999</v>
      </c>
      <c r="AI14" s="4">
        <f>AJ9*AJ10*AJ11</f>
        <v>2.6459999999999999E-3</v>
      </c>
      <c r="AJ14" s="4">
        <f>AI14*1000</f>
        <v>2.6459999999999999</v>
      </c>
      <c r="AK14" s="4">
        <f>AJ14*17</f>
        <v>44.981999999999999</v>
      </c>
      <c r="AL14" s="3"/>
      <c r="AM14" s="3"/>
      <c r="AN14" s="4">
        <f>AO9*AO10*AO11</f>
        <v>2.6459999999999999E-3</v>
      </c>
      <c r="AO14" s="4">
        <f>AN14*1000</f>
        <v>2.6459999999999999</v>
      </c>
      <c r="AP14" s="4">
        <f>AO14*9.8</f>
        <v>25.930800000000001</v>
      </c>
      <c r="AQ14" s="3"/>
      <c r="AR14" s="3"/>
      <c r="AS14" s="4">
        <f>AT9*AT10*AT11</f>
        <v>2.6459999999999999E-3</v>
      </c>
      <c r="AT14" s="4">
        <f>AS14*1000</f>
        <v>2.6459999999999999</v>
      </c>
      <c r="AU14" s="4">
        <f>AT14*6.3</f>
        <v>16.669799999999999</v>
      </c>
    </row>
    <row r="15" spans="3:47" x14ac:dyDescent="0.2"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3:47" x14ac:dyDescent="0.2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47" x14ac:dyDescent="0.2">
      <c r="C17" s="3"/>
      <c r="D17" s="3"/>
      <c r="E17" s="3"/>
      <c r="F17" s="3"/>
      <c r="G17" s="3"/>
      <c r="H17" s="3"/>
      <c r="I17" s="3"/>
      <c r="J17" s="3" t="s">
        <v>17</v>
      </c>
      <c r="K17" s="3"/>
      <c r="L17" s="3"/>
      <c r="M17" s="3"/>
      <c r="N17" s="3"/>
      <c r="O17" s="3" t="s">
        <v>17</v>
      </c>
      <c r="P17" s="3"/>
      <c r="Q17" s="3"/>
      <c r="AI17" s="4" t="s">
        <v>18</v>
      </c>
      <c r="AJ17" s="5" t="s">
        <v>19</v>
      </c>
      <c r="AK17" s="4" t="s">
        <v>20</v>
      </c>
      <c r="AN17" s="4" t="s">
        <v>18</v>
      </c>
      <c r="AO17" s="5" t="s">
        <v>19</v>
      </c>
      <c r="AP17" s="4" t="s">
        <v>20</v>
      </c>
      <c r="AS17" s="4" t="s">
        <v>18</v>
      </c>
      <c r="AT17" s="5" t="s">
        <v>19</v>
      </c>
      <c r="AU17" s="4" t="s">
        <v>20</v>
      </c>
    </row>
    <row r="18" spans="3:47" x14ac:dyDescent="0.2">
      <c r="C18" s="3"/>
      <c r="D18" s="4" t="s">
        <v>18</v>
      </c>
      <c r="E18" s="5" t="s">
        <v>19</v>
      </c>
      <c r="F18" s="4" t="s">
        <v>20</v>
      </c>
      <c r="I18" s="4" t="s">
        <v>18</v>
      </c>
      <c r="J18" s="5" t="s">
        <v>19</v>
      </c>
      <c r="K18" s="4" t="s">
        <v>20</v>
      </c>
      <c r="N18" s="4" t="s">
        <v>18</v>
      </c>
      <c r="O18" s="4" t="s">
        <v>19</v>
      </c>
      <c r="P18" s="4" t="s">
        <v>20</v>
      </c>
      <c r="Q18" s="3"/>
      <c r="S18" s="4" t="s">
        <v>18</v>
      </c>
      <c r="T18" s="5" t="s">
        <v>19</v>
      </c>
      <c r="U18" s="4" t="s">
        <v>20</v>
      </c>
      <c r="X18" s="4" t="s">
        <v>18</v>
      </c>
      <c r="Y18" s="5" t="s">
        <v>19</v>
      </c>
      <c r="Z18" s="4" t="s">
        <v>20</v>
      </c>
      <c r="AC18" s="4" t="s">
        <v>18</v>
      </c>
      <c r="AD18" s="5" t="s">
        <v>19</v>
      </c>
      <c r="AE18" s="4" t="s">
        <v>20</v>
      </c>
      <c r="AI18" s="4">
        <v>2</v>
      </c>
      <c r="AJ18" s="5">
        <v>13</v>
      </c>
      <c r="AK18" s="2">
        <v>5</v>
      </c>
      <c r="AN18" s="4">
        <v>2</v>
      </c>
      <c r="AO18" s="5">
        <v>9.5</v>
      </c>
      <c r="AP18" s="4">
        <v>5.5</v>
      </c>
      <c r="AS18" s="4">
        <v>2</v>
      </c>
      <c r="AT18" s="5">
        <v>11</v>
      </c>
      <c r="AU18" s="4">
        <v>3.5</v>
      </c>
    </row>
    <row r="19" spans="3:47" x14ac:dyDescent="0.2">
      <c r="C19" s="3"/>
      <c r="D19" s="4">
        <v>2</v>
      </c>
      <c r="E19" s="5">
        <v>10.5</v>
      </c>
      <c r="F19" s="4">
        <v>4.5</v>
      </c>
      <c r="I19" s="4">
        <v>2</v>
      </c>
      <c r="J19" s="5">
        <v>7.5</v>
      </c>
      <c r="K19" s="4">
        <v>4.5</v>
      </c>
      <c r="N19" s="4">
        <v>2</v>
      </c>
      <c r="O19" s="4">
        <v>6.5</v>
      </c>
      <c r="P19" s="4">
        <v>5.5</v>
      </c>
      <c r="Q19" s="3"/>
      <c r="S19" s="4">
        <v>2</v>
      </c>
      <c r="T19" s="5">
        <v>10</v>
      </c>
      <c r="U19" s="4">
        <v>3</v>
      </c>
      <c r="X19" s="4">
        <v>2</v>
      </c>
      <c r="Y19" s="5">
        <v>11.5</v>
      </c>
      <c r="Z19" s="4">
        <v>5</v>
      </c>
      <c r="AC19" s="4">
        <v>2</v>
      </c>
      <c r="AD19" s="5">
        <v>12.5</v>
      </c>
      <c r="AE19" s="4">
        <v>5</v>
      </c>
      <c r="AI19" s="4">
        <v>4</v>
      </c>
      <c r="AJ19" s="5">
        <v>24.5</v>
      </c>
      <c r="AK19" s="2">
        <v>6</v>
      </c>
      <c r="AN19" s="4">
        <v>4</v>
      </c>
      <c r="AO19" s="5">
        <v>17</v>
      </c>
      <c r="AP19" s="4">
        <v>6</v>
      </c>
      <c r="AS19" s="4">
        <v>4</v>
      </c>
      <c r="AT19" s="5">
        <v>18.5</v>
      </c>
      <c r="AU19" s="4">
        <v>3</v>
      </c>
    </row>
    <row r="20" spans="3:47" x14ac:dyDescent="0.2">
      <c r="C20" s="3"/>
      <c r="D20" s="4">
        <v>4</v>
      </c>
      <c r="E20" s="5">
        <v>19.5</v>
      </c>
      <c r="F20" s="4">
        <v>2.5</v>
      </c>
      <c r="I20" s="4">
        <v>4</v>
      </c>
      <c r="J20" s="5">
        <v>11.5</v>
      </c>
      <c r="K20" s="4">
        <v>2.5</v>
      </c>
      <c r="N20" s="4">
        <v>4</v>
      </c>
      <c r="O20" s="4">
        <v>11</v>
      </c>
      <c r="P20" s="4">
        <v>5</v>
      </c>
      <c r="Q20" s="3"/>
      <c r="S20" s="4">
        <v>4</v>
      </c>
      <c r="T20" s="5">
        <v>17</v>
      </c>
      <c r="U20" s="4">
        <v>3</v>
      </c>
      <c r="X20" s="4">
        <v>4</v>
      </c>
      <c r="Y20" s="5">
        <v>16.5</v>
      </c>
      <c r="Z20" s="4">
        <v>4.5</v>
      </c>
      <c r="AC20" s="4">
        <v>4</v>
      </c>
      <c r="AD20" s="5">
        <v>16</v>
      </c>
      <c r="AE20" s="4">
        <v>3</v>
      </c>
      <c r="AI20" s="4">
        <v>6</v>
      </c>
      <c r="AJ20" s="5">
        <v>36.5</v>
      </c>
      <c r="AK20" s="2">
        <v>6</v>
      </c>
      <c r="AN20" s="4">
        <v>6</v>
      </c>
      <c r="AO20" s="5">
        <v>26.5</v>
      </c>
      <c r="AP20" s="4">
        <v>6</v>
      </c>
      <c r="AS20" s="4">
        <v>6</v>
      </c>
      <c r="AT20" s="5">
        <v>25</v>
      </c>
      <c r="AU20" s="4">
        <v>4</v>
      </c>
    </row>
    <row r="21" spans="3:47" x14ac:dyDescent="0.2">
      <c r="C21" s="3"/>
      <c r="D21" s="4">
        <v>6</v>
      </c>
      <c r="E21" s="5">
        <v>28.5</v>
      </c>
      <c r="F21" s="4">
        <v>3.5</v>
      </c>
      <c r="I21" s="4">
        <v>6</v>
      </c>
      <c r="J21" s="5">
        <v>17</v>
      </c>
      <c r="K21" s="4">
        <v>2.5</v>
      </c>
      <c r="N21" s="4">
        <v>6</v>
      </c>
      <c r="O21" s="4">
        <v>16</v>
      </c>
      <c r="P21" s="4">
        <v>4.5</v>
      </c>
      <c r="Q21" s="3"/>
      <c r="S21" s="4">
        <v>6</v>
      </c>
      <c r="T21" s="5">
        <v>27</v>
      </c>
      <c r="U21" s="4">
        <v>3.5</v>
      </c>
      <c r="X21" s="4">
        <v>6</v>
      </c>
      <c r="Y21" s="5">
        <v>21</v>
      </c>
      <c r="Z21" s="4">
        <v>4</v>
      </c>
      <c r="AC21" s="4">
        <v>6</v>
      </c>
      <c r="AD21" s="5">
        <v>20.5</v>
      </c>
      <c r="AE21" s="4">
        <v>2.5</v>
      </c>
      <c r="AI21" s="4">
        <v>8</v>
      </c>
      <c r="AJ21" s="5">
        <v>46.5</v>
      </c>
      <c r="AK21" s="2">
        <v>5.5</v>
      </c>
      <c r="AN21" s="4">
        <v>8</v>
      </c>
      <c r="AO21" s="5">
        <v>34</v>
      </c>
      <c r="AP21" s="4">
        <v>5</v>
      </c>
      <c r="AS21" s="4">
        <v>8</v>
      </c>
      <c r="AT21" s="5">
        <v>30.5</v>
      </c>
      <c r="AU21" s="4">
        <v>4</v>
      </c>
    </row>
    <row r="22" spans="3:47" x14ac:dyDescent="0.2">
      <c r="C22" s="3"/>
      <c r="D22" s="4">
        <v>8</v>
      </c>
      <c r="E22" s="5">
        <v>38</v>
      </c>
      <c r="F22" s="4">
        <v>3.5</v>
      </c>
      <c r="I22" s="4">
        <v>8</v>
      </c>
      <c r="J22" s="5">
        <v>23</v>
      </c>
      <c r="K22" s="4">
        <v>2.5</v>
      </c>
      <c r="N22" s="4">
        <v>8</v>
      </c>
      <c r="O22" s="4">
        <v>21.5</v>
      </c>
      <c r="P22" s="4">
        <v>3</v>
      </c>
      <c r="Q22" s="3"/>
      <c r="S22" s="4">
        <v>8</v>
      </c>
      <c r="T22" s="5">
        <v>34</v>
      </c>
      <c r="U22" s="4">
        <v>3</v>
      </c>
      <c r="X22" s="4">
        <v>8</v>
      </c>
      <c r="Y22" s="5">
        <v>27.5</v>
      </c>
      <c r="Z22" s="4">
        <v>4</v>
      </c>
      <c r="AC22" s="4">
        <v>8</v>
      </c>
      <c r="AD22" s="5">
        <v>26</v>
      </c>
      <c r="AE22" s="4">
        <v>3</v>
      </c>
      <c r="AI22" s="4">
        <v>10</v>
      </c>
      <c r="AJ22" s="5">
        <v>58</v>
      </c>
      <c r="AK22" s="2">
        <v>5.5</v>
      </c>
      <c r="AN22" s="4">
        <v>10</v>
      </c>
      <c r="AO22" s="5">
        <v>43.5</v>
      </c>
      <c r="AP22" s="4">
        <v>5</v>
      </c>
      <c r="AS22" s="4">
        <v>10</v>
      </c>
      <c r="AT22" s="5">
        <v>35.5</v>
      </c>
      <c r="AU22" s="4">
        <v>3.5</v>
      </c>
    </row>
    <row r="23" spans="3:47" x14ac:dyDescent="0.2">
      <c r="C23" s="3"/>
      <c r="D23" s="4">
        <v>10</v>
      </c>
      <c r="E23" s="5">
        <v>44.5</v>
      </c>
      <c r="F23" s="4">
        <v>3</v>
      </c>
      <c r="I23" s="4">
        <v>10</v>
      </c>
      <c r="J23" s="5">
        <v>27</v>
      </c>
      <c r="K23" s="4">
        <v>2.5</v>
      </c>
      <c r="N23" s="4">
        <v>10</v>
      </c>
      <c r="O23" s="4">
        <v>24.5</v>
      </c>
      <c r="P23" s="4">
        <v>2.5</v>
      </c>
      <c r="Q23" s="3"/>
      <c r="S23" s="4">
        <v>10</v>
      </c>
      <c r="T23" s="5">
        <v>41</v>
      </c>
      <c r="U23" s="4">
        <v>3.5</v>
      </c>
      <c r="X23" s="4">
        <v>10</v>
      </c>
      <c r="Y23" s="5">
        <v>32</v>
      </c>
      <c r="Z23" s="4">
        <v>4</v>
      </c>
      <c r="AC23" s="4">
        <v>10</v>
      </c>
      <c r="AD23" s="5">
        <v>32</v>
      </c>
      <c r="AE23" s="4">
        <v>3</v>
      </c>
      <c r="AI23" s="4">
        <v>12</v>
      </c>
      <c r="AJ23" s="5">
        <v>68.5</v>
      </c>
      <c r="AK23" s="2">
        <v>5</v>
      </c>
      <c r="AN23" s="4">
        <v>12</v>
      </c>
      <c r="AO23" s="5">
        <v>51.5</v>
      </c>
      <c r="AP23" s="4">
        <v>5</v>
      </c>
      <c r="AS23" s="4">
        <v>12</v>
      </c>
      <c r="AT23" s="5">
        <v>42</v>
      </c>
      <c r="AU23" s="4">
        <v>4.5</v>
      </c>
    </row>
    <row r="24" spans="3:47" x14ac:dyDescent="0.2">
      <c r="C24" s="3"/>
      <c r="D24" s="4">
        <v>12</v>
      </c>
      <c r="E24" s="5">
        <v>52.5</v>
      </c>
      <c r="F24" s="4">
        <v>3</v>
      </c>
      <c r="I24" s="4">
        <v>12</v>
      </c>
      <c r="J24" s="5">
        <v>32.5</v>
      </c>
      <c r="K24" s="4">
        <v>2</v>
      </c>
      <c r="N24" s="4">
        <v>12</v>
      </c>
      <c r="O24" s="4">
        <v>28.75</v>
      </c>
      <c r="P24" s="4">
        <v>2.5</v>
      </c>
      <c r="Q24" s="3"/>
      <c r="S24" s="4">
        <v>12</v>
      </c>
      <c r="T24" s="5">
        <v>47.5</v>
      </c>
      <c r="U24" s="4">
        <v>3.5</v>
      </c>
      <c r="X24" s="4">
        <v>12</v>
      </c>
      <c r="Y24" s="5">
        <v>39</v>
      </c>
      <c r="Z24" s="4">
        <v>4</v>
      </c>
      <c r="AC24" s="4">
        <v>12</v>
      </c>
      <c r="AD24" s="5">
        <v>37</v>
      </c>
      <c r="AE24" s="4">
        <v>3</v>
      </c>
      <c r="AI24" s="4">
        <v>14</v>
      </c>
      <c r="AJ24" s="5">
        <v>78</v>
      </c>
      <c r="AK24" s="2">
        <v>6</v>
      </c>
      <c r="AN24" s="4">
        <v>14</v>
      </c>
      <c r="AO24" s="5">
        <v>59.5</v>
      </c>
      <c r="AP24" s="4">
        <v>5</v>
      </c>
      <c r="AS24" s="4">
        <v>14</v>
      </c>
      <c r="AT24" s="5">
        <v>48</v>
      </c>
      <c r="AU24" s="4">
        <v>4</v>
      </c>
    </row>
    <row r="25" spans="3:47" x14ac:dyDescent="0.2">
      <c r="C25" s="3"/>
      <c r="D25" s="4">
        <v>14</v>
      </c>
      <c r="E25" s="5">
        <v>59</v>
      </c>
      <c r="F25" s="4">
        <v>2.5</v>
      </c>
      <c r="I25" s="4">
        <v>14</v>
      </c>
      <c r="J25" s="5">
        <v>39</v>
      </c>
      <c r="K25" s="4">
        <v>2.5</v>
      </c>
      <c r="N25" s="4">
        <v>14</v>
      </c>
      <c r="O25" s="4">
        <v>32.5</v>
      </c>
      <c r="P25" s="4">
        <v>2.5</v>
      </c>
      <c r="Q25" s="3"/>
      <c r="S25" s="4">
        <v>14</v>
      </c>
      <c r="T25" s="5">
        <v>55.5</v>
      </c>
      <c r="U25" s="4">
        <v>3.5</v>
      </c>
      <c r="X25" s="4">
        <v>14</v>
      </c>
      <c r="Y25" s="5">
        <v>47</v>
      </c>
      <c r="Z25" s="4">
        <v>4</v>
      </c>
      <c r="AC25" s="4">
        <v>14</v>
      </c>
      <c r="AD25" s="5">
        <v>41</v>
      </c>
      <c r="AE25" s="4">
        <v>3</v>
      </c>
      <c r="AI25" s="4">
        <v>16</v>
      </c>
      <c r="AJ25" s="5">
        <v>88.5</v>
      </c>
      <c r="AK25" s="2">
        <v>5.5</v>
      </c>
      <c r="AN25" s="4">
        <v>16</v>
      </c>
      <c r="AO25" s="5">
        <v>67</v>
      </c>
      <c r="AP25" s="4">
        <v>5</v>
      </c>
      <c r="AS25" s="4">
        <v>16</v>
      </c>
      <c r="AT25" s="5">
        <v>53.5</v>
      </c>
      <c r="AU25" s="4">
        <v>4.5</v>
      </c>
    </row>
    <row r="26" spans="3:47" x14ac:dyDescent="0.2">
      <c r="C26" s="3"/>
      <c r="D26" s="4">
        <v>16</v>
      </c>
      <c r="E26" s="5">
        <v>66.5</v>
      </c>
      <c r="F26" s="4">
        <v>2.5</v>
      </c>
      <c r="I26" s="4">
        <v>16</v>
      </c>
      <c r="J26" s="5">
        <v>44</v>
      </c>
      <c r="K26" s="4">
        <v>2.5</v>
      </c>
      <c r="N26" s="4">
        <v>16</v>
      </c>
      <c r="O26" s="4">
        <v>36.25</v>
      </c>
      <c r="P26" s="4">
        <v>2.5</v>
      </c>
      <c r="Q26" s="3"/>
      <c r="S26" s="4">
        <v>16</v>
      </c>
      <c r="T26" s="5">
        <v>62.5</v>
      </c>
      <c r="U26" s="4">
        <v>3.5</v>
      </c>
      <c r="X26" s="4">
        <v>16</v>
      </c>
      <c r="Y26" s="5">
        <v>54</v>
      </c>
      <c r="Z26" s="4">
        <v>3.5</v>
      </c>
      <c r="AC26" s="4">
        <v>16</v>
      </c>
      <c r="AD26" s="5">
        <v>46</v>
      </c>
      <c r="AE26" s="4">
        <v>3</v>
      </c>
      <c r="AI26" s="4">
        <v>18</v>
      </c>
      <c r="AJ26" s="5">
        <v>98</v>
      </c>
      <c r="AK26" s="2">
        <v>6</v>
      </c>
      <c r="AN26" s="4">
        <v>18</v>
      </c>
      <c r="AO26" s="5">
        <v>74.5</v>
      </c>
      <c r="AP26" s="4">
        <v>5</v>
      </c>
      <c r="AS26" s="4">
        <v>18</v>
      </c>
      <c r="AT26" s="5">
        <v>59.5</v>
      </c>
      <c r="AU26" s="4">
        <v>4.5</v>
      </c>
    </row>
    <row r="27" spans="3:47" x14ac:dyDescent="0.2">
      <c r="C27" s="3"/>
      <c r="D27" s="4">
        <v>18</v>
      </c>
      <c r="E27" s="5">
        <v>74.5</v>
      </c>
      <c r="F27" s="4">
        <v>2.5</v>
      </c>
      <c r="I27" s="4">
        <v>18</v>
      </c>
      <c r="J27" s="5">
        <v>48.5</v>
      </c>
      <c r="K27" s="4">
        <v>2</v>
      </c>
      <c r="N27" s="4">
        <v>18</v>
      </c>
      <c r="O27" s="4">
        <v>40.5</v>
      </c>
      <c r="P27" s="4">
        <v>3</v>
      </c>
      <c r="Q27" s="3"/>
      <c r="S27" s="4">
        <v>18</v>
      </c>
      <c r="T27" s="5">
        <v>70</v>
      </c>
      <c r="U27" s="4">
        <v>3.5</v>
      </c>
      <c r="X27" s="4">
        <v>18</v>
      </c>
      <c r="Y27" s="5">
        <v>61</v>
      </c>
      <c r="Z27" s="4">
        <v>4</v>
      </c>
      <c r="AC27" s="4">
        <v>18</v>
      </c>
      <c r="AD27" s="5">
        <v>52</v>
      </c>
      <c r="AE27" s="4">
        <v>3.5</v>
      </c>
      <c r="AI27" s="4"/>
      <c r="AJ27" s="5"/>
      <c r="AK27" s="4"/>
      <c r="AN27" s="4">
        <v>20</v>
      </c>
      <c r="AO27" s="5">
        <v>82</v>
      </c>
      <c r="AP27" s="4">
        <v>5</v>
      </c>
      <c r="AS27" s="4">
        <v>20</v>
      </c>
      <c r="AT27" s="5">
        <v>66</v>
      </c>
      <c r="AU27" s="4">
        <v>4.5</v>
      </c>
    </row>
    <row r="28" spans="3:47" x14ac:dyDescent="0.2">
      <c r="C28" s="3"/>
      <c r="D28" s="4">
        <v>20</v>
      </c>
      <c r="E28" s="5">
        <v>80</v>
      </c>
      <c r="F28" s="4">
        <v>2.5</v>
      </c>
      <c r="G28" s="3"/>
      <c r="H28" s="3"/>
      <c r="I28" s="4">
        <v>20</v>
      </c>
      <c r="J28" s="5">
        <v>53.5</v>
      </c>
      <c r="K28" s="4">
        <v>2.5</v>
      </c>
      <c r="L28" s="3"/>
      <c r="M28" s="3"/>
      <c r="N28" s="4">
        <v>20</v>
      </c>
      <c r="O28" s="4">
        <v>45.5</v>
      </c>
      <c r="P28" s="4">
        <v>2.5</v>
      </c>
      <c r="Q28" s="3"/>
      <c r="S28" s="4">
        <v>20</v>
      </c>
      <c r="T28" s="5">
        <v>76.5</v>
      </c>
      <c r="U28" s="4">
        <v>3.5</v>
      </c>
      <c r="X28" s="4">
        <v>20</v>
      </c>
      <c r="Y28" s="5">
        <v>65.5</v>
      </c>
      <c r="Z28" s="4">
        <v>3.5</v>
      </c>
      <c r="AC28" s="4">
        <v>20</v>
      </c>
      <c r="AD28" s="5">
        <v>58</v>
      </c>
      <c r="AE28" s="4">
        <v>3</v>
      </c>
      <c r="AI28" s="4"/>
      <c r="AJ28" s="5" t="s">
        <v>21</v>
      </c>
      <c r="AK28" s="4"/>
      <c r="AN28" s="4">
        <v>22</v>
      </c>
      <c r="AO28" s="5">
        <v>89</v>
      </c>
      <c r="AP28" s="4">
        <v>5</v>
      </c>
      <c r="AS28" s="4">
        <v>22</v>
      </c>
      <c r="AT28" s="5">
        <v>72.5</v>
      </c>
      <c r="AU28" s="4">
        <v>4.5</v>
      </c>
    </row>
    <row r="29" spans="3:47" x14ac:dyDescent="0.2">
      <c r="C29" s="3"/>
      <c r="D29" s="4">
        <v>22</v>
      </c>
      <c r="E29" s="5">
        <v>87</v>
      </c>
      <c r="F29" s="4">
        <v>2.5</v>
      </c>
      <c r="G29" s="3"/>
      <c r="H29" s="3"/>
      <c r="I29" s="4">
        <v>22</v>
      </c>
      <c r="J29" s="5">
        <v>57.5</v>
      </c>
      <c r="K29" s="4">
        <v>2.5</v>
      </c>
      <c r="L29" s="3"/>
      <c r="M29" s="3"/>
      <c r="N29" s="4">
        <v>22</v>
      </c>
      <c r="O29" s="4">
        <v>50.5</v>
      </c>
      <c r="P29" s="4">
        <v>2.5</v>
      </c>
      <c r="Q29" s="3"/>
      <c r="S29" s="4">
        <v>22</v>
      </c>
      <c r="T29" s="5">
        <v>84</v>
      </c>
      <c r="U29" s="4">
        <v>3</v>
      </c>
      <c r="X29" s="4">
        <v>22</v>
      </c>
      <c r="Y29" s="5">
        <v>73</v>
      </c>
      <c r="Z29" s="4">
        <v>4</v>
      </c>
      <c r="AC29" s="4">
        <v>22</v>
      </c>
      <c r="AD29" s="5">
        <v>62</v>
      </c>
      <c r="AE29" s="4">
        <v>2.5</v>
      </c>
      <c r="AI29" s="4"/>
      <c r="AJ29" s="5"/>
      <c r="AK29" s="4"/>
      <c r="AN29" s="4">
        <v>24</v>
      </c>
      <c r="AO29" s="5">
        <v>96</v>
      </c>
      <c r="AP29" s="4">
        <v>5.5</v>
      </c>
      <c r="AS29" s="4">
        <v>24</v>
      </c>
      <c r="AT29" s="5">
        <v>79.5</v>
      </c>
      <c r="AU29" s="4">
        <v>4</v>
      </c>
    </row>
    <row r="30" spans="3:47" x14ac:dyDescent="0.2">
      <c r="C30" s="3"/>
      <c r="D30" s="4">
        <v>24</v>
      </c>
      <c r="E30" s="5">
        <v>93.5</v>
      </c>
      <c r="F30" s="4">
        <v>2.5</v>
      </c>
      <c r="G30" s="3"/>
      <c r="H30" s="3"/>
      <c r="I30" s="4">
        <v>24</v>
      </c>
      <c r="J30" s="5">
        <v>64</v>
      </c>
      <c r="K30" s="4">
        <v>2.5</v>
      </c>
      <c r="L30" s="3"/>
      <c r="M30" s="3"/>
      <c r="N30" s="4">
        <v>24</v>
      </c>
      <c r="O30" s="4">
        <v>55.5</v>
      </c>
      <c r="P30" s="4">
        <v>2.5</v>
      </c>
      <c r="Q30" s="3"/>
      <c r="S30" s="4">
        <v>24</v>
      </c>
      <c r="T30" s="5">
        <v>91.5</v>
      </c>
      <c r="U30" s="4">
        <v>3.5</v>
      </c>
      <c r="X30" s="4">
        <v>24</v>
      </c>
      <c r="Y30" s="5">
        <v>80</v>
      </c>
      <c r="Z30" s="4">
        <v>3</v>
      </c>
      <c r="AC30" s="4">
        <v>24</v>
      </c>
      <c r="AD30" s="5">
        <v>65</v>
      </c>
      <c r="AE30" s="4">
        <v>3</v>
      </c>
      <c r="AI30" s="4"/>
      <c r="AJ30" s="5"/>
      <c r="AK30" s="2"/>
      <c r="AN30" s="4">
        <v>26</v>
      </c>
      <c r="AO30" s="5">
        <v>103</v>
      </c>
      <c r="AP30" s="4">
        <v>5</v>
      </c>
      <c r="AS30" s="4">
        <v>26</v>
      </c>
      <c r="AT30" s="5">
        <v>85.5</v>
      </c>
      <c r="AU30" s="4">
        <v>4</v>
      </c>
    </row>
    <row r="31" spans="3:47" x14ac:dyDescent="0.2">
      <c r="C31" s="3"/>
      <c r="D31" s="4">
        <v>26</v>
      </c>
      <c r="E31" s="4">
        <v>100</v>
      </c>
      <c r="F31" s="4">
        <v>2.5</v>
      </c>
      <c r="I31" s="4">
        <v>26</v>
      </c>
      <c r="J31" s="5">
        <v>70</v>
      </c>
      <c r="K31" s="4">
        <v>2.5</v>
      </c>
      <c r="N31" s="4">
        <v>26</v>
      </c>
      <c r="O31" s="4">
        <v>59.5</v>
      </c>
      <c r="P31" s="4">
        <v>3</v>
      </c>
      <c r="Q31" s="3"/>
      <c r="S31" s="4">
        <v>26</v>
      </c>
      <c r="T31" s="5">
        <v>97</v>
      </c>
      <c r="U31" s="4">
        <v>4</v>
      </c>
      <c r="X31" s="4">
        <v>26</v>
      </c>
      <c r="Y31" s="5">
        <v>87</v>
      </c>
      <c r="Z31" s="4">
        <v>3.5</v>
      </c>
      <c r="AC31" s="4">
        <v>26</v>
      </c>
      <c r="AD31" s="5">
        <v>70</v>
      </c>
      <c r="AE31" s="4">
        <v>3</v>
      </c>
      <c r="AI31" s="4"/>
      <c r="AJ31" s="5"/>
      <c r="AK31" s="2"/>
      <c r="AN31" s="4"/>
      <c r="AO31" s="5"/>
      <c r="AP31" s="2"/>
      <c r="AS31" s="4">
        <v>28</v>
      </c>
      <c r="AT31" s="5">
        <v>91</v>
      </c>
      <c r="AU31" s="4">
        <v>4</v>
      </c>
    </row>
    <row r="32" spans="3:47" x14ac:dyDescent="0.2">
      <c r="C32" s="3"/>
      <c r="D32" s="3"/>
      <c r="E32" s="3"/>
      <c r="I32" s="4">
        <v>28</v>
      </c>
      <c r="J32" s="5">
        <v>74.5</v>
      </c>
      <c r="K32" s="4">
        <v>2.5</v>
      </c>
      <c r="N32" s="4">
        <v>28</v>
      </c>
      <c r="O32" s="4">
        <v>64</v>
      </c>
      <c r="P32" s="4">
        <v>3.5</v>
      </c>
      <c r="Q32" s="3"/>
      <c r="S32" s="4"/>
      <c r="T32" s="5"/>
      <c r="U32" s="2"/>
      <c r="X32" s="4">
        <v>28</v>
      </c>
      <c r="Y32" s="5">
        <v>94</v>
      </c>
      <c r="Z32" s="4">
        <v>3.5</v>
      </c>
      <c r="AC32" s="4">
        <v>28</v>
      </c>
      <c r="AD32" s="5">
        <v>74.5</v>
      </c>
      <c r="AE32" s="4">
        <v>2.5</v>
      </c>
      <c r="AI32" s="4"/>
      <c r="AJ32" s="6"/>
      <c r="AK32" s="2"/>
      <c r="AN32" s="4"/>
      <c r="AO32" s="6" t="s">
        <v>21</v>
      </c>
      <c r="AP32" s="2"/>
      <c r="AS32" s="4">
        <v>30</v>
      </c>
      <c r="AT32" s="5">
        <v>96</v>
      </c>
      <c r="AU32" s="4">
        <v>4</v>
      </c>
    </row>
    <row r="33" spans="3:47" x14ac:dyDescent="0.2">
      <c r="C33" s="3"/>
      <c r="D33" s="3"/>
      <c r="I33" s="4">
        <v>30</v>
      </c>
      <c r="J33" s="5">
        <v>81.5</v>
      </c>
      <c r="K33" s="4">
        <v>2.5</v>
      </c>
      <c r="N33" s="4">
        <v>30</v>
      </c>
      <c r="O33" s="4">
        <v>68.5</v>
      </c>
      <c r="P33" s="4">
        <v>3</v>
      </c>
      <c r="Q33" s="3"/>
      <c r="S33" s="4"/>
      <c r="T33" s="6"/>
      <c r="U33" s="2"/>
      <c r="X33" s="4">
        <v>30</v>
      </c>
      <c r="Y33" s="5">
        <v>100</v>
      </c>
      <c r="Z33" s="4">
        <v>3.5</v>
      </c>
      <c r="AC33" s="4">
        <v>30</v>
      </c>
      <c r="AD33" s="5">
        <v>79</v>
      </c>
      <c r="AE33" s="4">
        <v>2.5</v>
      </c>
      <c r="AI33" s="4"/>
      <c r="AJ33" s="2"/>
      <c r="AK33" s="2"/>
      <c r="AN33" s="4"/>
      <c r="AO33" s="2"/>
      <c r="AP33" s="2"/>
      <c r="AS33" s="4">
        <v>32</v>
      </c>
      <c r="AT33" s="4">
        <v>101</v>
      </c>
      <c r="AU33" s="4">
        <v>4.5</v>
      </c>
    </row>
    <row r="34" spans="3:47" x14ac:dyDescent="0.2">
      <c r="C34" s="3"/>
      <c r="D34" s="3"/>
      <c r="I34" s="4">
        <v>32</v>
      </c>
      <c r="J34" s="4">
        <v>86</v>
      </c>
      <c r="K34" s="4">
        <v>2</v>
      </c>
      <c r="N34" s="4">
        <v>32</v>
      </c>
      <c r="O34" s="4">
        <v>72.5</v>
      </c>
      <c r="P34" s="4">
        <v>3</v>
      </c>
      <c r="Q34" s="3"/>
      <c r="S34" s="4"/>
      <c r="T34" s="2" t="s">
        <v>22</v>
      </c>
      <c r="U34" s="2"/>
      <c r="X34" s="4"/>
      <c r="Y34" s="2"/>
      <c r="Z34" s="2"/>
      <c r="AC34" s="4">
        <v>32</v>
      </c>
      <c r="AD34" s="4">
        <v>84.5</v>
      </c>
      <c r="AE34" s="4">
        <v>3</v>
      </c>
      <c r="AI34" s="4"/>
      <c r="AJ34" s="2"/>
      <c r="AK34" s="2"/>
      <c r="AN34" s="4"/>
      <c r="AO34" s="2"/>
      <c r="AP34" s="2"/>
      <c r="AS34" s="4"/>
      <c r="AT34" s="2"/>
      <c r="AU34" s="2"/>
    </row>
    <row r="35" spans="3:47" x14ac:dyDescent="0.2">
      <c r="C35" s="3"/>
      <c r="D35" s="3"/>
      <c r="I35" s="4">
        <v>34</v>
      </c>
      <c r="J35" s="4">
        <v>91</v>
      </c>
      <c r="K35" s="4">
        <v>2</v>
      </c>
      <c r="N35" s="4">
        <v>34</v>
      </c>
      <c r="O35" s="4">
        <v>76</v>
      </c>
      <c r="P35" s="4">
        <v>3</v>
      </c>
      <c r="Q35" s="3"/>
      <c r="S35" s="4"/>
      <c r="T35" s="2"/>
      <c r="U35" s="2"/>
      <c r="X35" s="4"/>
      <c r="Y35" s="2"/>
      <c r="Z35" s="2"/>
      <c r="AC35" s="4">
        <v>34</v>
      </c>
      <c r="AD35" s="4">
        <v>90.5</v>
      </c>
      <c r="AE35" s="4">
        <v>3</v>
      </c>
      <c r="AI35" s="4"/>
      <c r="AJ35" s="2"/>
      <c r="AK35" s="2"/>
      <c r="AN35" s="4"/>
      <c r="AO35" s="2"/>
      <c r="AP35" s="2"/>
      <c r="AS35" s="4"/>
      <c r="AT35" s="2"/>
      <c r="AU35" s="2"/>
    </row>
    <row r="36" spans="3:47" x14ac:dyDescent="0.2">
      <c r="C36" s="3"/>
      <c r="D36" s="3"/>
      <c r="I36" s="4">
        <v>36</v>
      </c>
      <c r="J36" s="4">
        <v>97</v>
      </c>
      <c r="K36" s="4">
        <v>2.5</v>
      </c>
      <c r="N36" s="4">
        <v>36</v>
      </c>
      <c r="O36" s="4">
        <v>80</v>
      </c>
      <c r="P36" s="4">
        <v>3</v>
      </c>
      <c r="Q36" s="3"/>
      <c r="S36" s="4"/>
      <c r="T36" s="2"/>
      <c r="U36" s="2"/>
      <c r="X36" s="4"/>
      <c r="Y36" s="2"/>
      <c r="Z36" s="2"/>
      <c r="AC36" s="4">
        <v>36</v>
      </c>
      <c r="AD36" s="4">
        <v>96</v>
      </c>
      <c r="AE36" s="4">
        <v>3</v>
      </c>
      <c r="AI36" s="4"/>
      <c r="AJ36" s="2"/>
      <c r="AK36" s="2"/>
      <c r="AN36" s="4"/>
      <c r="AO36" s="2"/>
      <c r="AP36" s="2"/>
      <c r="AS36" s="4"/>
      <c r="AT36" s="2"/>
      <c r="AU36" s="2"/>
    </row>
    <row r="37" spans="3:47" x14ac:dyDescent="0.2">
      <c r="C37" s="3"/>
      <c r="D37" s="3"/>
      <c r="I37" s="3"/>
      <c r="N37" s="4">
        <v>38</v>
      </c>
      <c r="O37" s="4">
        <v>82.75</v>
      </c>
      <c r="P37" s="4">
        <v>3</v>
      </c>
      <c r="Q37" s="3"/>
      <c r="S37" s="4"/>
      <c r="T37" s="2"/>
      <c r="U37" s="2"/>
      <c r="X37" s="4"/>
      <c r="Y37" s="2" t="s">
        <v>23</v>
      </c>
      <c r="Z37" s="2"/>
      <c r="AC37" s="4">
        <v>38</v>
      </c>
      <c r="AD37" s="4">
        <v>100</v>
      </c>
      <c r="AE37" s="4">
        <v>3</v>
      </c>
      <c r="AI37" s="4"/>
      <c r="AJ37" s="2"/>
      <c r="AK37" s="2"/>
      <c r="AN37" s="4"/>
      <c r="AO37" s="2"/>
      <c r="AP37" s="2"/>
      <c r="AS37" s="4"/>
      <c r="AT37" s="2"/>
      <c r="AU37" s="2"/>
    </row>
    <row r="38" spans="3:47" x14ac:dyDescent="0.2">
      <c r="C38" s="3"/>
      <c r="D38" s="3"/>
      <c r="I38" s="3"/>
      <c r="N38" s="4">
        <v>40</v>
      </c>
      <c r="O38" s="4">
        <v>86</v>
      </c>
      <c r="P38" s="4">
        <v>2.5</v>
      </c>
      <c r="Q38" s="3"/>
      <c r="S38" s="4"/>
      <c r="T38" s="2"/>
      <c r="U38" s="2"/>
      <c r="X38" s="4"/>
      <c r="Y38" s="2"/>
      <c r="Z38" s="2"/>
      <c r="AC38" s="4"/>
      <c r="AD38" s="2"/>
      <c r="AE38" s="2"/>
      <c r="AI38" s="4"/>
      <c r="AJ38" s="2"/>
      <c r="AK38" s="2"/>
      <c r="AN38" s="4"/>
      <c r="AO38" s="2"/>
      <c r="AP38" s="2"/>
      <c r="AS38" s="4"/>
      <c r="AT38" s="2"/>
      <c r="AU38" s="2"/>
    </row>
    <row r="39" spans="3:47" x14ac:dyDescent="0.2">
      <c r="C39" s="3"/>
      <c r="D39" s="3"/>
      <c r="I39" s="3"/>
      <c r="N39" s="4">
        <v>42</v>
      </c>
      <c r="O39" s="4">
        <v>90.5</v>
      </c>
      <c r="P39" s="4">
        <v>2.5</v>
      </c>
      <c r="Q39" s="3"/>
      <c r="S39" s="4">
        <v>42</v>
      </c>
      <c r="T39" s="2"/>
      <c r="U39" s="2"/>
      <c r="X39" s="4"/>
      <c r="Y39" s="2"/>
      <c r="Z39" s="2"/>
      <c r="AC39" s="4"/>
      <c r="AD39" s="2"/>
      <c r="AE39" s="2"/>
      <c r="AI39" s="4"/>
      <c r="AJ39" s="2"/>
      <c r="AK39" s="2"/>
      <c r="AN39" s="4"/>
      <c r="AO39" s="2"/>
      <c r="AP39" s="2"/>
      <c r="AS39" s="4"/>
      <c r="AT39" s="2"/>
      <c r="AU39" s="2"/>
    </row>
    <row r="40" spans="3:47" x14ac:dyDescent="0.2">
      <c r="C40" s="3"/>
      <c r="D40" s="3"/>
      <c r="I40" s="3"/>
      <c r="N40" s="4">
        <v>44</v>
      </c>
      <c r="O40" s="4">
        <v>93.5</v>
      </c>
      <c r="P40" s="4">
        <v>2.5</v>
      </c>
      <c r="Q40" s="3"/>
      <c r="S40" s="4">
        <v>44</v>
      </c>
      <c r="T40" s="2"/>
      <c r="U40" s="2"/>
      <c r="X40" s="4"/>
      <c r="Y40" s="2"/>
      <c r="Z40" s="2"/>
      <c r="AC40" s="4"/>
      <c r="AD40" s="2"/>
      <c r="AE40" s="2"/>
      <c r="AI40" s="4"/>
      <c r="AJ40" s="4"/>
      <c r="AK40" s="4"/>
      <c r="AN40" s="4"/>
      <c r="AO40" s="4"/>
      <c r="AP40" s="4"/>
      <c r="AS40" s="4"/>
      <c r="AT40" s="4"/>
      <c r="AU40" s="4"/>
    </row>
    <row r="41" spans="3:47" x14ac:dyDescent="0.2"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4">
        <v>46</v>
      </c>
      <c r="O41" s="4">
        <v>97.5</v>
      </c>
      <c r="P41" s="4">
        <v>2.5</v>
      </c>
      <c r="Q41" s="3"/>
      <c r="S41" s="4">
        <v>46</v>
      </c>
      <c r="T41" s="4"/>
      <c r="U41" s="4"/>
      <c r="X41" s="4"/>
      <c r="Y41" s="4"/>
      <c r="Z41" s="4"/>
      <c r="AC41" s="4"/>
      <c r="AD41" s="4"/>
      <c r="AE41" s="4"/>
      <c r="AT41" t="s">
        <v>24</v>
      </c>
    </row>
    <row r="42" spans="3:47" x14ac:dyDescent="0.2"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3:47" x14ac:dyDescent="0.2">
      <c r="AD43" t="s">
        <v>25</v>
      </c>
    </row>
    <row r="44" spans="3:47" x14ac:dyDescent="0.2">
      <c r="AS44" t="s">
        <v>26</v>
      </c>
    </row>
    <row r="50" spans="2:39" x14ac:dyDescent="0.2">
      <c r="E50" t="s">
        <v>27</v>
      </c>
      <c r="F50" t="s">
        <v>28</v>
      </c>
    </row>
    <row r="54" spans="2:39" x14ac:dyDescent="0.2">
      <c r="D54" s="3" t="s">
        <v>29</v>
      </c>
      <c r="E54" s="3" t="s">
        <v>30</v>
      </c>
      <c r="F54" s="3" t="s">
        <v>31</v>
      </c>
      <c r="G54" s="3"/>
      <c r="I54" s="3" t="s">
        <v>32</v>
      </c>
      <c r="J54" s="3"/>
    </row>
    <row r="55" spans="2:39" x14ac:dyDescent="0.2">
      <c r="E55" s="4" t="s">
        <v>10</v>
      </c>
      <c r="F55" s="4">
        <v>1E-3</v>
      </c>
      <c r="G55" s="3"/>
      <c r="I55" s="3" t="s">
        <v>33</v>
      </c>
      <c r="J55" s="3">
        <f>F55*E10*E11+F56*E9*E11+F57*E9*E10</f>
        <v>3.9869999999999996E-5</v>
      </c>
    </row>
    <row r="56" spans="2:39" x14ac:dyDescent="0.2">
      <c r="E56" s="4" t="s">
        <v>12</v>
      </c>
      <c r="F56" s="4">
        <v>1E-3</v>
      </c>
      <c r="G56" s="3"/>
      <c r="I56" s="7" t="s">
        <v>34</v>
      </c>
      <c r="J56" s="3"/>
    </row>
    <row r="57" spans="2:39" x14ac:dyDescent="0.2">
      <c r="E57" s="4" t="s">
        <v>13</v>
      </c>
      <c r="F57" s="4">
        <v>1E-3</v>
      </c>
      <c r="G57" s="3"/>
      <c r="I57" s="3"/>
      <c r="J57" s="3"/>
    </row>
    <row r="58" spans="2:39" x14ac:dyDescent="0.2">
      <c r="E58" s="4" t="s">
        <v>35</v>
      </c>
      <c r="F58" s="4" t="s">
        <v>36</v>
      </c>
      <c r="G58" s="3" t="s">
        <v>37</v>
      </c>
      <c r="I58" s="3"/>
      <c r="J58" s="3"/>
    </row>
    <row r="59" spans="2:39" x14ac:dyDescent="0.2">
      <c r="E59" s="4" t="s">
        <v>38</v>
      </c>
      <c r="F59" s="2">
        <v>1E-3</v>
      </c>
    </row>
    <row r="62" spans="2:39" ht="16" thickBot="1" x14ac:dyDescent="0.25"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</row>
    <row r="63" spans="2:39" ht="16" thickBot="1" x14ac:dyDescent="0.25">
      <c r="B63" s="8"/>
      <c r="C63" s="8"/>
      <c r="D63" s="8"/>
      <c r="E63" s="8"/>
      <c r="F63" s="8"/>
      <c r="G63" s="43" t="s">
        <v>39</v>
      </c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5"/>
      <c r="T63" s="46" t="s">
        <v>40</v>
      </c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8"/>
      <c r="AI63" s="8"/>
      <c r="AJ63" s="8"/>
      <c r="AK63" s="8"/>
      <c r="AL63" s="8"/>
      <c r="AM63" s="8"/>
    </row>
    <row r="64" spans="2:39" ht="18" thickBot="1" x14ac:dyDescent="0.25">
      <c r="B64" s="8"/>
      <c r="C64" s="11" t="s">
        <v>41</v>
      </c>
      <c r="D64" s="11" t="s">
        <v>42</v>
      </c>
      <c r="E64" s="11" t="s">
        <v>43</v>
      </c>
      <c r="F64" s="11" t="s">
        <v>44</v>
      </c>
      <c r="G64" s="12" t="s">
        <v>45</v>
      </c>
      <c r="H64" s="12" t="s">
        <v>46</v>
      </c>
      <c r="I64" s="12" t="s">
        <v>47</v>
      </c>
      <c r="J64" s="12" t="s">
        <v>48</v>
      </c>
      <c r="K64" s="12" t="s">
        <v>49</v>
      </c>
      <c r="L64" s="12" t="s">
        <v>50</v>
      </c>
      <c r="M64" s="12" t="s">
        <v>51</v>
      </c>
      <c r="N64" s="12" t="s">
        <v>52</v>
      </c>
      <c r="O64" s="13" t="s">
        <v>53</v>
      </c>
      <c r="P64" s="13" t="s">
        <v>54</v>
      </c>
      <c r="Q64" s="13" t="s">
        <v>55</v>
      </c>
      <c r="R64" s="12" t="s">
        <v>56</v>
      </c>
      <c r="S64" s="12" t="s">
        <v>57</v>
      </c>
      <c r="T64" s="14" t="s">
        <v>58</v>
      </c>
      <c r="U64" s="9" t="s">
        <v>45</v>
      </c>
      <c r="V64" s="9" t="s">
        <v>59</v>
      </c>
      <c r="W64" s="9" t="s">
        <v>46</v>
      </c>
      <c r="X64" s="15" t="s">
        <v>60</v>
      </c>
      <c r="Y64" s="14" t="s">
        <v>47</v>
      </c>
      <c r="Z64" s="10" t="s">
        <v>61</v>
      </c>
      <c r="AA64" s="10" t="s">
        <v>49</v>
      </c>
      <c r="AB64" s="10" t="s">
        <v>62</v>
      </c>
      <c r="AC64" s="10" t="s">
        <v>63</v>
      </c>
      <c r="AD64" s="14" t="s">
        <v>56</v>
      </c>
      <c r="AE64" s="14" t="s">
        <v>57</v>
      </c>
      <c r="AF64" s="9" t="s">
        <v>52</v>
      </c>
      <c r="AG64" s="16" t="s">
        <v>64</v>
      </c>
      <c r="AH64" s="16" t="s">
        <v>65</v>
      </c>
      <c r="AI64" s="17" t="s">
        <v>66</v>
      </c>
      <c r="AJ64" s="17" t="s">
        <v>67</v>
      </c>
      <c r="AK64" s="18" t="s">
        <v>68</v>
      </c>
      <c r="AL64" s="17" t="s">
        <v>69</v>
      </c>
      <c r="AM64" s="8"/>
    </row>
    <row r="65" spans="2:39" x14ac:dyDescent="0.2">
      <c r="B65" s="8"/>
      <c r="C65" s="19">
        <v>0</v>
      </c>
      <c r="D65" s="20">
        <v>0</v>
      </c>
      <c r="E65" s="20">
        <v>0</v>
      </c>
      <c r="F65" s="20">
        <v>0</v>
      </c>
      <c r="G65" s="49">
        <f>COUNTA(D65:D74)</f>
        <v>10</v>
      </c>
      <c r="H65" s="34">
        <f>SUM(C65:C74)</f>
        <v>0</v>
      </c>
      <c r="I65" s="34">
        <f>SUM(D65:D74)</f>
        <v>0</v>
      </c>
      <c r="J65" s="21">
        <f t="shared" ref="J65:J74" si="0">C65*D65</f>
        <v>0</v>
      </c>
      <c r="K65" s="34">
        <f>SUM(J65:J74)</f>
        <v>0</v>
      </c>
      <c r="L65" s="21">
        <f t="shared" ref="L65:L74" si="1">C65^2</f>
        <v>0</v>
      </c>
      <c r="M65" s="34">
        <f>SUM(L65:L74)</f>
        <v>0</v>
      </c>
      <c r="N65" s="34">
        <f>(G65*M65)-(H65^2)</f>
        <v>0</v>
      </c>
      <c r="O65" s="34" t="e">
        <f>SQRT($F$7^2+(S65*$E$7)^2)</f>
        <v>#DIV/0!</v>
      </c>
      <c r="P65" s="34" t="e">
        <f>O65*SQRT(M65/N65)</f>
        <v>#DIV/0!</v>
      </c>
      <c r="Q65" s="34" t="e">
        <f>O65*SQRT(G65/N65)</f>
        <v>#DIV/0!</v>
      </c>
      <c r="R65" s="34" t="e">
        <f>(M65*I65-H65*K65)/N65</f>
        <v>#DIV/0!</v>
      </c>
      <c r="S65" s="34" t="e">
        <f>((G65*K65)-(H65*I65))/N65</f>
        <v>#DIV/0!</v>
      </c>
      <c r="T65" s="22" t="e">
        <f t="shared" ref="T65:T74" si="2">1/(F65^2+($S$7*E65)^2)</f>
        <v>#VALUE!</v>
      </c>
      <c r="U65" s="34" t="e">
        <f>SUM(T65:T74)</f>
        <v>#VALUE!</v>
      </c>
      <c r="V65" s="23" t="e">
        <f t="shared" ref="V65:V74" si="3">T65*C65</f>
        <v>#VALUE!</v>
      </c>
      <c r="W65" s="34" t="e">
        <f>SUM(V65:V74)</f>
        <v>#VALUE!</v>
      </c>
      <c r="X65" s="21" t="e">
        <f t="shared" ref="X65:X74" si="4">T65*D65</f>
        <v>#VALUE!</v>
      </c>
      <c r="Y65" s="34" t="e">
        <f>SUM(X65:X74)</f>
        <v>#VALUE!</v>
      </c>
      <c r="Z65" s="24" t="e">
        <f t="shared" ref="Z65:Z74" si="5">T65*C65*D65</f>
        <v>#VALUE!</v>
      </c>
      <c r="AA65" s="34" t="e">
        <f>SUM(Z65:Z74)</f>
        <v>#VALUE!</v>
      </c>
      <c r="AB65" s="24" t="e">
        <f t="shared" ref="AB65:AB74" si="6">T65*L65</f>
        <v>#VALUE!</v>
      </c>
      <c r="AC65" s="34" t="e">
        <f>SUM(AB65:AB74)</f>
        <v>#VALUE!</v>
      </c>
      <c r="AD65" s="34" t="e">
        <f>((AC65*Y65)-(W65*AA65))/AF65</f>
        <v>#VALUE!</v>
      </c>
      <c r="AE65" s="34" t="e">
        <f>((U65*AA65)-(W65*Y65))/AF65</f>
        <v>#VALUE!</v>
      </c>
      <c r="AF65" s="40" t="e">
        <f>(U65*AC65)-(W65^2)</f>
        <v>#VALUE!</v>
      </c>
      <c r="AG65" s="34" t="e">
        <f>SQRT((AC65/AF65))</f>
        <v>#VALUE!</v>
      </c>
      <c r="AH65" s="34" t="e">
        <f>SQRT((U65/AF65))</f>
        <v>#VALUE!</v>
      </c>
      <c r="AI65" s="37">
        <f>_xlfn.STDEV.S(C65:C74)</f>
        <v>0</v>
      </c>
      <c r="AJ65" s="37">
        <f>_xlfn.STDEV.S(D65:D74)</f>
        <v>0</v>
      </c>
      <c r="AK65" s="37">
        <f>_xlfn.COVARIANCE.S(C65:C74,D65:D74)</f>
        <v>0</v>
      </c>
      <c r="AL65" s="37" t="e">
        <f>CORREL(C65:C74,D65:D74)</f>
        <v>#DIV/0!</v>
      </c>
      <c r="AM65" s="8"/>
    </row>
    <row r="66" spans="2:39" x14ac:dyDescent="0.2">
      <c r="B66" s="8"/>
      <c r="C66" s="25">
        <v>0</v>
      </c>
      <c r="D66" s="26">
        <v>0</v>
      </c>
      <c r="E66" s="26">
        <v>0</v>
      </c>
      <c r="F66" s="26">
        <v>0</v>
      </c>
      <c r="G66" s="50"/>
      <c r="H66" s="35"/>
      <c r="I66" s="35"/>
      <c r="J66" s="22">
        <f t="shared" si="0"/>
        <v>0</v>
      </c>
      <c r="K66" s="35"/>
      <c r="L66" s="22">
        <f t="shared" si="1"/>
        <v>0</v>
      </c>
      <c r="M66" s="35"/>
      <c r="N66" s="35"/>
      <c r="O66" s="35"/>
      <c r="P66" s="35"/>
      <c r="Q66" s="35"/>
      <c r="R66" s="35"/>
      <c r="S66" s="35"/>
      <c r="T66" s="22" t="e">
        <f t="shared" si="2"/>
        <v>#VALUE!</v>
      </c>
      <c r="U66" s="35"/>
      <c r="V66" s="27" t="e">
        <f t="shared" si="3"/>
        <v>#VALUE!</v>
      </c>
      <c r="W66" s="35"/>
      <c r="X66" s="22" t="e">
        <f t="shared" si="4"/>
        <v>#VALUE!</v>
      </c>
      <c r="Y66" s="35"/>
      <c r="Z66" s="28" t="e">
        <f t="shared" si="5"/>
        <v>#VALUE!</v>
      </c>
      <c r="AA66" s="35"/>
      <c r="AB66" s="28" t="e">
        <f t="shared" si="6"/>
        <v>#VALUE!</v>
      </c>
      <c r="AC66" s="35"/>
      <c r="AD66" s="35"/>
      <c r="AE66" s="35"/>
      <c r="AF66" s="41"/>
      <c r="AG66" s="35"/>
      <c r="AH66" s="35"/>
      <c r="AI66" s="38"/>
      <c r="AJ66" s="38"/>
      <c r="AK66" s="38"/>
      <c r="AL66" s="38"/>
      <c r="AM66" s="8"/>
    </row>
    <row r="67" spans="2:39" x14ac:dyDescent="0.2">
      <c r="B67" s="8"/>
      <c r="C67" s="25">
        <v>0</v>
      </c>
      <c r="D67" s="26">
        <v>0</v>
      </c>
      <c r="E67" s="26">
        <v>0</v>
      </c>
      <c r="F67" s="26">
        <v>0</v>
      </c>
      <c r="G67" s="50"/>
      <c r="H67" s="35"/>
      <c r="I67" s="35"/>
      <c r="J67" s="22">
        <f t="shared" si="0"/>
        <v>0</v>
      </c>
      <c r="K67" s="35"/>
      <c r="L67" s="22">
        <f t="shared" si="1"/>
        <v>0</v>
      </c>
      <c r="M67" s="35"/>
      <c r="N67" s="35"/>
      <c r="O67" s="35"/>
      <c r="P67" s="35"/>
      <c r="Q67" s="35"/>
      <c r="R67" s="35"/>
      <c r="S67" s="35"/>
      <c r="T67" s="22" t="e">
        <f t="shared" si="2"/>
        <v>#VALUE!</v>
      </c>
      <c r="U67" s="35"/>
      <c r="V67" s="27" t="e">
        <f t="shared" si="3"/>
        <v>#VALUE!</v>
      </c>
      <c r="W67" s="35"/>
      <c r="X67" s="22" t="e">
        <f t="shared" si="4"/>
        <v>#VALUE!</v>
      </c>
      <c r="Y67" s="35"/>
      <c r="Z67" s="28" t="e">
        <f t="shared" si="5"/>
        <v>#VALUE!</v>
      </c>
      <c r="AA67" s="35"/>
      <c r="AB67" s="28" t="e">
        <f t="shared" si="6"/>
        <v>#VALUE!</v>
      </c>
      <c r="AC67" s="35"/>
      <c r="AD67" s="35"/>
      <c r="AE67" s="35"/>
      <c r="AF67" s="41"/>
      <c r="AG67" s="35"/>
      <c r="AH67" s="35"/>
      <c r="AI67" s="38"/>
      <c r="AJ67" s="38"/>
      <c r="AK67" s="38"/>
      <c r="AL67" s="38"/>
      <c r="AM67" s="8"/>
    </row>
    <row r="68" spans="2:39" x14ac:dyDescent="0.2">
      <c r="B68" s="8"/>
      <c r="C68" s="25">
        <v>0</v>
      </c>
      <c r="D68" s="26">
        <v>0</v>
      </c>
      <c r="E68" s="26">
        <v>0</v>
      </c>
      <c r="F68" s="26">
        <v>0</v>
      </c>
      <c r="G68" s="50"/>
      <c r="H68" s="35"/>
      <c r="I68" s="35"/>
      <c r="J68" s="22">
        <f t="shared" si="0"/>
        <v>0</v>
      </c>
      <c r="K68" s="35"/>
      <c r="L68" s="22">
        <f t="shared" si="1"/>
        <v>0</v>
      </c>
      <c r="M68" s="35"/>
      <c r="N68" s="35"/>
      <c r="O68" s="35"/>
      <c r="P68" s="35"/>
      <c r="Q68" s="35"/>
      <c r="R68" s="35"/>
      <c r="S68" s="35"/>
      <c r="T68" s="22" t="e">
        <f t="shared" si="2"/>
        <v>#VALUE!</v>
      </c>
      <c r="U68" s="35"/>
      <c r="V68" s="27" t="e">
        <f t="shared" si="3"/>
        <v>#VALUE!</v>
      </c>
      <c r="W68" s="35"/>
      <c r="X68" s="22" t="e">
        <f t="shared" si="4"/>
        <v>#VALUE!</v>
      </c>
      <c r="Y68" s="35"/>
      <c r="Z68" s="28" t="e">
        <f t="shared" si="5"/>
        <v>#VALUE!</v>
      </c>
      <c r="AA68" s="35"/>
      <c r="AB68" s="28" t="e">
        <f t="shared" si="6"/>
        <v>#VALUE!</v>
      </c>
      <c r="AC68" s="35"/>
      <c r="AD68" s="35"/>
      <c r="AE68" s="35"/>
      <c r="AF68" s="41"/>
      <c r="AG68" s="35"/>
      <c r="AH68" s="35"/>
      <c r="AI68" s="38"/>
      <c r="AJ68" s="38"/>
      <c r="AK68" s="38"/>
      <c r="AL68" s="38"/>
      <c r="AM68" s="8"/>
    </row>
    <row r="69" spans="2:39" x14ac:dyDescent="0.2">
      <c r="B69" s="8"/>
      <c r="C69" s="25">
        <v>0</v>
      </c>
      <c r="D69" s="26">
        <v>0</v>
      </c>
      <c r="E69" s="26">
        <v>0</v>
      </c>
      <c r="F69" s="26">
        <v>0</v>
      </c>
      <c r="G69" s="50"/>
      <c r="H69" s="35"/>
      <c r="I69" s="35"/>
      <c r="J69" s="22">
        <f t="shared" si="0"/>
        <v>0</v>
      </c>
      <c r="K69" s="35"/>
      <c r="L69" s="22">
        <f t="shared" si="1"/>
        <v>0</v>
      </c>
      <c r="M69" s="35"/>
      <c r="N69" s="35"/>
      <c r="O69" s="35"/>
      <c r="P69" s="35"/>
      <c r="Q69" s="35"/>
      <c r="R69" s="35"/>
      <c r="S69" s="35"/>
      <c r="T69" s="22" t="e">
        <f t="shared" si="2"/>
        <v>#VALUE!</v>
      </c>
      <c r="U69" s="35"/>
      <c r="V69" s="27" t="e">
        <f t="shared" si="3"/>
        <v>#VALUE!</v>
      </c>
      <c r="W69" s="35"/>
      <c r="X69" s="22" t="e">
        <f t="shared" si="4"/>
        <v>#VALUE!</v>
      </c>
      <c r="Y69" s="35"/>
      <c r="Z69" s="28" t="e">
        <f t="shared" si="5"/>
        <v>#VALUE!</v>
      </c>
      <c r="AA69" s="35"/>
      <c r="AB69" s="28" t="e">
        <f t="shared" si="6"/>
        <v>#VALUE!</v>
      </c>
      <c r="AC69" s="35"/>
      <c r="AD69" s="35"/>
      <c r="AE69" s="35"/>
      <c r="AF69" s="41"/>
      <c r="AG69" s="35"/>
      <c r="AH69" s="35"/>
      <c r="AI69" s="38"/>
      <c r="AJ69" s="38"/>
      <c r="AK69" s="38"/>
      <c r="AL69" s="38"/>
      <c r="AM69" s="8"/>
    </row>
    <row r="70" spans="2:39" x14ac:dyDescent="0.2">
      <c r="B70" s="8"/>
      <c r="C70" s="25">
        <v>0</v>
      </c>
      <c r="D70" s="26">
        <v>0</v>
      </c>
      <c r="E70" s="26">
        <v>0</v>
      </c>
      <c r="F70" s="26">
        <v>0</v>
      </c>
      <c r="G70" s="50"/>
      <c r="H70" s="35"/>
      <c r="I70" s="35"/>
      <c r="J70" s="22">
        <f t="shared" si="0"/>
        <v>0</v>
      </c>
      <c r="K70" s="35"/>
      <c r="L70" s="22">
        <f t="shared" si="1"/>
        <v>0</v>
      </c>
      <c r="M70" s="35"/>
      <c r="N70" s="35"/>
      <c r="O70" s="35"/>
      <c r="P70" s="35"/>
      <c r="Q70" s="35"/>
      <c r="R70" s="35"/>
      <c r="S70" s="35"/>
      <c r="T70" s="22" t="e">
        <f t="shared" si="2"/>
        <v>#VALUE!</v>
      </c>
      <c r="U70" s="35"/>
      <c r="V70" s="27" t="e">
        <f t="shared" si="3"/>
        <v>#VALUE!</v>
      </c>
      <c r="W70" s="35"/>
      <c r="X70" s="22" t="e">
        <f t="shared" si="4"/>
        <v>#VALUE!</v>
      </c>
      <c r="Y70" s="35"/>
      <c r="Z70" s="28" t="e">
        <f t="shared" si="5"/>
        <v>#VALUE!</v>
      </c>
      <c r="AA70" s="35"/>
      <c r="AB70" s="28" t="e">
        <f t="shared" si="6"/>
        <v>#VALUE!</v>
      </c>
      <c r="AC70" s="35"/>
      <c r="AD70" s="35"/>
      <c r="AE70" s="35"/>
      <c r="AF70" s="41"/>
      <c r="AG70" s="35"/>
      <c r="AH70" s="35"/>
      <c r="AI70" s="38"/>
      <c r="AJ70" s="38"/>
      <c r="AK70" s="38"/>
      <c r="AL70" s="38"/>
      <c r="AM70" s="8"/>
    </row>
    <row r="71" spans="2:39" x14ac:dyDescent="0.2">
      <c r="B71" s="8"/>
      <c r="C71" s="25">
        <v>0</v>
      </c>
      <c r="D71" s="26">
        <v>0</v>
      </c>
      <c r="E71" s="26">
        <v>0</v>
      </c>
      <c r="F71" s="26">
        <v>0</v>
      </c>
      <c r="G71" s="50"/>
      <c r="H71" s="35"/>
      <c r="I71" s="35"/>
      <c r="J71" s="22">
        <f t="shared" si="0"/>
        <v>0</v>
      </c>
      <c r="K71" s="35"/>
      <c r="L71" s="22">
        <f t="shared" si="1"/>
        <v>0</v>
      </c>
      <c r="M71" s="35"/>
      <c r="N71" s="35"/>
      <c r="O71" s="35"/>
      <c r="P71" s="35"/>
      <c r="Q71" s="35"/>
      <c r="R71" s="35"/>
      <c r="S71" s="35"/>
      <c r="T71" s="22" t="e">
        <f t="shared" si="2"/>
        <v>#VALUE!</v>
      </c>
      <c r="U71" s="35"/>
      <c r="V71" s="27" t="e">
        <f t="shared" si="3"/>
        <v>#VALUE!</v>
      </c>
      <c r="W71" s="35"/>
      <c r="X71" s="22" t="e">
        <f t="shared" si="4"/>
        <v>#VALUE!</v>
      </c>
      <c r="Y71" s="35"/>
      <c r="Z71" s="28" t="e">
        <f t="shared" si="5"/>
        <v>#VALUE!</v>
      </c>
      <c r="AA71" s="35"/>
      <c r="AB71" s="28" t="e">
        <f t="shared" si="6"/>
        <v>#VALUE!</v>
      </c>
      <c r="AC71" s="35"/>
      <c r="AD71" s="35"/>
      <c r="AE71" s="35"/>
      <c r="AF71" s="41"/>
      <c r="AG71" s="35"/>
      <c r="AH71" s="35"/>
      <c r="AI71" s="38"/>
      <c r="AJ71" s="38"/>
      <c r="AK71" s="38"/>
      <c r="AL71" s="38"/>
      <c r="AM71" s="8"/>
    </row>
    <row r="72" spans="2:39" x14ac:dyDescent="0.2">
      <c r="B72" s="8"/>
      <c r="C72" s="25">
        <v>0</v>
      </c>
      <c r="D72" s="26">
        <v>0</v>
      </c>
      <c r="E72" s="26">
        <v>0</v>
      </c>
      <c r="F72" s="26">
        <v>0</v>
      </c>
      <c r="G72" s="50"/>
      <c r="H72" s="35"/>
      <c r="I72" s="35"/>
      <c r="J72" s="22">
        <f t="shared" si="0"/>
        <v>0</v>
      </c>
      <c r="K72" s="35"/>
      <c r="L72" s="22">
        <f t="shared" si="1"/>
        <v>0</v>
      </c>
      <c r="M72" s="35"/>
      <c r="N72" s="35"/>
      <c r="O72" s="35"/>
      <c r="P72" s="35"/>
      <c r="Q72" s="35"/>
      <c r="R72" s="35"/>
      <c r="S72" s="35"/>
      <c r="T72" s="22" t="e">
        <f t="shared" si="2"/>
        <v>#VALUE!</v>
      </c>
      <c r="U72" s="35"/>
      <c r="V72" s="27" t="e">
        <f t="shared" si="3"/>
        <v>#VALUE!</v>
      </c>
      <c r="W72" s="35"/>
      <c r="X72" s="22" t="e">
        <f t="shared" si="4"/>
        <v>#VALUE!</v>
      </c>
      <c r="Y72" s="35"/>
      <c r="Z72" s="28" t="e">
        <f t="shared" si="5"/>
        <v>#VALUE!</v>
      </c>
      <c r="AA72" s="35"/>
      <c r="AB72" s="28" t="e">
        <f t="shared" si="6"/>
        <v>#VALUE!</v>
      </c>
      <c r="AC72" s="35"/>
      <c r="AD72" s="35"/>
      <c r="AE72" s="35"/>
      <c r="AF72" s="41"/>
      <c r="AG72" s="35"/>
      <c r="AH72" s="35"/>
      <c r="AI72" s="38"/>
      <c r="AJ72" s="38"/>
      <c r="AK72" s="38"/>
      <c r="AL72" s="38"/>
      <c r="AM72" s="8"/>
    </row>
    <row r="73" spans="2:39" x14ac:dyDescent="0.2">
      <c r="B73" s="8"/>
      <c r="C73" s="25">
        <v>0</v>
      </c>
      <c r="D73" s="26">
        <v>0</v>
      </c>
      <c r="E73" s="26">
        <v>0</v>
      </c>
      <c r="F73" s="26">
        <v>0</v>
      </c>
      <c r="G73" s="50"/>
      <c r="H73" s="35"/>
      <c r="I73" s="35"/>
      <c r="J73" s="22">
        <f t="shared" si="0"/>
        <v>0</v>
      </c>
      <c r="K73" s="35"/>
      <c r="L73" s="22">
        <f t="shared" si="1"/>
        <v>0</v>
      </c>
      <c r="M73" s="35"/>
      <c r="N73" s="35"/>
      <c r="O73" s="35"/>
      <c r="P73" s="35"/>
      <c r="Q73" s="35"/>
      <c r="R73" s="35"/>
      <c r="S73" s="35"/>
      <c r="T73" s="22" t="e">
        <f t="shared" si="2"/>
        <v>#VALUE!</v>
      </c>
      <c r="U73" s="35"/>
      <c r="V73" s="27" t="e">
        <f t="shared" si="3"/>
        <v>#VALUE!</v>
      </c>
      <c r="W73" s="35"/>
      <c r="X73" s="22" t="e">
        <f t="shared" si="4"/>
        <v>#VALUE!</v>
      </c>
      <c r="Y73" s="35"/>
      <c r="Z73" s="28" t="e">
        <f t="shared" si="5"/>
        <v>#VALUE!</v>
      </c>
      <c r="AA73" s="35"/>
      <c r="AB73" s="28" t="e">
        <f t="shared" si="6"/>
        <v>#VALUE!</v>
      </c>
      <c r="AC73" s="35"/>
      <c r="AD73" s="35"/>
      <c r="AE73" s="35"/>
      <c r="AF73" s="41"/>
      <c r="AG73" s="35"/>
      <c r="AH73" s="35"/>
      <c r="AI73" s="38"/>
      <c r="AJ73" s="38"/>
      <c r="AK73" s="38"/>
      <c r="AL73" s="38"/>
      <c r="AM73" s="8"/>
    </row>
    <row r="74" spans="2:39" ht="16" thickBot="1" x14ac:dyDescent="0.25">
      <c r="B74" s="8"/>
      <c r="C74" s="29">
        <v>0</v>
      </c>
      <c r="D74" s="30">
        <v>0</v>
      </c>
      <c r="E74" s="30">
        <v>0</v>
      </c>
      <c r="F74" s="30">
        <v>0</v>
      </c>
      <c r="G74" s="51"/>
      <c r="H74" s="36"/>
      <c r="I74" s="36"/>
      <c r="J74" s="31">
        <f t="shared" si="0"/>
        <v>0</v>
      </c>
      <c r="K74" s="36"/>
      <c r="L74" s="31">
        <f t="shared" si="1"/>
        <v>0</v>
      </c>
      <c r="M74" s="36"/>
      <c r="N74" s="36"/>
      <c r="O74" s="36"/>
      <c r="P74" s="36"/>
      <c r="Q74" s="36"/>
      <c r="R74" s="36"/>
      <c r="S74" s="36"/>
      <c r="T74" s="31" t="e">
        <f t="shared" si="2"/>
        <v>#VALUE!</v>
      </c>
      <c r="U74" s="36"/>
      <c r="V74" s="32" t="e">
        <f t="shared" si="3"/>
        <v>#VALUE!</v>
      </c>
      <c r="W74" s="36"/>
      <c r="X74" s="31" t="e">
        <f t="shared" si="4"/>
        <v>#VALUE!</v>
      </c>
      <c r="Y74" s="36"/>
      <c r="Z74" s="33" t="e">
        <f t="shared" si="5"/>
        <v>#VALUE!</v>
      </c>
      <c r="AA74" s="36"/>
      <c r="AB74" s="33" t="e">
        <f t="shared" si="6"/>
        <v>#VALUE!</v>
      </c>
      <c r="AC74" s="36"/>
      <c r="AD74" s="36"/>
      <c r="AE74" s="36"/>
      <c r="AF74" s="42"/>
      <c r="AG74" s="36"/>
      <c r="AH74" s="36"/>
      <c r="AI74" s="39"/>
      <c r="AJ74" s="39"/>
      <c r="AK74" s="39"/>
      <c r="AL74" s="39"/>
      <c r="AM74" s="8"/>
    </row>
    <row r="77" spans="2:39" ht="16" thickBot="1" x14ac:dyDescent="0.25"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</row>
    <row r="78" spans="2:39" ht="16" thickBot="1" x14ac:dyDescent="0.25">
      <c r="B78" s="8"/>
      <c r="C78" s="8"/>
      <c r="D78" s="8"/>
      <c r="E78" s="8"/>
      <c r="F78" s="8"/>
      <c r="G78" s="43" t="s">
        <v>39</v>
      </c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5"/>
      <c r="T78" s="46" t="s">
        <v>40</v>
      </c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8"/>
      <c r="AI78" s="8"/>
      <c r="AJ78" s="8"/>
      <c r="AK78" s="8"/>
      <c r="AL78" s="8"/>
      <c r="AM78" s="8"/>
    </row>
    <row r="79" spans="2:39" ht="18" thickBot="1" x14ac:dyDescent="0.25">
      <c r="B79" s="8"/>
      <c r="C79" s="11" t="s">
        <v>41</v>
      </c>
      <c r="D79" s="11" t="s">
        <v>42</v>
      </c>
      <c r="E79" s="11" t="s">
        <v>43</v>
      </c>
      <c r="F79" s="11" t="s">
        <v>44</v>
      </c>
      <c r="G79" s="12" t="s">
        <v>45</v>
      </c>
      <c r="H79" s="12" t="s">
        <v>46</v>
      </c>
      <c r="I79" s="12" t="s">
        <v>47</v>
      </c>
      <c r="J79" s="12" t="s">
        <v>48</v>
      </c>
      <c r="K79" s="12" t="s">
        <v>49</v>
      </c>
      <c r="L79" s="12" t="s">
        <v>50</v>
      </c>
      <c r="M79" s="12" t="s">
        <v>51</v>
      </c>
      <c r="N79" s="12" t="s">
        <v>52</v>
      </c>
      <c r="O79" s="13" t="s">
        <v>53</v>
      </c>
      <c r="P79" s="13" t="s">
        <v>54</v>
      </c>
      <c r="Q79" s="13" t="s">
        <v>55</v>
      </c>
      <c r="R79" s="12" t="s">
        <v>56</v>
      </c>
      <c r="S79" s="12" t="s">
        <v>57</v>
      </c>
      <c r="T79" s="14" t="s">
        <v>58</v>
      </c>
      <c r="U79" s="9" t="s">
        <v>45</v>
      </c>
      <c r="V79" s="9" t="s">
        <v>59</v>
      </c>
      <c r="W79" s="9" t="s">
        <v>46</v>
      </c>
      <c r="X79" s="15" t="s">
        <v>60</v>
      </c>
      <c r="Y79" s="14" t="s">
        <v>47</v>
      </c>
      <c r="Z79" s="10" t="s">
        <v>61</v>
      </c>
      <c r="AA79" s="10" t="s">
        <v>49</v>
      </c>
      <c r="AB79" s="10" t="s">
        <v>62</v>
      </c>
      <c r="AC79" s="10" t="s">
        <v>63</v>
      </c>
      <c r="AD79" s="14" t="s">
        <v>56</v>
      </c>
      <c r="AE79" s="14" t="s">
        <v>57</v>
      </c>
      <c r="AF79" s="9" t="s">
        <v>52</v>
      </c>
      <c r="AG79" s="16" t="s">
        <v>64</v>
      </c>
      <c r="AH79" s="16" t="s">
        <v>65</v>
      </c>
      <c r="AI79" s="17" t="s">
        <v>66</v>
      </c>
      <c r="AJ79" s="17" t="s">
        <v>67</v>
      </c>
      <c r="AK79" s="18" t="s">
        <v>68</v>
      </c>
      <c r="AL79" s="17" t="s">
        <v>69</v>
      </c>
      <c r="AM79" s="8"/>
    </row>
    <row r="80" spans="2:39" x14ac:dyDescent="0.2">
      <c r="B80" s="8"/>
      <c r="C80" s="19">
        <v>0</v>
      </c>
      <c r="D80" s="20">
        <v>0</v>
      </c>
      <c r="E80" s="20">
        <v>0</v>
      </c>
      <c r="F80" s="20">
        <v>0</v>
      </c>
      <c r="G80" s="49">
        <f>COUNTA(D80:D89)</f>
        <v>10</v>
      </c>
      <c r="H80" s="34">
        <f>SUM(C80:C89)</f>
        <v>0</v>
      </c>
      <c r="I80" s="34">
        <f>SUM(D80:D89)</f>
        <v>0</v>
      </c>
      <c r="J80" s="21">
        <f t="shared" ref="J80:J89" si="7">C80*D80</f>
        <v>0</v>
      </c>
      <c r="K80" s="34">
        <f>SUM(J80:J89)</f>
        <v>0</v>
      </c>
      <c r="L80" s="21">
        <f t="shared" ref="L80:L89" si="8">C80^2</f>
        <v>0</v>
      </c>
      <c r="M80" s="34">
        <f>SUM(L80:L89)</f>
        <v>0</v>
      </c>
      <c r="N80" s="34">
        <f>(G80*M80)-(H80^2)</f>
        <v>0</v>
      </c>
      <c r="O80" s="34" t="e">
        <f>SQRT($F$7^2+(S80*$E$7)^2)</f>
        <v>#DIV/0!</v>
      </c>
      <c r="P80" s="34" t="e">
        <f>O80*SQRT(M80/N80)</f>
        <v>#DIV/0!</v>
      </c>
      <c r="Q80" s="34" t="e">
        <f>O80*SQRT(G80/N80)</f>
        <v>#DIV/0!</v>
      </c>
      <c r="R80" s="34" t="e">
        <f>(M80*I80-H80*K80)/N80</f>
        <v>#DIV/0!</v>
      </c>
      <c r="S80" s="34" t="e">
        <f>((G80*K80)-(H80*I80))/N80</f>
        <v>#DIV/0!</v>
      </c>
      <c r="T80" s="22" t="e">
        <f t="shared" ref="T80:T89" si="9">1/(F80^2+($S$7*E80)^2)</f>
        <v>#VALUE!</v>
      </c>
      <c r="U80" s="34" t="e">
        <f>SUM(T80:T89)</f>
        <v>#VALUE!</v>
      </c>
      <c r="V80" s="23" t="e">
        <f t="shared" ref="V80:V89" si="10">T80*C80</f>
        <v>#VALUE!</v>
      </c>
      <c r="W80" s="34" t="e">
        <f>SUM(V80:V89)</f>
        <v>#VALUE!</v>
      </c>
      <c r="X80" s="21" t="e">
        <f t="shared" ref="X80:X89" si="11">T80*D80</f>
        <v>#VALUE!</v>
      </c>
      <c r="Y80" s="34" t="e">
        <f>SUM(X80:X89)</f>
        <v>#VALUE!</v>
      </c>
      <c r="Z80" s="24" t="e">
        <f t="shared" ref="Z80:Z89" si="12">T80*C80*D80</f>
        <v>#VALUE!</v>
      </c>
      <c r="AA80" s="34" t="e">
        <f>SUM(Z80:Z89)</f>
        <v>#VALUE!</v>
      </c>
      <c r="AB80" s="24" t="e">
        <f t="shared" ref="AB80:AB89" si="13">T80*L80</f>
        <v>#VALUE!</v>
      </c>
      <c r="AC80" s="34" t="e">
        <f>SUM(AB80:AB89)</f>
        <v>#VALUE!</v>
      </c>
      <c r="AD80" s="34" t="e">
        <f>((AC80*Y80)-(W80*AA80))/AF80</f>
        <v>#VALUE!</v>
      </c>
      <c r="AE80" s="34" t="e">
        <f>((U80*AA80)-(W80*Y80))/AF80</f>
        <v>#VALUE!</v>
      </c>
      <c r="AF80" s="40" t="e">
        <f>(U80*AC80)-(W80^2)</f>
        <v>#VALUE!</v>
      </c>
      <c r="AG80" s="34" t="e">
        <f>SQRT((AC80/AF80))</f>
        <v>#VALUE!</v>
      </c>
      <c r="AH80" s="34" t="e">
        <f>SQRT((U80/AF80))</f>
        <v>#VALUE!</v>
      </c>
      <c r="AI80" s="37">
        <f>_xlfn.STDEV.S(C80:C89)</f>
        <v>0</v>
      </c>
      <c r="AJ80" s="37">
        <f>_xlfn.STDEV.S(D80:D89)</f>
        <v>0</v>
      </c>
      <c r="AK80" s="37">
        <f>_xlfn.COVARIANCE.S(C80:C89,D80:D89)</f>
        <v>0</v>
      </c>
      <c r="AL80" s="37" t="e">
        <f>CORREL(C80:C89,D80:D89)</f>
        <v>#DIV/0!</v>
      </c>
      <c r="AM80" s="8"/>
    </row>
    <row r="81" spans="2:39" x14ac:dyDescent="0.2">
      <c r="B81" s="8"/>
      <c r="C81" s="25">
        <v>0</v>
      </c>
      <c r="D81" s="26">
        <v>0</v>
      </c>
      <c r="E81" s="26">
        <v>0</v>
      </c>
      <c r="F81" s="26">
        <v>0</v>
      </c>
      <c r="G81" s="50"/>
      <c r="H81" s="35"/>
      <c r="I81" s="35"/>
      <c r="J81" s="22">
        <f t="shared" si="7"/>
        <v>0</v>
      </c>
      <c r="K81" s="35"/>
      <c r="L81" s="22">
        <f t="shared" si="8"/>
        <v>0</v>
      </c>
      <c r="M81" s="35"/>
      <c r="N81" s="35"/>
      <c r="O81" s="35"/>
      <c r="P81" s="35"/>
      <c r="Q81" s="35"/>
      <c r="R81" s="35"/>
      <c r="S81" s="35"/>
      <c r="T81" s="22" t="e">
        <f t="shared" si="9"/>
        <v>#VALUE!</v>
      </c>
      <c r="U81" s="35"/>
      <c r="V81" s="27" t="e">
        <f t="shared" si="10"/>
        <v>#VALUE!</v>
      </c>
      <c r="W81" s="35"/>
      <c r="X81" s="22" t="e">
        <f t="shared" si="11"/>
        <v>#VALUE!</v>
      </c>
      <c r="Y81" s="35"/>
      <c r="Z81" s="28" t="e">
        <f t="shared" si="12"/>
        <v>#VALUE!</v>
      </c>
      <c r="AA81" s="35"/>
      <c r="AB81" s="28" t="e">
        <f t="shared" si="13"/>
        <v>#VALUE!</v>
      </c>
      <c r="AC81" s="35"/>
      <c r="AD81" s="35"/>
      <c r="AE81" s="35"/>
      <c r="AF81" s="41"/>
      <c r="AG81" s="35"/>
      <c r="AH81" s="35"/>
      <c r="AI81" s="38"/>
      <c r="AJ81" s="38"/>
      <c r="AK81" s="38"/>
      <c r="AL81" s="38"/>
      <c r="AM81" s="8"/>
    </row>
    <row r="82" spans="2:39" x14ac:dyDescent="0.2">
      <c r="B82" s="8"/>
      <c r="C82" s="25">
        <v>0</v>
      </c>
      <c r="D82" s="26">
        <v>0</v>
      </c>
      <c r="E82" s="26">
        <v>0</v>
      </c>
      <c r="F82" s="26">
        <v>0</v>
      </c>
      <c r="G82" s="50"/>
      <c r="H82" s="35"/>
      <c r="I82" s="35"/>
      <c r="J82" s="22">
        <f t="shared" si="7"/>
        <v>0</v>
      </c>
      <c r="K82" s="35"/>
      <c r="L82" s="22">
        <f t="shared" si="8"/>
        <v>0</v>
      </c>
      <c r="M82" s="35"/>
      <c r="N82" s="35"/>
      <c r="O82" s="35"/>
      <c r="P82" s="35"/>
      <c r="Q82" s="35"/>
      <c r="R82" s="35"/>
      <c r="S82" s="35"/>
      <c r="T82" s="22" t="e">
        <f t="shared" si="9"/>
        <v>#VALUE!</v>
      </c>
      <c r="U82" s="35"/>
      <c r="V82" s="27" t="e">
        <f t="shared" si="10"/>
        <v>#VALUE!</v>
      </c>
      <c r="W82" s="35"/>
      <c r="X82" s="22" t="e">
        <f t="shared" si="11"/>
        <v>#VALUE!</v>
      </c>
      <c r="Y82" s="35"/>
      <c r="Z82" s="28" t="e">
        <f t="shared" si="12"/>
        <v>#VALUE!</v>
      </c>
      <c r="AA82" s="35"/>
      <c r="AB82" s="28" t="e">
        <f t="shared" si="13"/>
        <v>#VALUE!</v>
      </c>
      <c r="AC82" s="35"/>
      <c r="AD82" s="35"/>
      <c r="AE82" s="35"/>
      <c r="AF82" s="41"/>
      <c r="AG82" s="35"/>
      <c r="AH82" s="35"/>
      <c r="AI82" s="38"/>
      <c r="AJ82" s="38"/>
      <c r="AK82" s="38"/>
      <c r="AL82" s="38"/>
      <c r="AM82" s="8"/>
    </row>
    <row r="83" spans="2:39" x14ac:dyDescent="0.2">
      <c r="B83" s="8"/>
      <c r="C83" s="25">
        <v>0</v>
      </c>
      <c r="D83" s="26">
        <v>0</v>
      </c>
      <c r="E83" s="26">
        <v>0</v>
      </c>
      <c r="F83" s="26">
        <v>0</v>
      </c>
      <c r="G83" s="50"/>
      <c r="H83" s="35"/>
      <c r="I83" s="35"/>
      <c r="J83" s="22">
        <f t="shared" si="7"/>
        <v>0</v>
      </c>
      <c r="K83" s="35"/>
      <c r="L83" s="22">
        <f t="shared" si="8"/>
        <v>0</v>
      </c>
      <c r="M83" s="35"/>
      <c r="N83" s="35"/>
      <c r="O83" s="35"/>
      <c r="P83" s="35"/>
      <c r="Q83" s="35"/>
      <c r="R83" s="35"/>
      <c r="S83" s="35"/>
      <c r="T83" s="22" t="e">
        <f t="shared" si="9"/>
        <v>#VALUE!</v>
      </c>
      <c r="U83" s="35"/>
      <c r="V83" s="27" t="e">
        <f t="shared" si="10"/>
        <v>#VALUE!</v>
      </c>
      <c r="W83" s="35"/>
      <c r="X83" s="22" t="e">
        <f t="shared" si="11"/>
        <v>#VALUE!</v>
      </c>
      <c r="Y83" s="35"/>
      <c r="Z83" s="28" t="e">
        <f t="shared" si="12"/>
        <v>#VALUE!</v>
      </c>
      <c r="AA83" s="35"/>
      <c r="AB83" s="28" t="e">
        <f t="shared" si="13"/>
        <v>#VALUE!</v>
      </c>
      <c r="AC83" s="35"/>
      <c r="AD83" s="35"/>
      <c r="AE83" s="35"/>
      <c r="AF83" s="41"/>
      <c r="AG83" s="35"/>
      <c r="AH83" s="35"/>
      <c r="AI83" s="38"/>
      <c r="AJ83" s="38"/>
      <c r="AK83" s="38"/>
      <c r="AL83" s="38"/>
      <c r="AM83" s="8"/>
    </row>
    <row r="84" spans="2:39" x14ac:dyDescent="0.2">
      <c r="B84" s="8"/>
      <c r="C84" s="25">
        <v>0</v>
      </c>
      <c r="D84" s="26">
        <v>0</v>
      </c>
      <c r="E84" s="26">
        <v>0</v>
      </c>
      <c r="F84" s="26">
        <v>0</v>
      </c>
      <c r="G84" s="50"/>
      <c r="H84" s="35"/>
      <c r="I84" s="35"/>
      <c r="J84" s="22">
        <f t="shared" si="7"/>
        <v>0</v>
      </c>
      <c r="K84" s="35"/>
      <c r="L84" s="22">
        <f t="shared" si="8"/>
        <v>0</v>
      </c>
      <c r="M84" s="35"/>
      <c r="N84" s="35"/>
      <c r="O84" s="35"/>
      <c r="P84" s="35"/>
      <c r="Q84" s="35"/>
      <c r="R84" s="35"/>
      <c r="S84" s="35"/>
      <c r="T84" s="22" t="e">
        <f t="shared" si="9"/>
        <v>#VALUE!</v>
      </c>
      <c r="U84" s="35"/>
      <c r="V84" s="27" t="e">
        <f t="shared" si="10"/>
        <v>#VALUE!</v>
      </c>
      <c r="W84" s="35"/>
      <c r="X84" s="22" t="e">
        <f t="shared" si="11"/>
        <v>#VALUE!</v>
      </c>
      <c r="Y84" s="35"/>
      <c r="Z84" s="28" t="e">
        <f t="shared" si="12"/>
        <v>#VALUE!</v>
      </c>
      <c r="AA84" s="35"/>
      <c r="AB84" s="28" t="e">
        <f t="shared" si="13"/>
        <v>#VALUE!</v>
      </c>
      <c r="AC84" s="35"/>
      <c r="AD84" s="35"/>
      <c r="AE84" s="35"/>
      <c r="AF84" s="41"/>
      <c r="AG84" s="35"/>
      <c r="AH84" s="35"/>
      <c r="AI84" s="38"/>
      <c r="AJ84" s="38"/>
      <c r="AK84" s="38"/>
      <c r="AL84" s="38"/>
      <c r="AM84" s="8"/>
    </row>
    <row r="85" spans="2:39" x14ac:dyDescent="0.2">
      <c r="B85" s="8"/>
      <c r="C85" s="25">
        <v>0</v>
      </c>
      <c r="D85" s="26">
        <v>0</v>
      </c>
      <c r="E85" s="26">
        <v>0</v>
      </c>
      <c r="F85" s="26">
        <v>0</v>
      </c>
      <c r="G85" s="50"/>
      <c r="H85" s="35"/>
      <c r="I85" s="35"/>
      <c r="J85" s="22">
        <f t="shared" si="7"/>
        <v>0</v>
      </c>
      <c r="K85" s="35"/>
      <c r="L85" s="22">
        <f t="shared" si="8"/>
        <v>0</v>
      </c>
      <c r="M85" s="35"/>
      <c r="N85" s="35"/>
      <c r="O85" s="35"/>
      <c r="P85" s="35"/>
      <c r="Q85" s="35"/>
      <c r="R85" s="35"/>
      <c r="S85" s="35"/>
      <c r="T85" s="22" t="e">
        <f t="shared" si="9"/>
        <v>#VALUE!</v>
      </c>
      <c r="U85" s="35"/>
      <c r="V85" s="27" t="e">
        <f t="shared" si="10"/>
        <v>#VALUE!</v>
      </c>
      <c r="W85" s="35"/>
      <c r="X85" s="22" t="e">
        <f t="shared" si="11"/>
        <v>#VALUE!</v>
      </c>
      <c r="Y85" s="35"/>
      <c r="Z85" s="28" t="e">
        <f t="shared" si="12"/>
        <v>#VALUE!</v>
      </c>
      <c r="AA85" s="35"/>
      <c r="AB85" s="28" t="e">
        <f t="shared" si="13"/>
        <v>#VALUE!</v>
      </c>
      <c r="AC85" s="35"/>
      <c r="AD85" s="35"/>
      <c r="AE85" s="35"/>
      <c r="AF85" s="41"/>
      <c r="AG85" s="35"/>
      <c r="AH85" s="35"/>
      <c r="AI85" s="38"/>
      <c r="AJ85" s="38"/>
      <c r="AK85" s="38"/>
      <c r="AL85" s="38"/>
      <c r="AM85" s="8"/>
    </row>
    <row r="86" spans="2:39" x14ac:dyDescent="0.2">
      <c r="B86" s="8"/>
      <c r="C86" s="25">
        <v>0</v>
      </c>
      <c r="D86" s="26">
        <v>0</v>
      </c>
      <c r="E86" s="26">
        <v>0</v>
      </c>
      <c r="F86" s="26">
        <v>0</v>
      </c>
      <c r="G86" s="50"/>
      <c r="H86" s="35"/>
      <c r="I86" s="35"/>
      <c r="J86" s="22">
        <f t="shared" si="7"/>
        <v>0</v>
      </c>
      <c r="K86" s="35"/>
      <c r="L86" s="22">
        <f t="shared" si="8"/>
        <v>0</v>
      </c>
      <c r="M86" s="35"/>
      <c r="N86" s="35"/>
      <c r="O86" s="35"/>
      <c r="P86" s="35"/>
      <c r="Q86" s="35"/>
      <c r="R86" s="35"/>
      <c r="S86" s="35"/>
      <c r="T86" s="22" t="e">
        <f t="shared" si="9"/>
        <v>#VALUE!</v>
      </c>
      <c r="U86" s="35"/>
      <c r="V86" s="27" t="e">
        <f t="shared" si="10"/>
        <v>#VALUE!</v>
      </c>
      <c r="W86" s="35"/>
      <c r="X86" s="22" t="e">
        <f t="shared" si="11"/>
        <v>#VALUE!</v>
      </c>
      <c r="Y86" s="35"/>
      <c r="Z86" s="28" t="e">
        <f t="shared" si="12"/>
        <v>#VALUE!</v>
      </c>
      <c r="AA86" s="35"/>
      <c r="AB86" s="28" t="e">
        <f t="shared" si="13"/>
        <v>#VALUE!</v>
      </c>
      <c r="AC86" s="35"/>
      <c r="AD86" s="35"/>
      <c r="AE86" s="35"/>
      <c r="AF86" s="41"/>
      <c r="AG86" s="35"/>
      <c r="AH86" s="35"/>
      <c r="AI86" s="38"/>
      <c r="AJ86" s="38"/>
      <c r="AK86" s="38"/>
      <c r="AL86" s="38"/>
      <c r="AM86" s="8"/>
    </row>
    <row r="87" spans="2:39" x14ac:dyDescent="0.2">
      <c r="B87" s="8"/>
      <c r="C87" s="25">
        <v>0</v>
      </c>
      <c r="D87" s="26">
        <v>0</v>
      </c>
      <c r="E87" s="26">
        <v>0</v>
      </c>
      <c r="F87" s="26">
        <v>0</v>
      </c>
      <c r="G87" s="50"/>
      <c r="H87" s="35"/>
      <c r="I87" s="35"/>
      <c r="J87" s="22">
        <f t="shared" si="7"/>
        <v>0</v>
      </c>
      <c r="K87" s="35"/>
      <c r="L87" s="22">
        <f t="shared" si="8"/>
        <v>0</v>
      </c>
      <c r="M87" s="35"/>
      <c r="N87" s="35"/>
      <c r="O87" s="35"/>
      <c r="P87" s="35"/>
      <c r="Q87" s="35"/>
      <c r="R87" s="35"/>
      <c r="S87" s="35"/>
      <c r="T87" s="22" t="e">
        <f t="shared" si="9"/>
        <v>#VALUE!</v>
      </c>
      <c r="U87" s="35"/>
      <c r="V87" s="27" t="e">
        <f t="shared" si="10"/>
        <v>#VALUE!</v>
      </c>
      <c r="W87" s="35"/>
      <c r="X87" s="22" t="e">
        <f t="shared" si="11"/>
        <v>#VALUE!</v>
      </c>
      <c r="Y87" s="35"/>
      <c r="Z87" s="28" t="e">
        <f t="shared" si="12"/>
        <v>#VALUE!</v>
      </c>
      <c r="AA87" s="35"/>
      <c r="AB87" s="28" t="e">
        <f t="shared" si="13"/>
        <v>#VALUE!</v>
      </c>
      <c r="AC87" s="35"/>
      <c r="AD87" s="35"/>
      <c r="AE87" s="35"/>
      <c r="AF87" s="41"/>
      <c r="AG87" s="35"/>
      <c r="AH87" s="35"/>
      <c r="AI87" s="38"/>
      <c r="AJ87" s="38"/>
      <c r="AK87" s="38"/>
      <c r="AL87" s="38"/>
      <c r="AM87" s="8"/>
    </row>
    <row r="88" spans="2:39" x14ac:dyDescent="0.2">
      <c r="B88" s="8"/>
      <c r="C88" s="25">
        <v>0</v>
      </c>
      <c r="D88" s="26">
        <v>0</v>
      </c>
      <c r="E88" s="26">
        <v>0</v>
      </c>
      <c r="F88" s="26">
        <v>0</v>
      </c>
      <c r="G88" s="50"/>
      <c r="H88" s="35"/>
      <c r="I88" s="35"/>
      <c r="J88" s="22">
        <f t="shared" si="7"/>
        <v>0</v>
      </c>
      <c r="K88" s="35"/>
      <c r="L88" s="22">
        <f t="shared" si="8"/>
        <v>0</v>
      </c>
      <c r="M88" s="35"/>
      <c r="N88" s="35"/>
      <c r="O88" s="35"/>
      <c r="P88" s="35"/>
      <c r="Q88" s="35"/>
      <c r="R88" s="35"/>
      <c r="S88" s="35"/>
      <c r="T88" s="22" t="e">
        <f t="shared" si="9"/>
        <v>#VALUE!</v>
      </c>
      <c r="U88" s="35"/>
      <c r="V88" s="27" t="e">
        <f t="shared" si="10"/>
        <v>#VALUE!</v>
      </c>
      <c r="W88" s="35"/>
      <c r="X88" s="22" t="e">
        <f t="shared" si="11"/>
        <v>#VALUE!</v>
      </c>
      <c r="Y88" s="35"/>
      <c r="Z88" s="28" t="e">
        <f t="shared" si="12"/>
        <v>#VALUE!</v>
      </c>
      <c r="AA88" s="35"/>
      <c r="AB88" s="28" t="e">
        <f t="shared" si="13"/>
        <v>#VALUE!</v>
      </c>
      <c r="AC88" s="35"/>
      <c r="AD88" s="35"/>
      <c r="AE88" s="35"/>
      <c r="AF88" s="41"/>
      <c r="AG88" s="35"/>
      <c r="AH88" s="35"/>
      <c r="AI88" s="38"/>
      <c r="AJ88" s="38"/>
      <c r="AK88" s="38"/>
      <c r="AL88" s="38"/>
      <c r="AM88" s="8"/>
    </row>
    <row r="89" spans="2:39" ht="16" thickBot="1" x14ac:dyDescent="0.25">
      <c r="B89" s="8"/>
      <c r="C89" s="29">
        <v>0</v>
      </c>
      <c r="D89" s="30">
        <v>0</v>
      </c>
      <c r="E89" s="30">
        <v>0</v>
      </c>
      <c r="F89" s="30">
        <v>0</v>
      </c>
      <c r="G89" s="51"/>
      <c r="H89" s="36"/>
      <c r="I89" s="36"/>
      <c r="J89" s="31">
        <f t="shared" si="7"/>
        <v>0</v>
      </c>
      <c r="K89" s="36"/>
      <c r="L89" s="31">
        <f t="shared" si="8"/>
        <v>0</v>
      </c>
      <c r="M89" s="36"/>
      <c r="N89" s="36"/>
      <c r="O89" s="36"/>
      <c r="P89" s="36"/>
      <c r="Q89" s="36"/>
      <c r="R89" s="36"/>
      <c r="S89" s="36"/>
      <c r="T89" s="31" t="e">
        <f t="shared" si="9"/>
        <v>#VALUE!</v>
      </c>
      <c r="U89" s="36"/>
      <c r="V89" s="32" t="e">
        <f t="shared" si="10"/>
        <v>#VALUE!</v>
      </c>
      <c r="W89" s="36"/>
      <c r="X89" s="31" t="e">
        <f t="shared" si="11"/>
        <v>#VALUE!</v>
      </c>
      <c r="Y89" s="36"/>
      <c r="Z89" s="33" t="e">
        <f t="shared" si="12"/>
        <v>#VALUE!</v>
      </c>
      <c r="AA89" s="36"/>
      <c r="AB89" s="33" t="e">
        <f t="shared" si="13"/>
        <v>#VALUE!</v>
      </c>
      <c r="AC89" s="36"/>
      <c r="AD89" s="36"/>
      <c r="AE89" s="36"/>
      <c r="AF89" s="42"/>
      <c r="AG89" s="36"/>
      <c r="AH89" s="36"/>
      <c r="AI89" s="39"/>
      <c r="AJ89" s="39"/>
      <c r="AK89" s="39"/>
      <c r="AL89" s="39"/>
      <c r="AM89" s="8"/>
    </row>
    <row r="92" spans="2:39" ht="16" thickBot="1" x14ac:dyDescent="0.25"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</row>
    <row r="93" spans="2:39" ht="16" thickBot="1" x14ac:dyDescent="0.25">
      <c r="B93" s="8"/>
      <c r="C93" s="8"/>
      <c r="D93" s="8"/>
      <c r="E93" s="8"/>
      <c r="F93" s="8"/>
      <c r="G93" s="43" t="s">
        <v>39</v>
      </c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5"/>
      <c r="T93" s="46" t="s">
        <v>40</v>
      </c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8"/>
      <c r="AI93" s="8"/>
      <c r="AJ93" s="8"/>
      <c r="AK93" s="8"/>
      <c r="AL93" s="8"/>
      <c r="AM93" s="8"/>
    </row>
    <row r="94" spans="2:39" ht="18" thickBot="1" x14ac:dyDescent="0.25">
      <c r="B94" s="8"/>
      <c r="C94" s="11" t="s">
        <v>41</v>
      </c>
      <c r="D94" s="11" t="s">
        <v>42</v>
      </c>
      <c r="E94" s="11" t="s">
        <v>43</v>
      </c>
      <c r="F94" s="11" t="s">
        <v>44</v>
      </c>
      <c r="G94" s="12" t="s">
        <v>45</v>
      </c>
      <c r="H94" s="12" t="s">
        <v>46</v>
      </c>
      <c r="I94" s="12" t="s">
        <v>47</v>
      </c>
      <c r="J94" s="12" t="s">
        <v>48</v>
      </c>
      <c r="K94" s="12" t="s">
        <v>49</v>
      </c>
      <c r="L94" s="12" t="s">
        <v>50</v>
      </c>
      <c r="M94" s="12" t="s">
        <v>51</v>
      </c>
      <c r="N94" s="12" t="s">
        <v>52</v>
      </c>
      <c r="O94" s="13" t="s">
        <v>53</v>
      </c>
      <c r="P94" s="13" t="s">
        <v>54</v>
      </c>
      <c r="Q94" s="13" t="s">
        <v>55</v>
      </c>
      <c r="R94" s="12" t="s">
        <v>56</v>
      </c>
      <c r="S94" s="12" t="s">
        <v>57</v>
      </c>
      <c r="T94" s="14" t="s">
        <v>58</v>
      </c>
      <c r="U94" s="9" t="s">
        <v>45</v>
      </c>
      <c r="V94" s="9" t="s">
        <v>59</v>
      </c>
      <c r="W94" s="9" t="s">
        <v>46</v>
      </c>
      <c r="X94" s="15" t="s">
        <v>60</v>
      </c>
      <c r="Y94" s="14" t="s">
        <v>47</v>
      </c>
      <c r="Z94" s="10" t="s">
        <v>61</v>
      </c>
      <c r="AA94" s="10" t="s">
        <v>49</v>
      </c>
      <c r="AB94" s="10" t="s">
        <v>62</v>
      </c>
      <c r="AC94" s="10" t="s">
        <v>63</v>
      </c>
      <c r="AD94" s="14" t="s">
        <v>56</v>
      </c>
      <c r="AE94" s="14" t="s">
        <v>57</v>
      </c>
      <c r="AF94" s="9" t="s">
        <v>52</v>
      </c>
      <c r="AG94" s="16" t="s">
        <v>64</v>
      </c>
      <c r="AH94" s="16" t="s">
        <v>65</v>
      </c>
      <c r="AI94" s="17" t="s">
        <v>66</v>
      </c>
      <c r="AJ94" s="17" t="s">
        <v>67</v>
      </c>
      <c r="AK94" s="18" t="s">
        <v>68</v>
      </c>
      <c r="AL94" s="17" t="s">
        <v>69</v>
      </c>
      <c r="AM94" s="8"/>
    </row>
    <row r="95" spans="2:39" x14ac:dyDescent="0.2">
      <c r="B95" s="8"/>
      <c r="C95" s="19">
        <v>0</v>
      </c>
      <c r="D95" s="20">
        <v>0</v>
      </c>
      <c r="E95" s="20">
        <v>0</v>
      </c>
      <c r="F95" s="20">
        <v>0</v>
      </c>
      <c r="G95" s="49">
        <f>COUNTA(D95:D104)</f>
        <v>10</v>
      </c>
      <c r="H95" s="34">
        <f>SUM(C95:C104)</f>
        <v>0</v>
      </c>
      <c r="I95" s="34">
        <f>SUM(D95:D104)</f>
        <v>0</v>
      </c>
      <c r="J95" s="21">
        <f t="shared" ref="J95:J104" si="14">C95*D95</f>
        <v>0</v>
      </c>
      <c r="K95" s="34">
        <f>SUM(J95:J104)</f>
        <v>0</v>
      </c>
      <c r="L95" s="21">
        <f t="shared" ref="L95:L104" si="15">C95^2</f>
        <v>0</v>
      </c>
      <c r="M95" s="34">
        <f>SUM(L95:L104)</f>
        <v>0</v>
      </c>
      <c r="N95" s="34">
        <f>(G95*M95)-(H95^2)</f>
        <v>0</v>
      </c>
      <c r="O95" s="34" t="e">
        <f>SQRT($F$7^2+(S95*$E$7)^2)</f>
        <v>#DIV/0!</v>
      </c>
      <c r="P95" s="34" t="e">
        <f>O95*SQRT(M95/N95)</f>
        <v>#DIV/0!</v>
      </c>
      <c r="Q95" s="34" t="e">
        <f>O95*SQRT(G95/N95)</f>
        <v>#DIV/0!</v>
      </c>
      <c r="R95" s="34" t="e">
        <f>(M95*I95-H95*K95)/N95</f>
        <v>#DIV/0!</v>
      </c>
      <c r="S95" s="34" t="e">
        <f>((G95*K95)-(H95*I95))/N95</f>
        <v>#DIV/0!</v>
      </c>
      <c r="T95" s="22" t="e">
        <f t="shared" ref="T95:T104" si="16">1/(F95^2+($S$7*E95)^2)</f>
        <v>#VALUE!</v>
      </c>
      <c r="U95" s="34" t="e">
        <f>SUM(T95:T104)</f>
        <v>#VALUE!</v>
      </c>
      <c r="V95" s="23" t="e">
        <f t="shared" ref="V95:V104" si="17">T95*C95</f>
        <v>#VALUE!</v>
      </c>
      <c r="W95" s="34" t="e">
        <f>SUM(V95:V104)</f>
        <v>#VALUE!</v>
      </c>
      <c r="X95" s="21" t="e">
        <f t="shared" ref="X95:X104" si="18">T95*D95</f>
        <v>#VALUE!</v>
      </c>
      <c r="Y95" s="34" t="e">
        <f>SUM(X95:X104)</f>
        <v>#VALUE!</v>
      </c>
      <c r="Z95" s="24" t="e">
        <f t="shared" ref="Z95:Z104" si="19">T95*C95*D95</f>
        <v>#VALUE!</v>
      </c>
      <c r="AA95" s="34" t="e">
        <f>SUM(Z95:Z104)</f>
        <v>#VALUE!</v>
      </c>
      <c r="AB95" s="24" t="e">
        <f t="shared" ref="AB95:AB104" si="20">T95*L95</f>
        <v>#VALUE!</v>
      </c>
      <c r="AC95" s="34" t="e">
        <f>SUM(AB95:AB104)</f>
        <v>#VALUE!</v>
      </c>
      <c r="AD95" s="34" t="e">
        <f>((AC95*Y95)-(W95*AA95))/AF95</f>
        <v>#VALUE!</v>
      </c>
      <c r="AE95" s="34" t="e">
        <f>((U95*AA95)-(W95*Y95))/AF95</f>
        <v>#VALUE!</v>
      </c>
      <c r="AF95" s="40" t="e">
        <f>(U95*AC95)-(W95^2)</f>
        <v>#VALUE!</v>
      </c>
      <c r="AG95" s="34" t="e">
        <f>SQRT((AC95/AF95))</f>
        <v>#VALUE!</v>
      </c>
      <c r="AH95" s="34" t="e">
        <f>SQRT((U95/AF95))</f>
        <v>#VALUE!</v>
      </c>
      <c r="AI95" s="37">
        <f>_xlfn.STDEV.S(C95:C104)</f>
        <v>0</v>
      </c>
      <c r="AJ95" s="37">
        <f>_xlfn.STDEV.S(D95:D104)</f>
        <v>0</v>
      </c>
      <c r="AK95" s="37">
        <f>_xlfn.COVARIANCE.S(C95:C104,D95:D104)</f>
        <v>0</v>
      </c>
      <c r="AL95" s="37" t="e">
        <f>CORREL(C95:C104,D95:D104)</f>
        <v>#DIV/0!</v>
      </c>
      <c r="AM95" s="8"/>
    </row>
    <row r="96" spans="2:39" x14ac:dyDescent="0.2">
      <c r="B96" s="8"/>
      <c r="C96" s="25">
        <v>0</v>
      </c>
      <c r="D96" s="26">
        <v>0</v>
      </c>
      <c r="E96" s="26">
        <v>0</v>
      </c>
      <c r="F96" s="26">
        <v>0</v>
      </c>
      <c r="G96" s="50"/>
      <c r="H96" s="35"/>
      <c r="I96" s="35"/>
      <c r="J96" s="22">
        <f t="shared" si="14"/>
        <v>0</v>
      </c>
      <c r="K96" s="35"/>
      <c r="L96" s="22">
        <f t="shared" si="15"/>
        <v>0</v>
      </c>
      <c r="M96" s="35"/>
      <c r="N96" s="35"/>
      <c r="O96" s="35"/>
      <c r="P96" s="35"/>
      <c r="Q96" s="35"/>
      <c r="R96" s="35"/>
      <c r="S96" s="35"/>
      <c r="T96" s="22" t="e">
        <f t="shared" si="16"/>
        <v>#VALUE!</v>
      </c>
      <c r="U96" s="35"/>
      <c r="V96" s="27" t="e">
        <f t="shared" si="17"/>
        <v>#VALUE!</v>
      </c>
      <c r="W96" s="35"/>
      <c r="X96" s="22" t="e">
        <f t="shared" si="18"/>
        <v>#VALUE!</v>
      </c>
      <c r="Y96" s="35"/>
      <c r="Z96" s="28" t="e">
        <f t="shared" si="19"/>
        <v>#VALUE!</v>
      </c>
      <c r="AA96" s="35"/>
      <c r="AB96" s="28" t="e">
        <f t="shared" si="20"/>
        <v>#VALUE!</v>
      </c>
      <c r="AC96" s="35"/>
      <c r="AD96" s="35"/>
      <c r="AE96" s="35"/>
      <c r="AF96" s="41"/>
      <c r="AG96" s="35"/>
      <c r="AH96" s="35"/>
      <c r="AI96" s="38"/>
      <c r="AJ96" s="38"/>
      <c r="AK96" s="38"/>
      <c r="AL96" s="38"/>
      <c r="AM96" s="8"/>
    </row>
    <row r="97" spans="2:39" x14ac:dyDescent="0.2">
      <c r="B97" s="8"/>
      <c r="C97" s="25">
        <v>0</v>
      </c>
      <c r="D97" s="26">
        <v>0</v>
      </c>
      <c r="E97" s="26">
        <v>0</v>
      </c>
      <c r="F97" s="26">
        <v>0</v>
      </c>
      <c r="G97" s="50"/>
      <c r="H97" s="35"/>
      <c r="I97" s="35"/>
      <c r="J97" s="22">
        <f t="shared" si="14"/>
        <v>0</v>
      </c>
      <c r="K97" s="35"/>
      <c r="L97" s="22">
        <f t="shared" si="15"/>
        <v>0</v>
      </c>
      <c r="M97" s="35"/>
      <c r="N97" s="35"/>
      <c r="O97" s="35"/>
      <c r="P97" s="35"/>
      <c r="Q97" s="35"/>
      <c r="R97" s="35"/>
      <c r="S97" s="35"/>
      <c r="T97" s="22" t="e">
        <f t="shared" si="16"/>
        <v>#VALUE!</v>
      </c>
      <c r="U97" s="35"/>
      <c r="V97" s="27" t="e">
        <f t="shared" si="17"/>
        <v>#VALUE!</v>
      </c>
      <c r="W97" s="35"/>
      <c r="X97" s="22" t="e">
        <f t="shared" si="18"/>
        <v>#VALUE!</v>
      </c>
      <c r="Y97" s="35"/>
      <c r="Z97" s="28" t="e">
        <f t="shared" si="19"/>
        <v>#VALUE!</v>
      </c>
      <c r="AA97" s="35"/>
      <c r="AB97" s="28" t="e">
        <f t="shared" si="20"/>
        <v>#VALUE!</v>
      </c>
      <c r="AC97" s="35"/>
      <c r="AD97" s="35"/>
      <c r="AE97" s="35"/>
      <c r="AF97" s="41"/>
      <c r="AG97" s="35"/>
      <c r="AH97" s="35"/>
      <c r="AI97" s="38"/>
      <c r="AJ97" s="38"/>
      <c r="AK97" s="38"/>
      <c r="AL97" s="38"/>
      <c r="AM97" s="8"/>
    </row>
    <row r="98" spans="2:39" x14ac:dyDescent="0.2">
      <c r="B98" s="8"/>
      <c r="C98" s="25">
        <v>0</v>
      </c>
      <c r="D98" s="26">
        <v>0</v>
      </c>
      <c r="E98" s="26">
        <v>0</v>
      </c>
      <c r="F98" s="26">
        <v>0</v>
      </c>
      <c r="G98" s="50"/>
      <c r="H98" s="35"/>
      <c r="I98" s="35"/>
      <c r="J98" s="22">
        <f t="shared" si="14"/>
        <v>0</v>
      </c>
      <c r="K98" s="35"/>
      <c r="L98" s="22">
        <f t="shared" si="15"/>
        <v>0</v>
      </c>
      <c r="M98" s="35"/>
      <c r="N98" s="35"/>
      <c r="O98" s="35"/>
      <c r="P98" s="35"/>
      <c r="Q98" s="35"/>
      <c r="R98" s="35"/>
      <c r="S98" s="35"/>
      <c r="T98" s="22" t="e">
        <f t="shared" si="16"/>
        <v>#VALUE!</v>
      </c>
      <c r="U98" s="35"/>
      <c r="V98" s="27" t="e">
        <f t="shared" si="17"/>
        <v>#VALUE!</v>
      </c>
      <c r="W98" s="35"/>
      <c r="X98" s="22" t="e">
        <f t="shared" si="18"/>
        <v>#VALUE!</v>
      </c>
      <c r="Y98" s="35"/>
      <c r="Z98" s="28" t="e">
        <f t="shared" si="19"/>
        <v>#VALUE!</v>
      </c>
      <c r="AA98" s="35"/>
      <c r="AB98" s="28" t="e">
        <f t="shared" si="20"/>
        <v>#VALUE!</v>
      </c>
      <c r="AC98" s="35"/>
      <c r="AD98" s="35"/>
      <c r="AE98" s="35"/>
      <c r="AF98" s="41"/>
      <c r="AG98" s="35"/>
      <c r="AH98" s="35"/>
      <c r="AI98" s="38"/>
      <c r="AJ98" s="38"/>
      <c r="AK98" s="38"/>
      <c r="AL98" s="38"/>
      <c r="AM98" s="8"/>
    </row>
    <row r="99" spans="2:39" x14ac:dyDescent="0.2">
      <c r="B99" s="8"/>
      <c r="C99" s="25">
        <v>0</v>
      </c>
      <c r="D99" s="26">
        <v>0</v>
      </c>
      <c r="E99" s="26">
        <v>0</v>
      </c>
      <c r="F99" s="26">
        <v>0</v>
      </c>
      <c r="G99" s="50"/>
      <c r="H99" s="35"/>
      <c r="I99" s="35"/>
      <c r="J99" s="22">
        <f t="shared" si="14"/>
        <v>0</v>
      </c>
      <c r="K99" s="35"/>
      <c r="L99" s="22">
        <f t="shared" si="15"/>
        <v>0</v>
      </c>
      <c r="M99" s="35"/>
      <c r="N99" s="35"/>
      <c r="O99" s="35"/>
      <c r="P99" s="35"/>
      <c r="Q99" s="35"/>
      <c r="R99" s="35"/>
      <c r="S99" s="35"/>
      <c r="T99" s="22" t="e">
        <f t="shared" si="16"/>
        <v>#VALUE!</v>
      </c>
      <c r="U99" s="35"/>
      <c r="V99" s="27" t="e">
        <f t="shared" si="17"/>
        <v>#VALUE!</v>
      </c>
      <c r="W99" s="35"/>
      <c r="X99" s="22" t="e">
        <f t="shared" si="18"/>
        <v>#VALUE!</v>
      </c>
      <c r="Y99" s="35"/>
      <c r="Z99" s="28" t="e">
        <f t="shared" si="19"/>
        <v>#VALUE!</v>
      </c>
      <c r="AA99" s="35"/>
      <c r="AB99" s="28" t="e">
        <f t="shared" si="20"/>
        <v>#VALUE!</v>
      </c>
      <c r="AC99" s="35"/>
      <c r="AD99" s="35"/>
      <c r="AE99" s="35"/>
      <c r="AF99" s="41"/>
      <c r="AG99" s="35"/>
      <c r="AH99" s="35"/>
      <c r="AI99" s="38"/>
      <c r="AJ99" s="38"/>
      <c r="AK99" s="38"/>
      <c r="AL99" s="38"/>
      <c r="AM99" s="8"/>
    </row>
    <row r="100" spans="2:39" x14ac:dyDescent="0.2">
      <c r="B100" s="8"/>
      <c r="C100" s="25">
        <v>0</v>
      </c>
      <c r="D100" s="26">
        <v>0</v>
      </c>
      <c r="E100" s="26">
        <v>0</v>
      </c>
      <c r="F100" s="26">
        <v>0</v>
      </c>
      <c r="G100" s="50"/>
      <c r="H100" s="35"/>
      <c r="I100" s="35"/>
      <c r="J100" s="22">
        <f t="shared" si="14"/>
        <v>0</v>
      </c>
      <c r="K100" s="35"/>
      <c r="L100" s="22">
        <f t="shared" si="15"/>
        <v>0</v>
      </c>
      <c r="M100" s="35"/>
      <c r="N100" s="35"/>
      <c r="O100" s="35"/>
      <c r="P100" s="35"/>
      <c r="Q100" s="35"/>
      <c r="R100" s="35"/>
      <c r="S100" s="35"/>
      <c r="T100" s="22" t="e">
        <f t="shared" si="16"/>
        <v>#VALUE!</v>
      </c>
      <c r="U100" s="35"/>
      <c r="V100" s="27" t="e">
        <f t="shared" si="17"/>
        <v>#VALUE!</v>
      </c>
      <c r="W100" s="35"/>
      <c r="X100" s="22" t="e">
        <f t="shared" si="18"/>
        <v>#VALUE!</v>
      </c>
      <c r="Y100" s="35"/>
      <c r="Z100" s="28" t="e">
        <f t="shared" si="19"/>
        <v>#VALUE!</v>
      </c>
      <c r="AA100" s="35"/>
      <c r="AB100" s="28" t="e">
        <f t="shared" si="20"/>
        <v>#VALUE!</v>
      </c>
      <c r="AC100" s="35"/>
      <c r="AD100" s="35"/>
      <c r="AE100" s="35"/>
      <c r="AF100" s="41"/>
      <c r="AG100" s="35"/>
      <c r="AH100" s="35"/>
      <c r="AI100" s="38"/>
      <c r="AJ100" s="38"/>
      <c r="AK100" s="38"/>
      <c r="AL100" s="38"/>
      <c r="AM100" s="8"/>
    </row>
    <row r="101" spans="2:39" x14ac:dyDescent="0.2">
      <c r="B101" s="8"/>
      <c r="C101" s="25">
        <v>0</v>
      </c>
      <c r="D101" s="26">
        <v>0</v>
      </c>
      <c r="E101" s="26">
        <v>0</v>
      </c>
      <c r="F101" s="26">
        <v>0</v>
      </c>
      <c r="G101" s="50"/>
      <c r="H101" s="35"/>
      <c r="I101" s="35"/>
      <c r="J101" s="22">
        <f t="shared" si="14"/>
        <v>0</v>
      </c>
      <c r="K101" s="35"/>
      <c r="L101" s="22">
        <f t="shared" si="15"/>
        <v>0</v>
      </c>
      <c r="M101" s="35"/>
      <c r="N101" s="35"/>
      <c r="O101" s="35"/>
      <c r="P101" s="35"/>
      <c r="Q101" s="35"/>
      <c r="R101" s="35"/>
      <c r="S101" s="35"/>
      <c r="T101" s="22" t="e">
        <f t="shared" si="16"/>
        <v>#VALUE!</v>
      </c>
      <c r="U101" s="35"/>
      <c r="V101" s="27" t="e">
        <f t="shared" si="17"/>
        <v>#VALUE!</v>
      </c>
      <c r="W101" s="35"/>
      <c r="X101" s="22" t="e">
        <f t="shared" si="18"/>
        <v>#VALUE!</v>
      </c>
      <c r="Y101" s="35"/>
      <c r="Z101" s="28" t="e">
        <f t="shared" si="19"/>
        <v>#VALUE!</v>
      </c>
      <c r="AA101" s="35"/>
      <c r="AB101" s="28" t="e">
        <f t="shared" si="20"/>
        <v>#VALUE!</v>
      </c>
      <c r="AC101" s="35"/>
      <c r="AD101" s="35"/>
      <c r="AE101" s="35"/>
      <c r="AF101" s="41"/>
      <c r="AG101" s="35"/>
      <c r="AH101" s="35"/>
      <c r="AI101" s="38"/>
      <c r="AJ101" s="38"/>
      <c r="AK101" s="38"/>
      <c r="AL101" s="38"/>
      <c r="AM101" s="8"/>
    </row>
    <row r="102" spans="2:39" x14ac:dyDescent="0.2">
      <c r="B102" s="8"/>
      <c r="C102" s="25">
        <v>0</v>
      </c>
      <c r="D102" s="26">
        <v>0</v>
      </c>
      <c r="E102" s="26">
        <v>0</v>
      </c>
      <c r="F102" s="26">
        <v>0</v>
      </c>
      <c r="G102" s="50"/>
      <c r="H102" s="35"/>
      <c r="I102" s="35"/>
      <c r="J102" s="22">
        <f t="shared" si="14"/>
        <v>0</v>
      </c>
      <c r="K102" s="35"/>
      <c r="L102" s="22">
        <f t="shared" si="15"/>
        <v>0</v>
      </c>
      <c r="M102" s="35"/>
      <c r="N102" s="35"/>
      <c r="O102" s="35"/>
      <c r="P102" s="35"/>
      <c r="Q102" s="35"/>
      <c r="R102" s="35"/>
      <c r="S102" s="35"/>
      <c r="T102" s="22" t="e">
        <f t="shared" si="16"/>
        <v>#VALUE!</v>
      </c>
      <c r="U102" s="35"/>
      <c r="V102" s="27" t="e">
        <f t="shared" si="17"/>
        <v>#VALUE!</v>
      </c>
      <c r="W102" s="35"/>
      <c r="X102" s="22" t="e">
        <f t="shared" si="18"/>
        <v>#VALUE!</v>
      </c>
      <c r="Y102" s="35"/>
      <c r="Z102" s="28" t="e">
        <f t="shared" si="19"/>
        <v>#VALUE!</v>
      </c>
      <c r="AA102" s="35"/>
      <c r="AB102" s="28" t="e">
        <f t="shared" si="20"/>
        <v>#VALUE!</v>
      </c>
      <c r="AC102" s="35"/>
      <c r="AD102" s="35"/>
      <c r="AE102" s="35"/>
      <c r="AF102" s="41"/>
      <c r="AG102" s="35"/>
      <c r="AH102" s="35"/>
      <c r="AI102" s="38"/>
      <c r="AJ102" s="38"/>
      <c r="AK102" s="38"/>
      <c r="AL102" s="38"/>
      <c r="AM102" s="8"/>
    </row>
    <row r="103" spans="2:39" x14ac:dyDescent="0.2">
      <c r="B103" s="8"/>
      <c r="C103" s="25">
        <v>0</v>
      </c>
      <c r="D103" s="26">
        <v>0</v>
      </c>
      <c r="E103" s="26">
        <v>0</v>
      </c>
      <c r="F103" s="26">
        <v>0</v>
      </c>
      <c r="G103" s="50"/>
      <c r="H103" s="35"/>
      <c r="I103" s="35"/>
      <c r="J103" s="22">
        <f t="shared" si="14"/>
        <v>0</v>
      </c>
      <c r="K103" s="35"/>
      <c r="L103" s="22">
        <f t="shared" si="15"/>
        <v>0</v>
      </c>
      <c r="M103" s="35"/>
      <c r="N103" s="35"/>
      <c r="O103" s="35"/>
      <c r="P103" s="35"/>
      <c r="Q103" s="35"/>
      <c r="R103" s="35"/>
      <c r="S103" s="35"/>
      <c r="T103" s="22" t="e">
        <f t="shared" si="16"/>
        <v>#VALUE!</v>
      </c>
      <c r="U103" s="35"/>
      <c r="V103" s="27" t="e">
        <f t="shared" si="17"/>
        <v>#VALUE!</v>
      </c>
      <c r="W103" s="35"/>
      <c r="X103" s="22" t="e">
        <f t="shared" si="18"/>
        <v>#VALUE!</v>
      </c>
      <c r="Y103" s="35"/>
      <c r="Z103" s="28" t="e">
        <f t="shared" si="19"/>
        <v>#VALUE!</v>
      </c>
      <c r="AA103" s="35"/>
      <c r="AB103" s="28" t="e">
        <f t="shared" si="20"/>
        <v>#VALUE!</v>
      </c>
      <c r="AC103" s="35"/>
      <c r="AD103" s="35"/>
      <c r="AE103" s="35"/>
      <c r="AF103" s="41"/>
      <c r="AG103" s="35"/>
      <c r="AH103" s="35"/>
      <c r="AI103" s="38"/>
      <c r="AJ103" s="38"/>
      <c r="AK103" s="38"/>
      <c r="AL103" s="38"/>
      <c r="AM103" s="8"/>
    </row>
    <row r="104" spans="2:39" ht="16" thickBot="1" x14ac:dyDescent="0.25">
      <c r="B104" s="8"/>
      <c r="C104" s="29">
        <v>0</v>
      </c>
      <c r="D104" s="30">
        <v>0</v>
      </c>
      <c r="E104" s="30">
        <v>0</v>
      </c>
      <c r="F104" s="30">
        <v>0</v>
      </c>
      <c r="G104" s="51"/>
      <c r="H104" s="36"/>
      <c r="I104" s="36"/>
      <c r="J104" s="31">
        <f t="shared" si="14"/>
        <v>0</v>
      </c>
      <c r="K104" s="36"/>
      <c r="L104" s="31">
        <f t="shared" si="15"/>
        <v>0</v>
      </c>
      <c r="M104" s="36"/>
      <c r="N104" s="36"/>
      <c r="O104" s="36"/>
      <c r="P104" s="36"/>
      <c r="Q104" s="36"/>
      <c r="R104" s="36"/>
      <c r="S104" s="36"/>
      <c r="T104" s="31" t="e">
        <f t="shared" si="16"/>
        <v>#VALUE!</v>
      </c>
      <c r="U104" s="36"/>
      <c r="V104" s="32" t="e">
        <f t="shared" si="17"/>
        <v>#VALUE!</v>
      </c>
      <c r="W104" s="36"/>
      <c r="X104" s="31" t="e">
        <f t="shared" si="18"/>
        <v>#VALUE!</v>
      </c>
      <c r="Y104" s="36"/>
      <c r="Z104" s="33" t="e">
        <f t="shared" si="19"/>
        <v>#VALUE!</v>
      </c>
      <c r="AA104" s="36"/>
      <c r="AB104" s="33" t="e">
        <f t="shared" si="20"/>
        <v>#VALUE!</v>
      </c>
      <c r="AC104" s="36"/>
      <c r="AD104" s="36"/>
      <c r="AE104" s="36"/>
      <c r="AF104" s="42"/>
      <c r="AG104" s="36"/>
      <c r="AH104" s="36"/>
      <c r="AI104" s="39"/>
      <c r="AJ104" s="39"/>
      <c r="AK104" s="39"/>
      <c r="AL104" s="39"/>
      <c r="AM104" s="8"/>
    </row>
    <row r="107" spans="2:39" ht="16" thickBot="1" x14ac:dyDescent="0.25"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</row>
    <row r="108" spans="2:39" ht="16" thickBot="1" x14ac:dyDescent="0.25">
      <c r="B108" s="8"/>
      <c r="C108" s="8"/>
      <c r="D108" s="8"/>
      <c r="E108" s="8"/>
      <c r="F108" s="8"/>
      <c r="G108" s="43" t="s">
        <v>39</v>
      </c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5"/>
      <c r="T108" s="46" t="s">
        <v>40</v>
      </c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8"/>
      <c r="AI108" s="8"/>
      <c r="AJ108" s="8"/>
      <c r="AK108" s="8"/>
      <c r="AL108" s="8"/>
      <c r="AM108" s="8"/>
    </row>
    <row r="109" spans="2:39" ht="18" thickBot="1" x14ac:dyDescent="0.25">
      <c r="B109" s="8"/>
      <c r="C109" s="11" t="s">
        <v>41</v>
      </c>
      <c r="D109" s="11" t="s">
        <v>42</v>
      </c>
      <c r="E109" s="11" t="s">
        <v>43</v>
      </c>
      <c r="F109" s="11" t="s">
        <v>44</v>
      </c>
      <c r="G109" s="12" t="s">
        <v>45</v>
      </c>
      <c r="H109" s="12" t="s">
        <v>46</v>
      </c>
      <c r="I109" s="12" t="s">
        <v>47</v>
      </c>
      <c r="J109" s="12" t="s">
        <v>48</v>
      </c>
      <c r="K109" s="12" t="s">
        <v>49</v>
      </c>
      <c r="L109" s="12" t="s">
        <v>50</v>
      </c>
      <c r="M109" s="12" t="s">
        <v>51</v>
      </c>
      <c r="N109" s="12" t="s">
        <v>52</v>
      </c>
      <c r="O109" s="13" t="s">
        <v>53</v>
      </c>
      <c r="P109" s="13" t="s">
        <v>54</v>
      </c>
      <c r="Q109" s="13" t="s">
        <v>55</v>
      </c>
      <c r="R109" s="12" t="s">
        <v>56</v>
      </c>
      <c r="S109" s="12" t="s">
        <v>57</v>
      </c>
      <c r="T109" s="14" t="s">
        <v>58</v>
      </c>
      <c r="U109" s="9" t="s">
        <v>45</v>
      </c>
      <c r="V109" s="9" t="s">
        <v>59</v>
      </c>
      <c r="W109" s="9" t="s">
        <v>46</v>
      </c>
      <c r="X109" s="15" t="s">
        <v>60</v>
      </c>
      <c r="Y109" s="14" t="s">
        <v>47</v>
      </c>
      <c r="Z109" s="10" t="s">
        <v>61</v>
      </c>
      <c r="AA109" s="10" t="s">
        <v>49</v>
      </c>
      <c r="AB109" s="10" t="s">
        <v>62</v>
      </c>
      <c r="AC109" s="10" t="s">
        <v>63</v>
      </c>
      <c r="AD109" s="14" t="s">
        <v>56</v>
      </c>
      <c r="AE109" s="14" t="s">
        <v>57</v>
      </c>
      <c r="AF109" s="9" t="s">
        <v>52</v>
      </c>
      <c r="AG109" s="16" t="s">
        <v>64</v>
      </c>
      <c r="AH109" s="16" t="s">
        <v>65</v>
      </c>
      <c r="AI109" s="17" t="s">
        <v>66</v>
      </c>
      <c r="AJ109" s="17" t="s">
        <v>67</v>
      </c>
      <c r="AK109" s="18" t="s">
        <v>68</v>
      </c>
      <c r="AL109" s="17" t="s">
        <v>69</v>
      </c>
      <c r="AM109" s="8"/>
    </row>
    <row r="110" spans="2:39" x14ac:dyDescent="0.2">
      <c r="B110" s="8"/>
      <c r="C110" s="19">
        <v>0</v>
      </c>
      <c r="D110" s="20">
        <v>0</v>
      </c>
      <c r="E110" s="20">
        <v>0</v>
      </c>
      <c r="F110" s="20">
        <v>0</v>
      </c>
      <c r="G110" s="49">
        <f>COUNTA(D110:D119)</f>
        <v>10</v>
      </c>
      <c r="H110" s="34">
        <f>SUM(C110:C119)</f>
        <v>0</v>
      </c>
      <c r="I110" s="34">
        <f>SUM(D110:D119)</f>
        <v>0</v>
      </c>
      <c r="J110" s="21">
        <f t="shared" ref="J110:J119" si="21">C110*D110</f>
        <v>0</v>
      </c>
      <c r="K110" s="34">
        <f>SUM(J110:J119)</f>
        <v>0</v>
      </c>
      <c r="L110" s="21">
        <f t="shared" ref="L110:L119" si="22">C110^2</f>
        <v>0</v>
      </c>
      <c r="M110" s="34">
        <f>SUM(L110:L119)</f>
        <v>0</v>
      </c>
      <c r="N110" s="34">
        <f>(G110*M110)-(H110^2)</f>
        <v>0</v>
      </c>
      <c r="O110" s="34" t="e">
        <f>SQRT($F$7^2+(S110*$E$7)^2)</f>
        <v>#DIV/0!</v>
      </c>
      <c r="P110" s="34" t="e">
        <f>O110*SQRT(M110/N110)</f>
        <v>#DIV/0!</v>
      </c>
      <c r="Q110" s="34" t="e">
        <f>O110*SQRT(G110/N110)</f>
        <v>#DIV/0!</v>
      </c>
      <c r="R110" s="34" t="e">
        <f>(M110*I110-H110*K110)/N110</f>
        <v>#DIV/0!</v>
      </c>
      <c r="S110" s="34" t="e">
        <f>((G110*K110)-(H110*I110))/N110</f>
        <v>#DIV/0!</v>
      </c>
      <c r="T110" s="22" t="e">
        <f t="shared" ref="T110:T119" si="23">1/(F110^2+($S$7*E110)^2)</f>
        <v>#VALUE!</v>
      </c>
      <c r="U110" s="34" t="e">
        <f>SUM(T110:T119)</f>
        <v>#VALUE!</v>
      </c>
      <c r="V110" s="23" t="e">
        <f t="shared" ref="V110:V119" si="24">T110*C110</f>
        <v>#VALUE!</v>
      </c>
      <c r="W110" s="34" t="e">
        <f>SUM(V110:V119)</f>
        <v>#VALUE!</v>
      </c>
      <c r="X110" s="21" t="e">
        <f t="shared" ref="X110:X119" si="25">T110*D110</f>
        <v>#VALUE!</v>
      </c>
      <c r="Y110" s="34" t="e">
        <f>SUM(X110:X119)</f>
        <v>#VALUE!</v>
      </c>
      <c r="Z110" s="24" t="e">
        <f t="shared" ref="Z110:Z119" si="26">T110*C110*D110</f>
        <v>#VALUE!</v>
      </c>
      <c r="AA110" s="34" t="e">
        <f>SUM(Z110:Z119)</f>
        <v>#VALUE!</v>
      </c>
      <c r="AB110" s="24" t="e">
        <f t="shared" ref="AB110:AB119" si="27">T110*L110</f>
        <v>#VALUE!</v>
      </c>
      <c r="AC110" s="34" t="e">
        <f>SUM(AB110:AB119)</f>
        <v>#VALUE!</v>
      </c>
      <c r="AD110" s="34" t="e">
        <f>((AC110*Y110)-(W110*AA110))/AF110</f>
        <v>#VALUE!</v>
      </c>
      <c r="AE110" s="34" t="e">
        <f>((U110*AA110)-(W110*Y110))/AF110</f>
        <v>#VALUE!</v>
      </c>
      <c r="AF110" s="40" t="e">
        <f>(U110*AC110)-(W110^2)</f>
        <v>#VALUE!</v>
      </c>
      <c r="AG110" s="34" t="e">
        <f>SQRT((AC110/AF110))</f>
        <v>#VALUE!</v>
      </c>
      <c r="AH110" s="34" t="e">
        <f>SQRT((U110/AF110))</f>
        <v>#VALUE!</v>
      </c>
      <c r="AI110" s="37">
        <f>_xlfn.STDEV.S(C110:C119)</f>
        <v>0</v>
      </c>
      <c r="AJ110" s="37">
        <f>_xlfn.STDEV.S(D110:D119)</f>
        <v>0</v>
      </c>
      <c r="AK110" s="37">
        <f>_xlfn.COVARIANCE.S(C110:C119,D110:D119)</f>
        <v>0</v>
      </c>
      <c r="AL110" s="37" t="e">
        <f>CORREL(C110:C119,D110:D119)</f>
        <v>#DIV/0!</v>
      </c>
      <c r="AM110" s="8"/>
    </row>
    <row r="111" spans="2:39" x14ac:dyDescent="0.2">
      <c r="B111" s="8"/>
      <c r="C111" s="25">
        <v>0</v>
      </c>
      <c r="D111" s="26">
        <v>0</v>
      </c>
      <c r="E111" s="26">
        <v>0</v>
      </c>
      <c r="F111" s="26">
        <v>0</v>
      </c>
      <c r="G111" s="50"/>
      <c r="H111" s="35"/>
      <c r="I111" s="35"/>
      <c r="J111" s="22">
        <f t="shared" si="21"/>
        <v>0</v>
      </c>
      <c r="K111" s="35"/>
      <c r="L111" s="22">
        <f t="shared" si="22"/>
        <v>0</v>
      </c>
      <c r="M111" s="35"/>
      <c r="N111" s="35"/>
      <c r="O111" s="35"/>
      <c r="P111" s="35"/>
      <c r="Q111" s="35"/>
      <c r="R111" s="35"/>
      <c r="S111" s="35"/>
      <c r="T111" s="22" t="e">
        <f t="shared" si="23"/>
        <v>#VALUE!</v>
      </c>
      <c r="U111" s="35"/>
      <c r="V111" s="27" t="e">
        <f t="shared" si="24"/>
        <v>#VALUE!</v>
      </c>
      <c r="W111" s="35"/>
      <c r="X111" s="22" t="e">
        <f t="shared" si="25"/>
        <v>#VALUE!</v>
      </c>
      <c r="Y111" s="35"/>
      <c r="Z111" s="28" t="e">
        <f t="shared" si="26"/>
        <v>#VALUE!</v>
      </c>
      <c r="AA111" s="35"/>
      <c r="AB111" s="28" t="e">
        <f t="shared" si="27"/>
        <v>#VALUE!</v>
      </c>
      <c r="AC111" s="35"/>
      <c r="AD111" s="35"/>
      <c r="AE111" s="35"/>
      <c r="AF111" s="41"/>
      <c r="AG111" s="35"/>
      <c r="AH111" s="35"/>
      <c r="AI111" s="38"/>
      <c r="AJ111" s="38"/>
      <c r="AK111" s="38"/>
      <c r="AL111" s="38"/>
      <c r="AM111" s="8"/>
    </row>
    <row r="112" spans="2:39" x14ac:dyDescent="0.2">
      <c r="B112" s="8"/>
      <c r="C112" s="25">
        <v>0</v>
      </c>
      <c r="D112" s="26">
        <v>0</v>
      </c>
      <c r="E112" s="26">
        <v>0</v>
      </c>
      <c r="F112" s="26">
        <v>0</v>
      </c>
      <c r="G112" s="50"/>
      <c r="H112" s="35"/>
      <c r="I112" s="35"/>
      <c r="J112" s="22">
        <f t="shared" si="21"/>
        <v>0</v>
      </c>
      <c r="K112" s="35"/>
      <c r="L112" s="22">
        <f t="shared" si="22"/>
        <v>0</v>
      </c>
      <c r="M112" s="35"/>
      <c r="N112" s="35"/>
      <c r="O112" s="35"/>
      <c r="P112" s="35"/>
      <c r="Q112" s="35"/>
      <c r="R112" s="35"/>
      <c r="S112" s="35"/>
      <c r="T112" s="22" t="e">
        <f t="shared" si="23"/>
        <v>#VALUE!</v>
      </c>
      <c r="U112" s="35"/>
      <c r="V112" s="27" t="e">
        <f t="shared" si="24"/>
        <v>#VALUE!</v>
      </c>
      <c r="W112" s="35"/>
      <c r="X112" s="22" t="e">
        <f t="shared" si="25"/>
        <v>#VALUE!</v>
      </c>
      <c r="Y112" s="35"/>
      <c r="Z112" s="28" t="e">
        <f t="shared" si="26"/>
        <v>#VALUE!</v>
      </c>
      <c r="AA112" s="35"/>
      <c r="AB112" s="28" t="e">
        <f t="shared" si="27"/>
        <v>#VALUE!</v>
      </c>
      <c r="AC112" s="35"/>
      <c r="AD112" s="35"/>
      <c r="AE112" s="35"/>
      <c r="AF112" s="41"/>
      <c r="AG112" s="35"/>
      <c r="AH112" s="35"/>
      <c r="AI112" s="38"/>
      <c r="AJ112" s="38"/>
      <c r="AK112" s="38"/>
      <c r="AL112" s="38"/>
      <c r="AM112" s="8"/>
    </row>
    <row r="113" spans="2:39" x14ac:dyDescent="0.2">
      <c r="B113" s="8"/>
      <c r="C113" s="25">
        <v>0</v>
      </c>
      <c r="D113" s="26">
        <v>0</v>
      </c>
      <c r="E113" s="26">
        <v>0</v>
      </c>
      <c r="F113" s="26">
        <v>0</v>
      </c>
      <c r="G113" s="50"/>
      <c r="H113" s="35"/>
      <c r="I113" s="35"/>
      <c r="J113" s="22">
        <f t="shared" si="21"/>
        <v>0</v>
      </c>
      <c r="K113" s="35"/>
      <c r="L113" s="22">
        <f t="shared" si="22"/>
        <v>0</v>
      </c>
      <c r="M113" s="35"/>
      <c r="N113" s="35"/>
      <c r="O113" s="35"/>
      <c r="P113" s="35"/>
      <c r="Q113" s="35"/>
      <c r="R113" s="35"/>
      <c r="S113" s="35"/>
      <c r="T113" s="22" t="e">
        <f t="shared" si="23"/>
        <v>#VALUE!</v>
      </c>
      <c r="U113" s="35"/>
      <c r="V113" s="27" t="e">
        <f t="shared" si="24"/>
        <v>#VALUE!</v>
      </c>
      <c r="W113" s="35"/>
      <c r="X113" s="22" t="e">
        <f t="shared" si="25"/>
        <v>#VALUE!</v>
      </c>
      <c r="Y113" s="35"/>
      <c r="Z113" s="28" t="e">
        <f t="shared" si="26"/>
        <v>#VALUE!</v>
      </c>
      <c r="AA113" s="35"/>
      <c r="AB113" s="28" t="e">
        <f t="shared" si="27"/>
        <v>#VALUE!</v>
      </c>
      <c r="AC113" s="35"/>
      <c r="AD113" s="35"/>
      <c r="AE113" s="35"/>
      <c r="AF113" s="41"/>
      <c r="AG113" s="35"/>
      <c r="AH113" s="35"/>
      <c r="AI113" s="38"/>
      <c r="AJ113" s="38"/>
      <c r="AK113" s="38"/>
      <c r="AL113" s="38"/>
      <c r="AM113" s="8"/>
    </row>
    <row r="114" spans="2:39" x14ac:dyDescent="0.2">
      <c r="B114" s="8"/>
      <c r="C114" s="25">
        <v>0</v>
      </c>
      <c r="D114" s="26">
        <v>0</v>
      </c>
      <c r="E114" s="26">
        <v>0</v>
      </c>
      <c r="F114" s="26">
        <v>0</v>
      </c>
      <c r="G114" s="50"/>
      <c r="H114" s="35"/>
      <c r="I114" s="35"/>
      <c r="J114" s="22">
        <f t="shared" si="21"/>
        <v>0</v>
      </c>
      <c r="K114" s="35"/>
      <c r="L114" s="22">
        <f t="shared" si="22"/>
        <v>0</v>
      </c>
      <c r="M114" s="35"/>
      <c r="N114" s="35"/>
      <c r="O114" s="35"/>
      <c r="P114" s="35"/>
      <c r="Q114" s="35"/>
      <c r="R114" s="35"/>
      <c r="S114" s="35"/>
      <c r="T114" s="22" t="e">
        <f t="shared" si="23"/>
        <v>#VALUE!</v>
      </c>
      <c r="U114" s="35"/>
      <c r="V114" s="27" t="e">
        <f t="shared" si="24"/>
        <v>#VALUE!</v>
      </c>
      <c r="W114" s="35"/>
      <c r="X114" s="22" t="e">
        <f t="shared" si="25"/>
        <v>#VALUE!</v>
      </c>
      <c r="Y114" s="35"/>
      <c r="Z114" s="28" t="e">
        <f t="shared" si="26"/>
        <v>#VALUE!</v>
      </c>
      <c r="AA114" s="35"/>
      <c r="AB114" s="28" t="e">
        <f t="shared" si="27"/>
        <v>#VALUE!</v>
      </c>
      <c r="AC114" s="35"/>
      <c r="AD114" s="35"/>
      <c r="AE114" s="35"/>
      <c r="AF114" s="41"/>
      <c r="AG114" s="35"/>
      <c r="AH114" s="35"/>
      <c r="AI114" s="38"/>
      <c r="AJ114" s="38"/>
      <c r="AK114" s="38"/>
      <c r="AL114" s="38"/>
      <c r="AM114" s="8"/>
    </row>
    <row r="115" spans="2:39" x14ac:dyDescent="0.2">
      <c r="B115" s="8"/>
      <c r="C115" s="25">
        <v>0</v>
      </c>
      <c r="D115" s="26">
        <v>0</v>
      </c>
      <c r="E115" s="26">
        <v>0</v>
      </c>
      <c r="F115" s="26">
        <v>0</v>
      </c>
      <c r="G115" s="50"/>
      <c r="H115" s="35"/>
      <c r="I115" s="35"/>
      <c r="J115" s="22">
        <f t="shared" si="21"/>
        <v>0</v>
      </c>
      <c r="K115" s="35"/>
      <c r="L115" s="22">
        <f t="shared" si="22"/>
        <v>0</v>
      </c>
      <c r="M115" s="35"/>
      <c r="N115" s="35"/>
      <c r="O115" s="35"/>
      <c r="P115" s="35"/>
      <c r="Q115" s="35"/>
      <c r="R115" s="35"/>
      <c r="S115" s="35"/>
      <c r="T115" s="22" t="e">
        <f t="shared" si="23"/>
        <v>#VALUE!</v>
      </c>
      <c r="U115" s="35"/>
      <c r="V115" s="27" t="e">
        <f t="shared" si="24"/>
        <v>#VALUE!</v>
      </c>
      <c r="W115" s="35"/>
      <c r="X115" s="22" t="e">
        <f t="shared" si="25"/>
        <v>#VALUE!</v>
      </c>
      <c r="Y115" s="35"/>
      <c r="Z115" s="28" t="e">
        <f t="shared" si="26"/>
        <v>#VALUE!</v>
      </c>
      <c r="AA115" s="35"/>
      <c r="AB115" s="28" t="e">
        <f t="shared" si="27"/>
        <v>#VALUE!</v>
      </c>
      <c r="AC115" s="35"/>
      <c r="AD115" s="35"/>
      <c r="AE115" s="35"/>
      <c r="AF115" s="41"/>
      <c r="AG115" s="35"/>
      <c r="AH115" s="35"/>
      <c r="AI115" s="38"/>
      <c r="AJ115" s="38"/>
      <c r="AK115" s="38"/>
      <c r="AL115" s="38"/>
      <c r="AM115" s="8"/>
    </row>
    <row r="116" spans="2:39" x14ac:dyDescent="0.2">
      <c r="B116" s="8"/>
      <c r="C116" s="25">
        <v>0</v>
      </c>
      <c r="D116" s="26">
        <v>0</v>
      </c>
      <c r="E116" s="26">
        <v>0</v>
      </c>
      <c r="F116" s="26">
        <v>0</v>
      </c>
      <c r="G116" s="50"/>
      <c r="H116" s="35"/>
      <c r="I116" s="35"/>
      <c r="J116" s="22">
        <f t="shared" si="21"/>
        <v>0</v>
      </c>
      <c r="K116" s="35"/>
      <c r="L116" s="22">
        <f t="shared" si="22"/>
        <v>0</v>
      </c>
      <c r="M116" s="35"/>
      <c r="N116" s="35"/>
      <c r="O116" s="35"/>
      <c r="P116" s="35"/>
      <c r="Q116" s="35"/>
      <c r="R116" s="35"/>
      <c r="S116" s="35"/>
      <c r="T116" s="22" t="e">
        <f t="shared" si="23"/>
        <v>#VALUE!</v>
      </c>
      <c r="U116" s="35"/>
      <c r="V116" s="27" t="e">
        <f t="shared" si="24"/>
        <v>#VALUE!</v>
      </c>
      <c r="W116" s="35"/>
      <c r="X116" s="22" t="e">
        <f t="shared" si="25"/>
        <v>#VALUE!</v>
      </c>
      <c r="Y116" s="35"/>
      <c r="Z116" s="28" t="e">
        <f t="shared" si="26"/>
        <v>#VALUE!</v>
      </c>
      <c r="AA116" s="35"/>
      <c r="AB116" s="28" t="e">
        <f t="shared" si="27"/>
        <v>#VALUE!</v>
      </c>
      <c r="AC116" s="35"/>
      <c r="AD116" s="35"/>
      <c r="AE116" s="35"/>
      <c r="AF116" s="41"/>
      <c r="AG116" s="35"/>
      <c r="AH116" s="35"/>
      <c r="AI116" s="38"/>
      <c r="AJ116" s="38"/>
      <c r="AK116" s="38"/>
      <c r="AL116" s="38"/>
      <c r="AM116" s="8"/>
    </row>
    <row r="117" spans="2:39" x14ac:dyDescent="0.2">
      <c r="B117" s="8"/>
      <c r="C117" s="25">
        <v>0</v>
      </c>
      <c r="D117" s="26">
        <v>0</v>
      </c>
      <c r="E117" s="26">
        <v>0</v>
      </c>
      <c r="F117" s="26">
        <v>0</v>
      </c>
      <c r="G117" s="50"/>
      <c r="H117" s="35"/>
      <c r="I117" s="35"/>
      <c r="J117" s="22">
        <f t="shared" si="21"/>
        <v>0</v>
      </c>
      <c r="K117" s="35"/>
      <c r="L117" s="22">
        <f t="shared" si="22"/>
        <v>0</v>
      </c>
      <c r="M117" s="35"/>
      <c r="N117" s="35"/>
      <c r="O117" s="35"/>
      <c r="P117" s="35"/>
      <c r="Q117" s="35"/>
      <c r="R117" s="35"/>
      <c r="S117" s="35"/>
      <c r="T117" s="22" t="e">
        <f t="shared" si="23"/>
        <v>#VALUE!</v>
      </c>
      <c r="U117" s="35"/>
      <c r="V117" s="27" t="e">
        <f t="shared" si="24"/>
        <v>#VALUE!</v>
      </c>
      <c r="W117" s="35"/>
      <c r="X117" s="22" t="e">
        <f t="shared" si="25"/>
        <v>#VALUE!</v>
      </c>
      <c r="Y117" s="35"/>
      <c r="Z117" s="28" t="e">
        <f t="shared" si="26"/>
        <v>#VALUE!</v>
      </c>
      <c r="AA117" s="35"/>
      <c r="AB117" s="28" t="e">
        <f t="shared" si="27"/>
        <v>#VALUE!</v>
      </c>
      <c r="AC117" s="35"/>
      <c r="AD117" s="35"/>
      <c r="AE117" s="35"/>
      <c r="AF117" s="41"/>
      <c r="AG117" s="35"/>
      <c r="AH117" s="35"/>
      <c r="AI117" s="38"/>
      <c r="AJ117" s="38"/>
      <c r="AK117" s="38"/>
      <c r="AL117" s="38"/>
      <c r="AM117" s="8"/>
    </row>
    <row r="118" spans="2:39" x14ac:dyDescent="0.2">
      <c r="B118" s="8"/>
      <c r="C118" s="25">
        <v>0</v>
      </c>
      <c r="D118" s="26">
        <v>0</v>
      </c>
      <c r="E118" s="26">
        <v>0</v>
      </c>
      <c r="F118" s="26">
        <v>0</v>
      </c>
      <c r="G118" s="50"/>
      <c r="H118" s="35"/>
      <c r="I118" s="35"/>
      <c r="J118" s="22">
        <f t="shared" si="21"/>
        <v>0</v>
      </c>
      <c r="K118" s="35"/>
      <c r="L118" s="22">
        <f t="shared" si="22"/>
        <v>0</v>
      </c>
      <c r="M118" s="35"/>
      <c r="N118" s="35"/>
      <c r="O118" s="35"/>
      <c r="P118" s="35"/>
      <c r="Q118" s="35"/>
      <c r="R118" s="35"/>
      <c r="S118" s="35"/>
      <c r="T118" s="22" t="e">
        <f t="shared" si="23"/>
        <v>#VALUE!</v>
      </c>
      <c r="U118" s="35"/>
      <c r="V118" s="27" t="e">
        <f t="shared" si="24"/>
        <v>#VALUE!</v>
      </c>
      <c r="W118" s="35"/>
      <c r="X118" s="22" t="e">
        <f t="shared" si="25"/>
        <v>#VALUE!</v>
      </c>
      <c r="Y118" s="35"/>
      <c r="Z118" s="28" t="e">
        <f t="shared" si="26"/>
        <v>#VALUE!</v>
      </c>
      <c r="AA118" s="35"/>
      <c r="AB118" s="28" t="e">
        <f t="shared" si="27"/>
        <v>#VALUE!</v>
      </c>
      <c r="AC118" s="35"/>
      <c r="AD118" s="35"/>
      <c r="AE118" s="35"/>
      <c r="AF118" s="41"/>
      <c r="AG118" s="35"/>
      <c r="AH118" s="35"/>
      <c r="AI118" s="38"/>
      <c r="AJ118" s="38"/>
      <c r="AK118" s="38"/>
      <c r="AL118" s="38"/>
      <c r="AM118" s="8"/>
    </row>
    <row r="119" spans="2:39" ht="16" thickBot="1" x14ac:dyDescent="0.25">
      <c r="B119" s="8"/>
      <c r="C119" s="29">
        <v>0</v>
      </c>
      <c r="D119" s="30">
        <v>0</v>
      </c>
      <c r="E119" s="30">
        <v>0</v>
      </c>
      <c r="F119" s="30">
        <v>0</v>
      </c>
      <c r="G119" s="51"/>
      <c r="H119" s="36"/>
      <c r="I119" s="36"/>
      <c r="J119" s="31">
        <f t="shared" si="21"/>
        <v>0</v>
      </c>
      <c r="K119" s="36"/>
      <c r="L119" s="31">
        <f t="shared" si="22"/>
        <v>0</v>
      </c>
      <c r="M119" s="36"/>
      <c r="N119" s="36"/>
      <c r="O119" s="36"/>
      <c r="P119" s="36"/>
      <c r="Q119" s="36"/>
      <c r="R119" s="36"/>
      <c r="S119" s="36"/>
      <c r="T119" s="31" t="e">
        <f t="shared" si="23"/>
        <v>#VALUE!</v>
      </c>
      <c r="U119" s="36"/>
      <c r="V119" s="32" t="e">
        <f t="shared" si="24"/>
        <v>#VALUE!</v>
      </c>
      <c r="W119" s="36"/>
      <c r="X119" s="31" t="e">
        <f t="shared" si="25"/>
        <v>#VALUE!</v>
      </c>
      <c r="Y119" s="36"/>
      <c r="Z119" s="33" t="e">
        <f t="shared" si="26"/>
        <v>#VALUE!</v>
      </c>
      <c r="AA119" s="36"/>
      <c r="AB119" s="33" t="e">
        <f t="shared" si="27"/>
        <v>#VALUE!</v>
      </c>
      <c r="AC119" s="36"/>
      <c r="AD119" s="36"/>
      <c r="AE119" s="36"/>
      <c r="AF119" s="42"/>
      <c r="AG119" s="36"/>
      <c r="AH119" s="36"/>
      <c r="AI119" s="39"/>
      <c r="AJ119" s="39"/>
      <c r="AK119" s="39"/>
      <c r="AL119" s="39"/>
      <c r="AM119" s="8"/>
    </row>
    <row r="122" spans="2:39" ht="16" thickBot="1" x14ac:dyDescent="0.25"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</row>
    <row r="123" spans="2:39" ht="16" thickBot="1" x14ac:dyDescent="0.25">
      <c r="B123" s="8"/>
      <c r="C123" s="8"/>
      <c r="D123" s="8"/>
      <c r="E123" s="8"/>
      <c r="F123" s="8"/>
      <c r="G123" s="43" t="s">
        <v>39</v>
      </c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5"/>
      <c r="T123" s="46" t="s">
        <v>40</v>
      </c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8"/>
      <c r="AI123" s="8"/>
      <c r="AJ123" s="8"/>
      <c r="AK123" s="8"/>
      <c r="AL123" s="8"/>
      <c r="AM123" s="8"/>
    </row>
    <row r="124" spans="2:39" ht="18" thickBot="1" x14ac:dyDescent="0.25">
      <c r="B124" s="8"/>
      <c r="C124" s="11" t="s">
        <v>41</v>
      </c>
      <c r="D124" s="11" t="s">
        <v>42</v>
      </c>
      <c r="E124" s="11" t="s">
        <v>43</v>
      </c>
      <c r="F124" s="11" t="s">
        <v>44</v>
      </c>
      <c r="G124" s="12" t="s">
        <v>45</v>
      </c>
      <c r="H124" s="12" t="s">
        <v>46</v>
      </c>
      <c r="I124" s="12" t="s">
        <v>47</v>
      </c>
      <c r="J124" s="12" t="s">
        <v>48</v>
      </c>
      <c r="K124" s="12" t="s">
        <v>49</v>
      </c>
      <c r="L124" s="12" t="s">
        <v>50</v>
      </c>
      <c r="M124" s="12" t="s">
        <v>51</v>
      </c>
      <c r="N124" s="12" t="s">
        <v>52</v>
      </c>
      <c r="O124" s="13" t="s">
        <v>53</v>
      </c>
      <c r="P124" s="13" t="s">
        <v>54</v>
      </c>
      <c r="Q124" s="13" t="s">
        <v>55</v>
      </c>
      <c r="R124" s="12" t="s">
        <v>56</v>
      </c>
      <c r="S124" s="12" t="s">
        <v>57</v>
      </c>
      <c r="T124" s="14" t="s">
        <v>58</v>
      </c>
      <c r="U124" s="9" t="s">
        <v>45</v>
      </c>
      <c r="V124" s="9" t="s">
        <v>59</v>
      </c>
      <c r="W124" s="9" t="s">
        <v>46</v>
      </c>
      <c r="X124" s="15" t="s">
        <v>60</v>
      </c>
      <c r="Y124" s="14" t="s">
        <v>47</v>
      </c>
      <c r="Z124" s="10" t="s">
        <v>61</v>
      </c>
      <c r="AA124" s="10" t="s">
        <v>49</v>
      </c>
      <c r="AB124" s="10" t="s">
        <v>62</v>
      </c>
      <c r="AC124" s="10" t="s">
        <v>63</v>
      </c>
      <c r="AD124" s="14" t="s">
        <v>56</v>
      </c>
      <c r="AE124" s="14" t="s">
        <v>57</v>
      </c>
      <c r="AF124" s="9" t="s">
        <v>52</v>
      </c>
      <c r="AG124" s="16" t="s">
        <v>64</v>
      </c>
      <c r="AH124" s="16" t="s">
        <v>65</v>
      </c>
      <c r="AI124" s="17" t="s">
        <v>66</v>
      </c>
      <c r="AJ124" s="17" t="s">
        <v>67</v>
      </c>
      <c r="AK124" s="18" t="s">
        <v>68</v>
      </c>
      <c r="AL124" s="17" t="s">
        <v>69</v>
      </c>
      <c r="AM124" s="8"/>
    </row>
    <row r="125" spans="2:39" x14ac:dyDescent="0.2">
      <c r="B125" s="8"/>
      <c r="C125" s="19">
        <v>0</v>
      </c>
      <c r="D125" s="20">
        <v>0</v>
      </c>
      <c r="E125" s="20">
        <v>0</v>
      </c>
      <c r="F125" s="20">
        <v>0</v>
      </c>
      <c r="G125" s="49">
        <f>COUNTA(D125:D134)</f>
        <v>10</v>
      </c>
      <c r="H125" s="34">
        <f>SUM(C125:C134)</f>
        <v>0</v>
      </c>
      <c r="I125" s="34">
        <f>SUM(D125:D134)</f>
        <v>0</v>
      </c>
      <c r="J125" s="21">
        <f t="shared" ref="J125:J134" si="28">C125*D125</f>
        <v>0</v>
      </c>
      <c r="K125" s="34">
        <f>SUM(J125:J134)</f>
        <v>0</v>
      </c>
      <c r="L125" s="21">
        <f t="shared" ref="L125:L134" si="29">C125^2</f>
        <v>0</v>
      </c>
      <c r="M125" s="34">
        <f>SUM(L125:L134)</f>
        <v>0</v>
      </c>
      <c r="N125" s="34">
        <f>(G125*M125)-(H125^2)</f>
        <v>0</v>
      </c>
      <c r="O125" s="34" t="e">
        <f>SQRT($F$7^2+(S125*$E$7)^2)</f>
        <v>#DIV/0!</v>
      </c>
      <c r="P125" s="34" t="e">
        <f>O125*SQRT(M125/N125)</f>
        <v>#DIV/0!</v>
      </c>
      <c r="Q125" s="34" t="e">
        <f>O125*SQRT(G125/N125)</f>
        <v>#DIV/0!</v>
      </c>
      <c r="R125" s="34" t="e">
        <f>(M125*I125-H125*K125)/N125</f>
        <v>#DIV/0!</v>
      </c>
      <c r="S125" s="34" t="e">
        <f>((G125*K125)-(H125*I125))/N125</f>
        <v>#DIV/0!</v>
      </c>
      <c r="T125" s="22" t="e">
        <f t="shared" ref="T125:T134" si="30">1/(F125^2+($S$7*E125)^2)</f>
        <v>#VALUE!</v>
      </c>
      <c r="U125" s="34" t="e">
        <f>SUM(T125:T134)</f>
        <v>#VALUE!</v>
      </c>
      <c r="V125" s="23" t="e">
        <f t="shared" ref="V125:V134" si="31">T125*C125</f>
        <v>#VALUE!</v>
      </c>
      <c r="W125" s="34" t="e">
        <f>SUM(V125:V134)</f>
        <v>#VALUE!</v>
      </c>
      <c r="X125" s="21" t="e">
        <f t="shared" ref="X125:X134" si="32">T125*D125</f>
        <v>#VALUE!</v>
      </c>
      <c r="Y125" s="34" t="e">
        <f>SUM(X125:X134)</f>
        <v>#VALUE!</v>
      </c>
      <c r="Z125" s="24" t="e">
        <f t="shared" ref="Z125:Z134" si="33">T125*C125*D125</f>
        <v>#VALUE!</v>
      </c>
      <c r="AA125" s="34" t="e">
        <f>SUM(Z125:Z134)</f>
        <v>#VALUE!</v>
      </c>
      <c r="AB125" s="24" t="e">
        <f t="shared" ref="AB125:AB134" si="34">T125*L125</f>
        <v>#VALUE!</v>
      </c>
      <c r="AC125" s="34" t="e">
        <f>SUM(AB125:AB134)</f>
        <v>#VALUE!</v>
      </c>
      <c r="AD125" s="34" t="e">
        <f>((AC125*Y125)-(W125*AA125))/AF125</f>
        <v>#VALUE!</v>
      </c>
      <c r="AE125" s="34" t="e">
        <f>((U125*AA125)-(W125*Y125))/AF125</f>
        <v>#VALUE!</v>
      </c>
      <c r="AF125" s="40" t="e">
        <f>(U125*AC125)-(W125^2)</f>
        <v>#VALUE!</v>
      </c>
      <c r="AG125" s="34" t="e">
        <f>SQRT((AC125/AF125))</f>
        <v>#VALUE!</v>
      </c>
      <c r="AH125" s="34" t="e">
        <f>SQRT((U125/AF125))</f>
        <v>#VALUE!</v>
      </c>
      <c r="AI125" s="37">
        <f>_xlfn.STDEV.S(C125:C134)</f>
        <v>0</v>
      </c>
      <c r="AJ125" s="37">
        <f>_xlfn.STDEV.S(D125:D134)</f>
        <v>0</v>
      </c>
      <c r="AK125" s="37">
        <f>_xlfn.COVARIANCE.S(C125:C134,D125:D134)</f>
        <v>0</v>
      </c>
      <c r="AL125" s="37" t="e">
        <f>CORREL(C125:C134,D125:D134)</f>
        <v>#DIV/0!</v>
      </c>
      <c r="AM125" s="8"/>
    </row>
    <row r="126" spans="2:39" x14ac:dyDescent="0.2">
      <c r="B126" s="8"/>
      <c r="C126" s="25">
        <v>0</v>
      </c>
      <c r="D126" s="26">
        <v>0</v>
      </c>
      <c r="E126" s="26">
        <v>0</v>
      </c>
      <c r="F126" s="26">
        <v>0</v>
      </c>
      <c r="G126" s="50"/>
      <c r="H126" s="35"/>
      <c r="I126" s="35"/>
      <c r="J126" s="22">
        <f t="shared" si="28"/>
        <v>0</v>
      </c>
      <c r="K126" s="35"/>
      <c r="L126" s="22">
        <f t="shared" si="29"/>
        <v>0</v>
      </c>
      <c r="M126" s="35"/>
      <c r="N126" s="35"/>
      <c r="O126" s="35"/>
      <c r="P126" s="35"/>
      <c r="Q126" s="35"/>
      <c r="R126" s="35"/>
      <c r="S126" s="35"/>
      <c r="T126" s="22" t="e">
        <f t="shared" si="30"/>
        <v>#VALUE!</v>
      </c>
      <c r="U126" s="35"/>
      <c r="V126" s="27" t="e">
        <f t="shared" si="31"/>
        <v>#VALUE!</v>
      </c>
      <c r="W126" s="35"/>
      <c r="X126" s="22" t="e">
        <f t="shared" si="32"/>
        <v>#VALUE!</v>
      </c>
      <c r="Y126" s="35"/>
      <c r="Z126" s="28" t="e">
        <f t="shared" si="33"/>
        <v>#VALUE!</v>
      </c>
      <c r="AA126" s="35"/>
      <c r="AB126" s="28" t="e">
        <f t="shared" si="34"/>
        <v>#VALUE!</v>
      </c>
      <c r="AC126" s="35"/>
      <c r="AD126" s="35"/>
      <c r="AE126" s="35"/>
      <c r="AF126" s="41"/>
      <c r="AG126" s="35"/>
      <c r="AH126" s="35"/>
      <c r="AI126" s="38"/>
      <c r="AJ126" s="38"/>
      <c r="AK126" s="38"/>
      <c r="AL126" s="38"/>
      <c r="AM126" s="8"/>
    </row>
    <row r="127" spans="2:39" x14ac:dyDescent="0.2">
      <c r="B127" s="8"/>
      <c r="C127" s="25">
        <v>0</v>
      </c>
      <c r="D127" s="26">
        <v>0</v>
      </c>
      <c r="E127" s="26">
        <v>0</v>
      </c>
      <c r="F127" s="26">
        <v>0</v>
      </c>
      <c r="G127" s="50"/>
      <c r="H127" s="35"/>
      <c r="I127" s="35"/>
      <c r="J127" s="22">
        <f t="shared" si="28"/>
        <v>0</v>
      </c>
      <c r="K127" s="35"/>
      <c r="L127" s="22">
        <f t="shared" si="29"/>
        <v>0</v>
      </c>
      <c r="M127" s="35"/>
      <c r="N127" s="35"/>
      <c r="O127" s="35"/>
      <c r="P127" s="35"/>
      <c r="Q127" s="35"/>
      <c r="R127" s="35"/>
      <c r="S127" s="35"/>
      <c r="T127" s="22" t="e">
        <f t="shared" si="30"/>
        <v>#VALUE!</v>
      </c>
      <c r="U127" s="35"/>
      <c r="V127" s="27" t="e">
        <f t="shared" si="31"/>
        <v>#VALUE!</v>
      </c>
      <c r="W127" s="35"/>
      <c r="X127" s="22" t="e">
        <f t="shared" si="32"/>
        <v>#VALUE!</v>
      </c>
      <c r="Y127" s="35"/>
      <c r="Z127" s="28" t="e">
        <f t="shared" si="33"/>
        <v>#VALUE!</v>
      </c>
      <c r="AA127" s="35"/>
      <c r="AB127" s="28" t="e">
        <f t="shared" si="34"/>
        <v>#VALUE!</v>
      </c>
      <c r="AC127" s="35"/>
      <c r="AD127" s="35"/>
      <c r="AE127" s="35"/>
      <c r="AF127" s="41"/>
      <c r="AG127" s="35"/>
      <c r="AH127" s="35"/>
      <c r="AI127" s="38"/>
      <c r="AJ127" s="38"/>
      <c r="AK127" s="38"/>
      <c r="AL127" s="38"/>
      <c r="AM127" s="8"/>
    </row>
    <row r="128" spans="2:39" x14ac:dyDescent="0.2">
      <c r="B128" s="8"/>
      <c r="C128" s="25">
        <v>0</v>
      </c>
      <c r="D128" s="26">
        <v>0</v>
      </c>
      <c r="E128" s="26">
        <v>0</v>
      </c>
      <c r="F128" s="26">
        <v>0</v>
      </c>
      <c r="G128" s="50"/>
      <c r="H128" s="35"/>
      <c r="I128" s="35"/>
      <c r="J128" s="22">
        <f t="shared" si="28"/>
        <v>0</v>
      </c>
      <c r="K128" s="35"/>
      <c r="L128" s="22">
        <f t="shared" si="29"/>
        <v>0</v>
      </c>
      <c r="M128" s="35"/>
      <c r="N128" s="35"/>
      <c r="O128" s="35"/>
      <c r="P128" s="35"/>
      <c r="Q128" s="35"/>
      <c r="R128" s="35"/>
      <c r="S128" s="35"/>
      <c r="T128" s="22" t="e">
        <f t="shared" si="30"/>
        <v>#VALUE!</v>
      </c>
      <c r="U128" s="35"/>
      <c r="V128" s="27" t="e">
        <f t="shared" si="31"/>
        <v>#VALUE!</v>
      </c>
      <c r="W128" s="35"/>
      <c r="X128" s="22" t="e">
        <f t="shared" si="32"/>
        <v>#VALUE!</v>
      </c>
      <c r="Y128" s="35"/>
      <c r="Z128" s="28" t="e">
        <f t="shared" si="33"/>
        <v>#VALUE!</v>
      </c>
      <c r="AA128" s="35"/>
      <c r="AB128" s="28" t="e">
        <f t="shared" si="34"/>
        <v>#VALUE!</v>
      </c>
      <c r="AC128" s="35"/>
      <c r="AD128" s="35"/>
      <c r="AE128" s="35"/>
      <c r="AF128" s="41"/>
      <c r="AG128" s="35"/>
      <c r="AH128" s="35"/>
      <c r="AI128" s="38"/>
      <c r="AJ128" s="38"/>
      <c r="AK128" s="38"/>
      <c r="AL128" s="38"/>
      <c r="AM128" s="8"/>
    </row>
    <row r="129" spans="2:39" x14ac:dyDescent="0.2">
      <c r="B129" s="8"/>
      <c r="C129" s="25">
        <v>0</v>
      </c>
      <c r="D129" s="26">
        <v>0</v>
      </c>
      <c r="E129" s="26">
        <v>0</v>
      </c>
      <c r="F129" s="26">
        <v>0</v>
      </c>
      <c r="G129" s="50"/>
      <c r="H129" s="35"/>
      <c r="I129" s="35"/>
      <c r="J129" s="22">
        <f t="shared" si="28"/>
        <v>0</v>
      </c>
      <c r="K129" s="35"/>
      <c r="L129" s="22">
        <f t="shared" si="29"/>
        <v>0</v>
      </c>
      <c r="M129" s="35"/>
      <c r="N129" s="35"/>
      <c r="O129" s="35"/>
      <c r="P129" s="35"/>
      <c r="Q129" s="35"/>
      <c r="R129" s="35"/>
      <c r="S129" s="35"/>
      <c r="T129" s="22" t="e">
        <f t="shared" si="30"/>
        <v>#VALUE!</v>
      </c>
      <c r="U129" s="35"/>
      <c r="V129" s="27" t="e">
        <f t="shared" si="31"/>
        <v>#VALUE!</v>
      </c>
      <c r="W129" s="35"/>
      <c r="X129" s="22" t="e">
        <f t="shared" si="32"/>
        <v>#VALUE!</v>
      </c>
      <c r="Y129" s="35"/>
      <c r="Z129" s="28" t="e">
        <f t="shared" si="33"/>
        <v>#VALUE!</v>
      </c>
      <c r="AA129" s="35"/>
      <c r="AB129" s="28" t="e">
        <f t="shared" si="34"/>
        <v>#VALUE!</v>
      </c>
      <c r="AC129" s="35"/>
      <c r="AD129" s="35"/>
      <c r="AE129" s="35"/>
      <c r="AF129" s="41"/>
      <c r="AG129" s="35"/>
      <c r="AH129" s="35"/>
      <c r="AI129" s="38"/>
      <c r="AJ129" s="38"/>
      <c r="AK129" s="38"/>
      <c r="AL129" s="38"/>
      <c r="AM129" s="8"/>
    </row>
    <row r="130" spans="2:39" x14ac:dyDescent="0.2">
      <c r="B130" s="8"/>
      <c r="C130" s="25">
        <v>0</v>
      </c>
      <c r="D130" s="26">
        <v>0</v>
      </c>
      <c r="E130" s="26">
        <v>0</v>
      </c>
      <c r="F130" s="26">
        <v>0</v>
      </c>
      <c r="G130" s="50"/>
      <c r="H130" s="35"/>
      <c r="I130" s="35"/>
      <c r="J130" s="22">
        <f t="shared" si="28"/>
        <v>0</v>
      </c>
      <c r="K130" s="35"/>
      <c r="L130" s="22">
        <f t="shared" si="29"/>
        <v>0</v>
      </c>
      <c r="M130" s="35"/>
      <c r="N130" s="35"/>
      <c r="O130" s="35"/>
      <c r="P130" s="35"/>
      <c r="Q130" s="35"/>
      <c r="R130" s="35"/>
      <c r="S130" s="35"/>
      <c r="T130" s="22" t="e">
        <f t="shared" si="30"/>
        <v>#VALUE!</v>
      </c>
      <c r="U130" s="35"/>
      <c r="V130" s="27" t="e">
        <f t="shared" si="31"/>
        <v>#VALUE!</v>
      </c>
      <c r="W130" s="35"/>
      <c r="X130" s="22" t="e">
        <f t="shared" si="32"/>
        <v>#VALUE!</v>
      </c>
      <c r="Y130" s="35"/>
      <c r="Z130" s="28" t="e">
        <f t="shared" si="33"/>
        <v>#VALUE!</v>
      </c>
      <c r="AA130" s="35"/>
      <c r="AB130" s="28" t="e">
        <f t="shared" si="34"/>
        <v>#VALUE!</v>
      </c>
      <c r="AC130" s="35"/>
      <c r="AD130" s="35"/>
      <c r="AE130" s="35"/>
      <c r="AF130" s="41"/>
      <c r="AG130" s="35"/>
      <c r="AH130" s="35"/>
      <c r="AI130" s="38"/>
      <c r="AJ130" s="38"/>
      <c r="AK130" s="38"/>
      <c r="AL130" s="38"/>
      <c r="AM130" s="8"/>
    </row>
    <row r="131" spans="2:39" x14ac:dyDescent="0.2">
      <c r="B131" s="8"/>
      <c r="C131" s="25">
        <v>0</v>
      </c>
      <c r="D131" s="26">
        <v>0</v>
      </c>
      <c r="E131" s="26">
        <v>0</v>
      </c>
      <c r="F131" s="26">
        <v>0</v>
      </c>
      <c r="G131" s="50"/>
      <c r="H131" s="35"/>
      <c r="I131" s="35"/>
      <c r="J131" s="22">
        <f t="shared" si="28"/>
        <v>0</v>
      </c>
      <c r="K131" s="35"/>
      <c r="L131" s="22">
        <f t="shared" si="29"/>
        <v>0</v>
      </c>
      <c r="M131" s="35"/>
      <c r="N131" s="35"/>
      <c r="O131" s="35"/>
      <c r="P131" s="35"/>
      <c r="Q131" s="35"/>
      <c r="R131" s="35"/>
      <c r="S131" s="35"/>
      <c r="T131" s="22" t="e">
        <f t="shared" si="30"/>
        <v>#VALUE!</v>
      </c>
      <c r="U131" s="35"/>
      <c r="V131" s="27" t="e">
        <f t="shared" si="31"/>
        <v>#VALUE!</v>
      </c>
      <c r="W131" s="35"/>
      <c r="X131" s="22" t="e">
        <f t="shared" si="32"/>
        <v>#VALUE!</v>
      </c>
      <c r="Y131" s="35"/>
      <c r="Z131" s="28" t="e">
        <f t="shared" si="33"/>
        <v>#VALUE!</v>
      </c>
      <c r="AA131" s="35"/>
      <c r="AB131" s="28" t="e">
        <f t="shared" si="34"/>
        <v>#VALUE!</v>
      </c>
      <c r="AC131" s="35"/>
      <c r="AD131" s="35"/>
      <c r="AE131" s="35"/>
      <c r="AF131" s="41"/>
      <c r="AG131" s="35"/>
      <c r="AH131" s="35"/>
      <c r="AI131" s="38"/>
      <c r="AJ131" s="38"/>
      <c r="AK131" s="38"/>
      <c r="AL131" s="38"/>
      <c r="AM131" s="8"/>
    </row>
    <row r="132" spans="2:39" x14ac:dyDescent="0.2">
      <c r="B132" s="8"/>
      <c r="C132" s="25">
        <v>0</v>
      </c>
      <c r="D132" s="26">
        <v>0</v>
      </c>
      <c r="E132" s="26">
        <v>0</v>
      </c>
      <c r="F132" s="26">
        <v>0</v>
      </c>
      <c r="G132" s="50"/>
      <c r="H132" s="35"/>
      <c r="I132" s="35"/>
      <c r="J132" s="22">
        <f t="shared" si="28"/>
        <v>0</v>
      </c>
      <c r="K132" s="35"/>
      <c r="L132" s="22">
        <f t="shared" si="29"/>
        <v>0</v>
      </c>
      <c r="M132" s="35"/>
      <c r="N132" s="35"/>
      <c r="O132" s="35"/>
      <c r="P132" s="35"/>
      <c r="Q132" s="35"/>
      <c r="R132" s="35"/>
      <c r="S132" s="35"/>
      <c r="T132" s="22" t="e">
        <f t="shared" si="30"/>
        <v>#VALUE!</v>
      </c>
      <c r="U132" s="35"/>
      <c r="V132" s="27" t="e">
        <f t="shared" si="31"/>
        <v>#VALUE!</v>
      </c>
      <c r="W132" s="35"/>
      <c r="X132" s="22" t="e">
        <f t="shared" si="32"/>
        <v>#VALUE!</v>
      </c>
      <c r="Y132" s="35"/>
      <c r="Z132" s="28" t="e">
        <f t="shared" si="33"/>
        <v>#VALUE!</v>
      </c>
      <c r="AA132" s="35"/>
      <c r="AB132" s="28" t="e">
        <f t="shared" si="34"/>
        <v>#VALUE!</v>
      </c>
      <c r="AC132" s="35"/>
      <c r="AD132" s="35"/>
      <c r="AE132" s="35"/>
      <c r="AF132" s="41"/>
      <c r="AG132" s="35"/>
      <c r="AH132" s="35"/>
      <c r="AI132" s="38"/>
      <c r="AJ132" s="38"/>
      <c r="AK132" s="38"/>
      <c r="AL132" s="38"/>
      <c r="AM132" s="8"/>
    </row>
    <row r="133" spans="2:39" x14ac:dyDescent="0.2">
      <c r="B133" s="8"/>
      <c r="C133" s="25">
        <v>0</v>
      </c>
      <c r="D133" s="26">
        <v>0</v>
      </c>
      <c r="E133" s="26">
        <v>0</v>
      </c>
      <c r="F133" s="26">
        <v>0</v>
      </c>
      <c r="G133" s="50"/>
      <c r="H133" s="35"/>
      <c r="I133" s="35"/>
      <c r="J133" s="22">
        <f t="shared" si="28"/>
        <v>0</v>
      </c>
      <c r="K133" s="35"/>
      <c r="L133" s="22">
        <f t="shared" si="29"/>
        <v>0</v>
      </c>
      <c r="M133" s="35"/>
      <c r="N133" s="35"/>
      <c r="O133" s="35"/>
      <c r="P133" s="35"/>
      <c r="Q133" s="35"/>
      <c r="R133" s="35"/>
      <c r="S133" s="35"/>
      <c r="T133" s="22" t="e">
        <f t="shared" si="30"/>
        <v>#VALUE!</v>
      </c>
      <c r="U133" s="35"/>
      <c r="V133" s="27" t="e">
        <f t="shared" si="31"/>
        <v>#VALUE!</v>
      </c>
      <c r="W133" s="35"/>
      <c r="X133" s="22" t="e">
        <f t="shared" si="32"/>
        <v>#VALUE!</v>
      </c>
      <c r="Y133" s="35"/>
      <c r="Z133" s="28" t="e">
        <f t="shared" si="33"/>
        <v>#VALUE!</v>
      </c>
      <c r="AA133" s="35"/>
      <c r="AB133" s="28" t="e">
        <f t="shared" si="34"/>
        <v>#VALUE!</v>
      </c>
      <c r="AC133" s="35"/>
      <c r="AD133" s="35"/>
      <c r="AE133" s="35"/>
      <c r="AF133" s="41"/>
      <c r="AG133" s="35"/>
      <c r="AH133" s="35"/>
      <c r="AI133" s="38"/>
      <c r="AJ133" s="38"/>
      <c r="AK133" s="38"/>
      <c r="AL133" s="38"/>
      <c r="AM133" s="8"/>
    </row>
    <row r="134" spans="2:39" ht="16" thickBot="1" x14ac:dyDescent="0.25">
      <c r="B134" s="8"/>
      <c r="C134" s="29">
        <v>0</v>
      </c>
      <c r="D134" s="30">
        <v>0</v>
      </c>
      <c r="E134" s="30">
        <v>0</v>
      </c>
      <c r="F134" s="30">
        <v>0</v>
      </c>
      <c r="G134" s="51"/>
      <c r="H134" s="36"/>
      <c r="I134" s="36"/>
      <c r="J134" s="31">
        <f t="shared" si="28"/>
        <v>0</v>
      </c>
      <c r="K134" s="36"/>
      <c r="L134" s="31">
        <f t="shared" si="29"/>
        <v>0</v>
      </c>
      <c r="M134" s="36"/>
      <c r="N134" s="36"/>
      <c r="O134" s="36"/>
      <c r="P134" s="36"/>
      <c r="Q134" s="36"/>
      <c r="R134" s="36"/>
      <c r="S134" s="36"/>
      <c r="T134" s="31" t="e">
        <f t="shared" si="30"/>
        <v>#VALUE!</v>
      </c>
      <c r="U134" s="36"/>
      <c r="V134" s="32" t="e">
        <f t="shared" si="31"/>
        <v>#VALUE!</v>
      </c>
      <c r="W134" s="36"/>
      <c r="X134" s="31" t="e">
        <f t="shared" si="32"/>
        <v>#VALUE!</v>
      </c>
      <c r="Y134" s="36"/>
      <c r="Z134" s="33" t="e">
        <f t="shared" si="33"/>
        <v>#VALUE!</v>
      </c>
      <c r="AA134" s="36"/>
      <c r="AB134" s="33" t="e">
        <f t="shared" si="34"/>
        <v>#VALUE!</v>
      </c>
      <c r="AC134" s="36"/>
      <c r="AD134" s="36"/>
      <c r="AE134" s="36"/>
      <c r="AF134" s="42"/>
      <c r="AG134" s="36"/>
      <c r="AH134" s="36"/>
      <c r="AI134" s="39"/>
      <c r="AJ134" s="39"/>
      <c r="AK134" s="39"/>
      <c r="AL134" s="39"/>
      <c r="AM134" s="8"/>
    </row>
    <row r="137" spans="2:39" ht="16" thickBot="1" x14ac:dyDescent="0.25"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</row>
    <row r="138" spans="2:39" ht="16" thickBot="1" x14ac:dyDescent="0.25">
      <c r="B138" s="8"/>
      <c r="C138" s="8"/>
      <c r="D138" s="8"/>
      <c r="E138" s="8"/>
      <c r="F138" s="8"/>
      <c r="G138" s="43" t="s">
        <v>39</v>
      </c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5"/>
      <c r="T138" s="46" t="s">
        <v>40</v>
      </c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8"/>
      <c r="AI138" s="8"/>
      <c r="AJ138" s="8"/>
      <c r="AK138" s="8"/>
      <c r="AL138" s="8"/>
      <c r="AM138" s="8"/>
    </row>
    <row r="139" spans="2:39" ht="18" thickBot="1" x14ac:dyDescent="0.25">
      <c r="B139" s="8"/>
      <c r="C139" s="11" t="s">
        <v>41</v>
      </c>
      <c r="D139" s="11" t="s">
        <v>42</v>
      </c>
      <c r="E139" s="11" t="s">
        <v>43</v>
      </c>
      <c r="F139" s="11" t="s">
        <v>44</v>
      </c>
      <c r="G139" s="12" t="s">
        <v>45</v>
      </c>
      <c r="H139" s="12" t="s">
        <v>46</v>
      </c>
      <c r="I139" s="12" t="s">
        <v>47</v>
      </c>
      <c r="J139" s="12" t="s">
        <v>48</v>
      </c>
      <c r="K139" s="12" t="s">
        <v>49</v>
      </c>
      <c r="L139" s="12" t="s">
        <v>50</v>
      </c>
      <c r="M139" s="12" t="s">
        <v>51</v>
      </c>
      <c r="N139" s="12" t="s">
        <v>52</v>
      </c>
      <c r="O139" s="13" t="s">
        <v>53</v>
      </c>
      <c r="P139" s="13" t="s">
        <v>54</v>
      </c>
      <c r="Q139" s="13" t="s">
        <v>55</v>
      </c>
      <c r="R139" s="12" t="s">
        <v>56</v>
      </c>
      <c r="S139" s="12" t="s">
        <v>57</v>
      </c>
      <c r="T139" s="14" t="s">
        <v>58</v>
      </c>
      <c r="U139" s="9" t="s">
        <v>45</v>
      </c>
      <c r="V139" s="9" t="s">
        <v>59</v>
      </c>
      <c r="W139" s="9" t="s">
        <v>46</v>
      </c>
      <c r="X139" s="15" t="s">
        <v>60</v>
      </c>
      <c r="Y139" s="14" t="s">
        <v>47</v>
      </c>
      <c r="Z139" s="10" t="s">
        <v>61</v>
      </c>
      <c r="AA139" s="10" t="s">
        <v>49</v>
      </c>
      <c r="AB139" s="10" t="s">
        <v>62</v>
      </c>
      <c r="AC139" s="10" t="s">
        <v>63</v>
      </c>
      <c r="AD139" s="14" t="s">
        <v>56</v>
      </c>
      <c r="AE139" s="14" t="s">
        <v>57</v>
      </c>
      <c r="AF139" s="9" t="s">
        <v>52</v>
      </c>
      <c r="AG139" s="16" t="s">
        <v>64</v>
      </c>
      <c r="AH139" s="16" t="s">
        <v>65</v>
      </c>
      <c r="AI139" s="17" t="s">
        <v>66</v>
      </c>
      <c r="AJ139" s="17" t="s">
        <v>67</v>
      </c>
      <c r="AK139" s="18" t="s">
        <v>68</v>
      </c>
      <c r="AL139" s="17" t="s">
        <v>69</v>
      </c>
      <c r="AM139" s="8"/>
    </row>
    <row r="140" spans="2:39" x14ac:dyDescent="0.2">
      <c r="B140" s="8"/>
      <c r="C140" s="19">
        <v>0</v>
      </c>
      <c r="D140" s="20">
        <v>0</v>
      </c>
      <c r="E140" s="20">
        <v>0</v>
      </c>
      <c r="F140" s="20">
        <v>0</v>
      </c>
      <c r="G140" s="49">
        <f>COUNTA(D140:D149)</f>
        <v>10</v>
      </c>
      <c r="H140" s="34">
        <f>SUM(C140:C149)</f>
        <v>0</v>
      </c>
      <c r="I140" s="34">
        <f>SUM(D140:D149)</f>
        <v>0</v>
      </c>
      <c r="J140" s="21">
        <f t="shared" ref="J140:J149" si="35">C140*D140</f>
        <v>0</v>
      </c>
      <c r="K140" s="34">
        <f>SUM(J140:J149)</f>
        <v>0</v>
      </c>
      <c r="L140" s="21">
        <f t="shared" ref="L140:L149" si="36">C140^2</f>
        <v>0</v>
      </c>
      <c r="M140" s="34">
        <f>SUM(L140:L149)</f>
        <v>0</v>
      </c>
      <c r="N140" s="34">
        <f>(G140*M140)-(H140^2)</f>
        <v>0</v>
      </c>
      <c r="O140" s="34" t="e">
        <f>SQRT($F$7^2+(S140*$E$7)^2)</f>
        <v>#DIV/0!</v>
      </c>
      <c r="P140" s="34" t="e">
        <f>O140*SQRT(M140/N140)</f>
        <v>#DIV/0!</v>
      </c>
      <c r="Q140" s="34" t="e">
        <f>O140*SQRT(G140/N140)</f>
        <v>#DIV/0!</v>
      </c>
      <c r="R140" s="34" t="e">
        <f>(M140*I140-H140*K140)/N140</f>
        <v>#DIV/0!</v>
      </c>
      <c r="S140" s="34" t="e">
        <f>((G140*K140)-(H140*I140))/N140</f>
        <v>#DIV/0!</v>
      </c>
      <c r="T140" s="22" t="e">
        <f t="shared" ref="T140:T149" si="37">1/(F140^2+($S$7*E140)^2)</f>
        <v>#VALUE!</v>
      </c>
      <c r="U140" s="34" t="e">
        <f>SUM(T140:T149)</f>
        <v>#VALUE!</v>
      </c>
      <c r="V140" s="23" t="e">
        <f t="shared" ref="V140:V149" si="38">T140*C140</f>
        <v>#VALUE!</v>
      </c>
      <c r="W140" s="34" t="e">
        <f>SUM(V140:V149)</f>
        <v>#VALUE!</v>
      </c>
      <c r="X140" s="21" t="e">
        <f t="shared" ref="X140:X149" si="39">T140*D140</f>
        <v>#VALUE!</v>
      </c>
      <c r="Y140" s="34" t="e">
        <f>SUM(X140:X149)</f>
        <v>#VALUE!</v>
      </c>
      <c r="Z140" s="24" t="e">
        <f t="shared" ref="Z140:Z149" si="40">T140*C140*D140</f>
        <v>#VALUE!</v>
      </c>
      <c r="AA140" s="34" t="e">
        <f>SUM(Z140:Z149)</f>
        <v>#VALUE!</v>
      </c>
      <c r="AB140" s="24" t="e">
        <f t="shared" ref="AB140:AB149" si="41">T140*L140</f>
        <v>#VALUE!</v>
      </c>
      <c r="AC140" s="34" t="e">
        <f>SUM(AB140:AB149)</f>
        <v>#VALUE!</v>
      </c>
      <c r="AD140" s="34" t="e">
        <f>((AC140*Y140)-(W140*AA140))/AF140</f>
        <v>#VALUE!</v>
      </c>
      <c r="AE140" s="34" t="e">
        <f>((U140*AA140)-(W140*Y140))/AF140</f>
        <v>#VALUE!</v>
      </c>
      <c r="AF140" s="40" t="e">
        <f>(U140*AC140)-(W140^2)</f>
        <v>#VALUE!</v>
      </c>
      <c r="AG140" s="34" t="e">
        <f>SQRT((AC140/AF140))</f>
        <v>#VALUE!</v>
      </c>
      <c r="AH140" s="34" t="e">
        <f>SQRT((U140/AF140))</f>
        <v>#VALUE!</v>
      </c>
      <c r="AI140" s="37">
        <f>_xlfn.STDEV.S(C140:C149)</f>
        <v>0</v>
      </c>
      <c r="AJ140" s="37">
        <f>_xlfn.STDEV.S(D140:D149)</f>
        <v>0</v>
      </c>
      <c r="AK140" s="37">
        <f>_xlfn.COVARIANCE.S(C140:C149,D140:D149)</f>
        <v>0</v>
      </c>
      <c r="AL140" s="37" t="e">
        <f>CORREL(C140:C149,D140:D149)</f>
        <v>#DIV/0!</v>
      </c>
      <c r="AM140" s="8"/>
    </row>
    <row r="141" spans="2:39" x14ac:dyDescent="0.2">
      <c r="B141" s="8"/>
      <c r="C141" s="25">
        <v>0</v>
      </c>
      <c r="D141" s="26">
        <v>0</v>
      </c>
      <c r="E141" s="26">
        <v>0</v>
      </c>
      <c r="F141" s="26">
        <v>0</v>
      </c>
      <c r="G141" s="50"/>
      <c r="H141" s="35"/>
      <c r="I141" s="35"/>
      <c r="J141" s="22">
        <f t="shared" si="35"/>
        <v>0</v>
      </c>
      <c r="K141" s="35"/>
      <c r="L141" s="22">
        <f t="shared" si="36"/>
        <v>0</v>
      </c>
      <c r="M141" s="35"/>
      <c r="N141" s="35"/>
      <c r="O141" s="35"/>
      <c r="P141" s="35"/>
      <c r="Q141" s="35"/>
      <c r="R141" s="35"/>
      <c r="S141" s="35"/>
      <c r="T141" s="22" t="e">
        <f t="shared" si="37"/>
        <v>#VALUE!</v>
      </c>
      <c r="U141" s="35"/>
      <c r="V141" s="27" t="e">
        <f t="shared" si="38"/>
        <v>#VALUE!</v>
      </c>
      <c r="W141" s="35"/>
      <c r="X141" s="22" t="e">
        <f t="shared" si="39"/>
        <v>#VALUE!</v>
      </c>
      <c r="Y141" s="35"/>
      <c r="Z141" s="28" t="e">
        <f t="shared" si="40"/>
        <v>#VALUE!</v>
      </c>
      <c r="AA141" s="35"/>
      <c r="AB141" s="28" t="e">
        <f t="shared" si="41"/>
        <v>#VALUE!</v>
      </c>
      <c r="AC141" s="35"/>
      <c r="AD141" s="35"/>
      <c r="AE141" s="35"/>
      <c r="AF141" s="41"/>
      <c r="AG141" s="35"/>
      <c r="AH141" s="35"/>
      <c r="AI141" s="38"/>
      <c r="AJ141" s="38"/>
      <c r="AK141" s="38"/>
      <c r="AL141" s="38"/>
      <c r="AM141" s="8"/>
    </row>
    <row r="142" spans="2:39" x14ac:dyDescent="0.2">
      <c r="B142" s="8"/>
      <c r="C142" s="25">
        <v>0</v>
      </c>
      <c r="D142" s="26">
        <v>0</v>
      </c>
      <c r="E142" s="26">
        <v>0</v>
      </c>
      <c r="F142" s="26">
        <v>0</v>
      </c>
      <c r="G142" s="50"/>
      <c r="H142" s="35"/>
      <c r="I142" s="35"/>
      <c r="J142" s="22">
        <f t="shared" si="35"/>
        <v>0</v>
      </c>
      <c r="K142" s="35"/>
      <c r="L142" s="22">
        <f t="shared" si="36"/>
        <v>0</v>
      </c>
      <c r="M142" s="35"/>
      <c r="N142" s="35"/>
      <c r="O142" s="35"/>
      <c r="P142" s="35"/>
      <c r="Q142" s="35"/>
      <c r="R142" s="35"/>
      <c r="S142" s="35"/>
      <c r="T142" s="22" t="e">
        <f t="shared" si="37"/>
        <v>#VALUE!</v>
      </c>
      <c r="U142" s="35"/>
      <c r="V142" s="27" t="e">
        <f t="shared" si="38"/>
        <v>#VALUE!</v>
      </c>
      <c r="W142" s="35"/>
      <c r="X142" s="22" t="e">
        <f t="shared" si="39"/>
        <v>#VALUE!</v>
      </c>
      <c r="Y142" s="35"/>
      <c r="Z142" s="28" t="e">
        <f t="shared" si="40"/>
        <v>#VALUE!</v>
      </c>
      <c r="AA142" s="35"/>
      <c r="AB142" s="28" t="e">
        <f t="shared" si="41"/>
        <v>#VALUE!</v>
      </c>
      <c r="AC142" s="35"/>
      <c r="AD142" s="35"/>
      <c r="AE142" s="35"/>
      <c r="AF142" s="41"/>
      <c r="AG142" s="35"/>
      <c r="AH142" s="35"/>
      <c r="AI142" s="38"/>
      <c r="AJ142" s="38"/>
      <c r="AK142" s="38"/>
      <c r="AL142" s="38"/>
      <c r="AM142" s="8"/>
    </row>
    <row r="143" spans="2:39" x14ac:dyDescent="0.2">
      <c r="B143" s="8"/>
      <c r="C143" s="25">
        <v>0</v>
      </c>
      <c r="D143" s="26">
        <v>0</v>
      </c>
      <c r="E143" s="26">
        <v>0</v>
      </c>
      <c r="F143" s="26">
        <v>0</v>
      </c>
      <c r="G143" s="50"/>
      <c r="H143" s="35"/>
      <c r="I143" s="35"/>
      <c r="J143" s="22">
        <f t="shared" si="35"/>
        <v>0</v>
      </c>
      <c r="K143" s="35"/>
      <c r="L143" s="22">
        <f t="shared" si="36"/>
        <v>0</v>
      </c>
      <c r="M143" s="35"/>
      <c r="N143" s="35"/>
      <c r="O143" s="35"/>
      <c r="P143" s="35"/>
      <c r="Q143" s="35"/>
      <c r="R143" s="35"/>
      <c r="S143" s="35"/>
      <c r="T143" s="22" t="e">
        <f t="shared" si="37"/>
        <v>#VALUE!</v>
      </c>
      <c r="U143" s="35"/>
      <c r="V143" s="27" t="e">
        <f t="shared" si="38"/>
        <v>#VALUE!</v>
      </c>
      <c r="W143" s="35"/>
      <c r="X143" s="22" t="e">
        <f t="shared" si="39"/>
        <v>#VALUE!</v>
      </c>
      <c r="Y143" s="35"/>
      <c r="Z143" s="28" t="e">
        <f t="shared" si="40"/>
        <v>#VALUE!</v>
      </c>
      <c r="AA143" s="35"/>
      <c r="AB143" s="28" t="e">
        <f t="shared" si="41"/>
        <v>#VALUE!</v>
      </c>
      <c r="AC143" s="35"/>
      <c r="AD143" s="35"/>
      <c r="AE143" s="35"/>
      <c r="AF143" s="41"/>
      <c r="AG143" s="35"/>
      <c r="AH143" s="35"/>
      <c r="AI143" s="38"/>
      <c r="AJ143" s="38"/>
      <c r="AK143" s="38"/>
      <c r="AL143" s="38"/>
      <c r="AM143" s="8"/>
    </row>
    <row r="144" spans="2:39" x14ac:dyDescent="0.2">
      <c r="B144" s="8"/>
      <c r="C144" s="25">
        <v>0</v>
      </c>
      <c r="D144" s="26">
        <v>0</v>
      </c>
      <c r="E144" s="26">
        <v>0</v>
      </c>
      <c r="F144" s="26">
        <v>0</v>
      </c>
      <c r="G144" s="50"/>
      <c r="H144" s="35"/>
      <c r="I144" s="35"/>
      <c r="J144" s="22">
        <f t="shared" si="35"/>
        <v>0</v>
      </c>
      <c r="K144" s="35"/>
      <c r="L144" s="22">
        <f t="shared" si="36"/>
        <v>0</v>
      </c>
      <c r="M144" s="35"/>
      <c r="N144" s="35"/>
      <c r="O144" s="35"/>
      <c r="P144" s="35"/>
      <c r="Q144" s="35"/>
      <c r="R144" s="35"/>
      <c r="S144" s="35"/>
      <c r="T144" s="22" t="e">
        <f t="shared" si="37"/>
        <v>#VALUE!</v>
      </c>
      <c r="U144" s="35"/>
      <c r="V144" s="27" t="e">
        <f t="shared" si="38"/>
        <v>#VALUE!</v>
      </c>
      <c r="W144" s="35"/>
      <c r="X144" s="22" t="e">
        <f t="shared" si="39"/>
        <v>#VALUE!</v>
      </c>
      <c r="Y144" s="35"/>
      <c r="Z144" s="28" t="e">
        <f t="shared" si="40"/>
        <v>#VALUE!</v>
      </c>
      <c r="AA144" s="35"/>
      <c r="AB144" s="28" t="e">
        <f t="shared" si="41"/>
        <v>#VALUE!</v>
      </c>
      <c r="AC144" s="35"/>
      <c r="AD144" s="35"/>
      <c r="AE144" s="35"/>
      <c r="AF144" s="41"/>
      <c r="AG144" s="35"/>
      <c r="AH144" s="35"/>
      <c r="AI144" s="38"/>
      <c r="AJ144" s="38"/>
      <c r="AK144" s="38"/>
      <c r="AL144" s="38"/>
      <c r="AM144" s="8"/>
    </row>
    <row r="145" spans="2:39" x14ac:dyDescent="0.2">
      <c r="B145" s="8"/>
      <c r="C145" s="25">
        <v>0</v>
      </c>
      <c r="D145" s="26">
        <v>0</v>
      </c>
      <c r="E145" s="26">
        <v>0</v>
      </c>
      <c r="F145" s="26">
        <v>0</v>
      </c>
      <c r="G145" s="50"/>
      <c r="H145" s="35"/>
      <c r="I145" s="35"/>
      <c r="J145" s="22">
        <f t="shared" si="35"/>
        <v>0</v>
      </c>
      <c r="K145" s="35"/>
      <c r="L145" s="22">
        <f t="shared" si="36"/>
        <v>0</v>
      </c>
      <c r="M145" s="35"/>
      <c r="N145" s="35"/>
      <c r="O145" s="35"/>
      <c r="P145" s="35"/>
      <c r="Q145" s="35"/>
      <c r="R145" s="35"/>
      <c r="S145" s="35"/>
      <c r="T145" s="22" t="e">
        <f t="shared" si="37"/>
        <v>#VALUE!</v>
      </c>
      <c r="U145" s="35"/>
      <c r="V145" s="27" t="e">
        <f t="shared" si="38"/>
        <v>#VALUE!</v>
      </c>
      <c r="W145" s="35"/>
      <c r="X145" s="22" t="e">
        <f t="shared" si="39"/>
        <v>#VALUE!</v>
      </c>
      <c r="Y145" s="35"/>
      <c r="Z145" s="28" t="e">
        <f t="shared" si="40"/>
        <v>#VALUE!</v>
      </c>
      <c r="AA145" s="35"/>
      <c r="AB145" s="28" t="e">
        <f t="shared" si="41"/>
        <v>#VALUE!</v>
      </c>
      <c r="AC145" s="35"/>
      <c r="AD145" s="35"/>
      <c r="AE145" s="35"/>
      <c r="AF145" s="41"/>
      <c r="AG145" s="35"/>
      <c r="AH145" s="35"/>
      <c r="AI145" s="38"/>
      <c r="AJ145" s="38"/>
      <c r="AK145" s="38"/>
      <c r="AL145" s="38"/>
      <c r="AM145" s="8"/>
    </row>
    <row r="146" spans="2:39" x14ac:dyDescent="0.2">
      <c r="B146" s="8"/>
      <c r="C146" s="25">
        <v>0</v>
      </c>
      <c r="D146" s="26">
        <v>0</v>
      </c>
      <c r="E146" s="26">
        <v>0</v>
      </c>
      <c r="F146" s="26">
        <v>0</v>
      </c>
      <c r="G146" s="50"/>
      <c r="H146" s="35"/>
      <c r="I146" s="35"/>
      <c r="J146" s="22">
        <f t="shared" si="35"/>
        <v>0</v>
      </c>
      <c r="K146" s="35"/>
      <c r="L146" s="22">
        <f t="shared" si="36"/>
        <v>0</v>
      </c>
      <c r="M146" s="35"/>
      <c r="N146" s="35"/>
      <c r="O146" s="35"/>
      <c r="P146" s="35"/>
      <c r="Q146" s="35"/>
      <c r="R146" s="35"/>
      <c r="S146" s="35"/>
      <c r="T146" s="22" t="e">
        <f t="shared" si="37"/>
        <v>#VALUE!</v>
      </c>
      <c r="U146" s="35"/>
      <c r="V146" s="27" t="e">
        <f t="shared" si="38"/>
        <v>#VALUE!</v>
      </c>
      <c r="W146" s="35"/>
      <c r="X146" s="22" t="e">
        <f t="shared" si="39"/>
        <v>#VALUE!</v>
      </c>
      <c r="Y146" s="35"/>
      <c r="Z146" s="28" t="e">
        <f t="shared" si="40"/>
        <v>#VALUE!</v>
      </c>
      <c r="AA146" s="35"/>
      <c r="AB146" s="28" t="e">
        <f t="shared" si="41"/>
        <v>#VALUE!</v>
      </c>
      <c r="AC146" s="35"/>
      <c r="AD146" s="35"/>
      <c r="AE146" s="35"/>
      <c r="AF146" s="41"/>
      <c r="AG146" s="35"/>
      <c r="AH146" s="35"/>
      <c r="AI146" s="38"/>
      <c r="AJ146" s="38"/>
      <c r="AK146" s="38"/>
      <c r="AL146" s="38"/>
      <c r="AM146" s="8"/>
    </row>
    <row r="147" spans="2:39" x14ac:dyDescent="0.2">
      <c r="B147" s="8"/>
      <c r="C147" s="25">
        <v>0</v>
      </c>
      <c r="D147" s="26">
        <v>0</v>
      </c>
      <c r="E147" s="26">
        <v>0</v>
      </c>
      <c r="F147" s="26">
        <v>0</v>
      </c>
      <c r="G147" s="50"/>
      <c r="H147" s="35"/>
      <c r="I147" s="35"/>
      <c r="J147" s="22">
        <f t="shared" si="35"/>
        <v>0</v>
      </c>
      <c r="K147" s="35"/>
      <c r="L147" s="22">
        <f t="shared" si="36"/>
        <v>0</v>
      </c>
      <c r="M147" s="35"/>
      <c r="N147" s="35"/>
      <c r="O147" s="35"/>
      <c r="P147" s="35"/>
      <c r="Q147" s="35"/>
      <c r="R147" s="35"/>
      <c r="S147" s="35"/>
      <c r="T147" s="22" t="e">
        <f t="shared" si="37"/>
        <v>#VALUE!</v>
      </c>
      <c r="U147" s="35"/>
      <c r="V147" s="27" t="e">
        <f t="shared" si="38"/>
        <v>#VALUE!</v>
      </c>
      <c r="W147" s="35"/>
      <c r="X147" s="22" t="e">
        <f t="shared" si="39"/>
        <v>#VALUE!</v>
      </c>
      <c r="Y147" s="35"/>
      <c r="Z147" s="28" t="e">
        <f t="shared" si="40"/>
        <v>#VALUE!</v>
      </c>
      <c r="AA147" s="35"/>
      <c r="AB147" s="28" t="e">
        <f t="shared" si="41"/>
        <v>#VALUE!</v>
      </c>
      <c r="AC147" s="35"/>
      <c r="AD147" s="35"/>
      <c r="AE147" s="35"/>
      <c r="AF147" s="41"/>
      <c r="AG147" s="35"/>
      <c r="AH147" s="35"/>
      <c r="AI147" s="38"/>
      <c r="AJ147" s="38"/>
      <c r="AK147" s="38"/>
      <c r="AL147" s="38"/>
      <c r="AM147" s="8"/>
    </row>
    <row r="148" spans="2:39" x14ac:dyDescent="0.2">
      <c r="B148" s="8"/>
      <c r="C148" s="25">
        <v>0</v>
      </c>
      <c r="D148" s="26">
        <v>0</v>
      </c>
      <c r="E148" s="26">
        <v>0</v>
      </c>
      <c r="F148" s="26">
        <v>0</v>
      </c>
      <c r="G148" s="50"/>
      <c r="H148" s="35"/>
      <c r="I148" s="35"/>
      <c r="J148" s="22">
        <f t="shared" si="35"/>
        <v>0</v>
      </c>
      <c r="K148" s="35"/>
      <c r="L148" s="22">
        <f t="shared" si="36"/>
        <v>0</v>
      </c>
      <c r="M148" s="35"/>
      <c r="N148" s="35"/>
      <c r="O148" s="35"/>
      <c r="P148" s="35"/>
      <c r="Q148" s="35"/>
      <c r="R148" s="35"/>
      <c r="S148" s="35"/>
      <c r="T148" s="22" t="e">
        <f t="shared" si="37"/>
        <v>#VALUE!</v>
      </c>
      <c r="U148" s="35"/>
      <c r="V148" s="27" t="e">
        <f t="shared" si="38"/>
        <v>#VALUE!</v>
      </c>
      <c r="W148" s="35"/>
      <c r="X148" s="22" t="e">
        <f t="shared" si="39"/>
        <v>#VALUE!</v>
      </c>
      <c r="Y148" s="35"/>
      <c r="Z148" s="28" t="e">
        <f t="shared" si="40"/>
        <v>#VALUE!</v>
      </c>
      <c r="AA148" s="35"/>
      <c r="AB148" s="28" t="e">
        <f t="shared" si="41"/>
        <v>#VALUE!</v>
      </c>
      <c r="AC148" s="35"/>
      <c r="AD148" s="35"/>
      <c r="AE148" s="35"/>
      <c r="AF148" s="41"/>
      <c r="AG148" s="35"/>
      <c r="AH148" s="35"/>
      <c r="AI148" s="38"/>
      <c r="AJ148" s="38"/>
      <c r="AK148" s="38"/>
      <c r="AL148" s="38"/>
      <c r="AM148" s="8"/>
    </row>
    <row r="149" spans="2:39" ht="16" thickBot="1" x14ac:dyDescent="0.25">
      <c r="B149" s="8"/>
      <c r="C149" s="29">
        <v>0</v>
      </c>
      <c r="D149" s="30">
        <v>0</v>
      </c>
      <c r="E149" s="30">
        <v>0</v>
      </c>
      <c r="F149" s="30">
        <v>0</v>
      </c>
      <c r="G149" s="51"/>
      <c r="H149" s="36"/>
      <c r="I149" s="36"/>
      <c r="J149" s="31">
        <f t="shared" si="35"/>
        <v>0</v>
      </c>
      <c r="K149" s="36"/>
      <c r="L149" s="31">
        <f t="shared" si="36"/>
        <v>0</v>
      </c>
      <c r="M149" s="36"/>
      <c r="N149" s="36"/>
      <c r="O149" s="36"/>
      <c r="P149" s="36"/>
      <c r="Q149" s="36"/>
      <c r="R149" s="36"/>
      <c r="S149" s="36"/>
      <c r="T149" s="31" t="e">
        <f t="shared" si="37"/>
        <v>#VALUE!</v>
      </c>
      <c r="U149" s="36"/>
      <c r="V149" s="32" t="e">
        <f t="shared" si="38"/>
        <v>#VALUE!</v>
      </c>
      <c r="W149" s="36"/>
      <c r="X149" s="31" t="e">
        <f t="shared" si="39"/>
        <v>#VALUE!</v>
      </c>
      <c r="Y149" s="36"/>
      <c r="Z149" s="33" t="e">
        <f t="shared" si="40"/>
        <v>#VALUE!</v>
      </c>
      <c r="AA149" s="36"/>
      <c r="AB149" s="33" t="e">
        <f t="shared" si="41"/>
        <v>#VALUE!</v>
      </c>
      <c r="AC149" s="36"/>
      <c r="AD149" s="36"/>
      <c r="AE149" s="36"/>
      <c r="AF149" s="42"/>
      <c r="AG149" s="36"/>
      <c r="AH149" s="36"/>
      <c r="AI149" s="39"/>
      <c r="AJ149" s="39"/>
      <c r="AK149" s="39"/>
      <c r="AL149" s="39"/>
      <c r="AM149" s="8"/>
    </row>
    <row r="152" spans="2:39" ht="16" thickBot="1" x14ac:dyDescent="0.25"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</row>
    <row r="153" spans="2:39" ht="16" thickBot="1" x14ac:dyDescent="0.25">
      <c r="B153" s="8"/>
      <c r="C153" s="8"/>
      <c r="D153" s="8"/>
      <c r="E153" s="8"/>
      <c r="F153" s="8"/>
      <c r="G153" s="43" t="s">
        <v>39</v>
      </c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5"/>
      <c r="T153" s="46" t="s">
        <v>40</v>
      </c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8"/>
      <c r="AI153" s="8"/>
      <c r="AJ153" s="8"/>
      <c r="AK153" s="8"/>
      <c r="AL153" s="8"/>
      <c r="AM153" s="8"/>
    </row>
    <row r="154" spans="2:39" ht="18" thickBot="1" x14ac:dyDescent="0.25">
      <c r="B154" s="8"/>
      <c r="C154" s="11" t="s">
        <v>41</v>
      </c>
      <c r="D154" s="11" t="s">
        <v>42</v>
      </c>
      <c r="E154" s="11" t="s">
        <v>43</v>
      </c>
      <c r="F154" s="11" t="s">
        <v>44</v>
      </c>
      <c r="G154" s="12" t="s">
        <v>45</v>
      </c>
      <c r="H154" s="12" t="s">
        <v>46</v>
      </c>
      <c r="I154" s="12" t="s">
        <v>47</v>
      </c>
      <c r="J154" s="12" t="s">
        <v>48</v>
      </c>
      <c r="K154" s="12" t="s">
        <v>49</v>
      </c>
      <c r="L154" s="12" t="s">
        <v>50</v>
      </c>
      <c r="M154" s="12" t="s">
        <v>51</v>
      </c>
      <c r="N154" s="12" t="s">
        <v>52</v>
      </c>
      <c r="O154" s="13" t="s">
        <v>53</v>
      </c>
      <c r="P154" s="13" t="s">
        <v>54</v>
      </c>
      <c r="Q154" s="13" t="s">
        <v>55</v>
      </c>
      <c r="R154" s="12" t="s">
        <v>56</v>
      </c>
      <c r="S154" s="12" t="s">
        <v>57</v>
      </c>
      <c r="T154" s="14" t="s">
        <v>58</v>
      </c>
      <c r="U154" s="9" t="s">
        <v>45</v>
      </c>
      <c r="V154" s="9" t="s">
        <v>59</v>
      </c>
      <c r="W154" s="9" t="s">
        <v>46</v>
      </c>
      <c r="X154" s="15" t="s">
        <v>60</v>
      </c>
      <c r="Y154" s="14" t="s">
        <v>47</v>
      </c>
      <c r="Z154" s="10" t="s">
        <v>61</v>
      </c>
      <c r="AA154" s="10" t="s">
        <v>49</v>
      </c>
      <c r="AB154" s="10" t="s">
        <v>62</v>
      </c>
      <c r="AC154" s="10" t="s">
        <v>63</v>
      </c>
      <c r="AD154" s="14" t="s">
        <v>56</v>
      </c>
      <c r="AE154" s="14" t="s">
        <v>57</v>
      </c>
      <c r="AF154" s="9" t="s">
        <v>52</v>
      </c>
      <c r="AG154" s="16" t="s">
        <v>64</v>
      </c>
      <c r="AH154" s="16" t="s">
        <v>65</v>
      </c>
      <c r="AI154" s="17" t="s">
        <v>66</v>
      </c>
      <c r="AJ154" s="17" t="s">
        <v>67</v>
      </c>
      <c r="AK154" s="18" t="s">
        <v>68</v>
      </c>
      <c r="AL154" s="17" t="s">
        <v>69</v>
      </c>
      <c r="AM154" s="8"/>
    </row>
    <row r="155" spans="2:39" x14ac:dyDescent="0.2">
      <c r="B155" s="8"/>
      <c r="C155" s="19">
        <v>0</v>
      </c>
      <c r="D155" s="20">
        <v>0</v>
      </c>
      <c r="E155" s="20">
        <v>0</v>
      </c>
      <c r="F155" s="20">
        <v>0</v>
      </c>
      <c r="G155" s="49">
        <f>COUNTA(D155:D164)</f>
        <v>10</v>
      </c>
      <c r="H155" s="34">
        <f>SUM(C155:C164)</f>
        <v>0</v>
      </c>
      <c r="I155" s="34">
        <f>SUM(D155:D164)</f>
        <v>0</v>
      </c>
      <c r="J155" s="21">
        <f t="shared" ref="J155:J164" si="42">C155*D155</f>
        <v>0</v>
      </c>
      <c r="K155" s="34">
        <f>SUM(J155:J164)</f>
        <v>0</v>
      </c>
      <c r="L155" s="21">
        <f t="shared" ref="L155:L164" si="43">C155^2</f>
        <v>0</v>
      </c>
      <c r="M155" s="34">
        <f>SUM(L155:L164)</f>
        <v>0</v>
      </c>
      <c r="N155" s="34">
        <f>(G155*M155)-(H155^2)</f>
        <v>0</v>
      </c>
      <c r="O155" s="34" t="e">
        <f>SQRT($F$7^2+(S155*$E$7)^2)</f>
        <v>#DIV/0!</v>
      </c>
      <c r="P155" s="34" t="e">
        <f>O155*SQRT(M155/N155)</f>
        <v>#DIV/0!</v>
      </c>
      <c r="Q155" s="34" t="e">
        <f>O155*SQRT(G155/N155)</f>
        <v>#DIV/0!</v>
      </c>
      <c r="R155" s="34" t="e">
        <f>(M155*I155-H155*K155)/N155</f>
        <v>#DIV/0!</v>
      </c>
      <c r="S155" s="34" t="e">
        <f>((G155*K155)-(H155*I155))/N155</f>
        <v>#DIV/0!</v>
      </c>
      <c r="T155" s="22" t="e">
        <f t="shared" ref="T155:T164" si="44">1/(F155^2+($S$7*E155)^2)</f>
        <v>#VALUE!</v>
      </c>
      <c r="U155" s="34" t="e">
        <f>SUM(T155:T164)</f>
        <v>#VALUE!</v>
      </c>
      <c r="V155" s="23" t="e">
        <f t="shared" ref="V155:V164" si="45">T155*C155</f>
        <v>#VALUE!</v>
      </c>
      <c r="W155" s="34" t="e">
        <f>SUM(V155:V164)</f>
        <v>#VALUE!</v>
      </c>
      <c r="X155" s="21" t="e">
        <f t="shared" ref="X155:X164" si="46">T155*D155</f>
        <v>#VALUE!</v>
      </c>
      <c r="Y155" s="34" t="e">
        <f>SUM(X155:X164)</f>
        <v>#VALUE!</v>
      </c>
      <c r="Z155" s="24" t="e">
        <f t="shared" ref="Z155:Z164" si="47">T155*C155*D155</f>
        <v>#VALUE!</v>
      </c>
      <c r="AA155" s="34" t="e">
        <f>SUM(Z155:Z164)</f>
        <v>#VALUE!</v>
      </c>
      <c r="AB155" s="24" t="e">
        <f t="shared" ref="AB155:AB164" si="48">T155*L155</f>
        <v>#VALUE!</v>
      </c>
      <c r="AC155" s="34" t="e">
        <f>SUM(AB155:AB164)</f>
        <v>#VALUE!</v>
      </c>
      <c r="AD155" s="34" t="e">
        <f>((AC155*Y155)-(W155*AA155))/AF155</f>
        <v>#VALUE!</v>
      </c>
      <c r="AE155" s="34" t="e">
        <f>((U155*AA155)-(W155*Y155))/AF155</f>
        <v>#VALUE!</v>
      </c>
      <c r="AF155" s="40" t="e">
        <f>(U155*AC155)-(W155^2)</f>
        <v>#VALUE!</v>
      </c>
      <c r="AG155" s="34" t="e">
        <f>SQRT((AC155/AF155))</f>
        <v>#VALUE!</v>
      </c>
      <c r="AH155" s="34" t="e">
        <f>SQRT((U155/AF155))</f>
        <v>#VALUE!</v>
      </c>
      <c r="AI155" s="37">
        <f>_xlfn.STDEV.S(C155:C164)</f>
        <v>0</v>
      </c>
      <c r="AJ155" s="37">
        <f>_xlfn.STDEV.S(D155:D164)</f>
        <v>0</v>
      </c>
      <c r="AK155" s="37">
        <f>_xlfn.COVARIANCE.S(C155:C164,D155:D164)</f>
        <v>0</v>
      </c>
      <c r="AL155" s="37" t="e">
        <f>CORREL(C155:C164,D155:D164)</f>
        <v>#DIV/0!</v>
      </c>
      <c r="AM155" s="8"/>
    </row>
    <row r="156" spans="2:39" x14ac:dyDescent="0.2">
      <c r="B156" s="8"/>
      <c r="C156" s="25">
        <v>0</v>
      </c>
      <c r="D156" s="26">
        <v>0</v>
      </c>
      <c r="E156" s="26">
        <v>0</v>
      </c>
      <c r="F156" s="26">
        <v>0</v>
      </c>
      <c r="G156" s="50"/>
      <c r="H156" s="35"/>
      <c r="I156" s="35"/>
      <c r="J156" s="22">
        <f t="shared" si="42"/>
        <v>0</v>
      </c>
      <c r="K156" s="35"/>
      <c r="L156" s="22">
        <f t="shared" si="43"/>
        <v>0</v>
      </c>
      <c r="M156" s="35"/>
      <c r="N156" s="35"/>
      <c r="O156" s="35"/>
      <c r="P156" s="35"/>
      <c r="Q156" s="35"/>
      <c r="R156" s="35"/>
      <c r="S156" s="35"/>
      <c r="T156" s="22" t="e">
        <f t="shared" si="44"/>
        <v>#VALUE!</v>
      </c>
      <c r="U156" s="35"/>
      <c r="V156" s="27" t="e">
        <f t="shared" si="45"/>
        <v>#VALUE!</v>
      </c>
      <c r="W156" s="35"/>
      <c r="X156" s="22" t="e">
        <f t="shared" si="46"/>
        <v>#VALUE!</v>
      </c>
      <c r="Y156" s="35"/>
      <c r="Z156" s="28" t="e">
        <f t="shared" si="47"/>
        <v>#VALUE!</v>
      </c>
      <c r="AA156" s="35"/>
      <c r="AB156" s="28" t="e">
        <f t="shared" si="48"/>
        <v>#VALUE!</v>
      </c>
      <c r="AC156" s="35"/>
      <c r="AD156" s="35"/>
      <c r="AE156" s="35"/>
      <c r="AF156" s="41"/>
      <c r="AG156" s="35"/>
      <c r="AH156" s="35"/>
      <c r="AI156" s="38"/>
      <c r="AJ156" s="38"/>
      <c r="AK156" s="38"/>
      <c r="AL156" s="38"/>
      <c r="AM156" s="8"/>
    </row>
    <row r="157" spans="2:39" x14ac:dyDescent="0.2">
      <c r="B157" s="8"/>
      <c r="C157" s="25">
        <v>0</v>
      </c>
      <c r="D157" s="26">
        <v>0</v>
      </c>
      <c r="E157" s="26">
        <v>0</v>
      </c>
      <c r="F157" s="26">
        <v>0</v>
      </c>
      <c r="G157" s="50"/>
      <c r="H157" s="35"/>
      <c r="I157" s="35"/>
      <c r="J157" s="22">
        <f t="shared" si="42"/>
        <v>0</v>
      </c>
      <c r="K157" s="35"/>
      <c r="L157" s="22">
        <f t="shared" si="43"/>
        <v>0</v>
      </c>
      <c r="M157" s="35"/>
      <c r="N157" s="35"/>
      <c r="O157" s="35"/>
      <c r="P157" s="35"/>
      <c r="Q157" s="35"/>
      <c r="R157" s="35"/>
      <c r="S157" s="35"/>
      <c r="T157" s="22" t="e">
        <f t="shared" si="44"/>
        <v>#VALUE!</v>
      </c>
      <c r="U157" s="35"/>
      <c r="V157" s="27" t="e">
        <f t="shared" si="45"/>
        <v>#VALUE!</v>
      </c>
      <c r="W157" s="35"/>
      <c r="X157" s="22" t="e">
        <f t="shared" si="46"/>
        <v>#VALUE!</v>
      </c>
      <c r="Y157" s="35"/>
      <c r="Z157" s="28" t="e">
        <f t="shared" si="47"/>
        <v>#VALUE!</v>
      </c>
      <c r="AA157" s="35"/>
      <c r="AB157" s="28" t="e">
        <f t="shared" si="48"/>
        <v>#VALUE!</v>
      </c>
      <c r="AC157" s="35"/>
      <c r="AD157" s="35"/>
      <c r="AE157" s="35"/>
      <c r="AF157" s="41"/>
      <c r="AG157" s="35"/>
      <c r="AH157" s="35"/>
      <c r="AI157" s="38"/>
      <c r="AJ157" s="38"/>
      <c r="AK157" s="38"/>
      <c r="AL157" s="38"/>
      <c r="AM157" s="8"/>
    </row>
    <row r="158" spans="2:39" x14ac:dyDescent="0.2">
      <c r="B158" s="8"/>
      <c r="C158" s="25">
        <v>0</v>
      </c>
      <c r="D158" s="26">
        <v>0</v>
      </c>
      <c r="E158" s="26">
        <v>0</v>
      </c>
      <c r="F158" s="26">
        <v>0</v>
      </c>
      <c r="G158" s="50"/>
      <c r="H158" s="35"/>
      <c r="I158" s="35"/>
      <c r="J158" s="22">
        <f t="shared" si="42"/>
        <v>0</v>
      </c>
      <c r="K158" s="35"/>
      <c r="L158" s="22">
        <f t="shared" si="43"/>
        <v>0</v>
      </c>
      <c r="M158" s="35"/>
      <c r="N158" s="35"/>
      <c r="O158" s="35"/>
      <c r="P158" s="35"/>
      <c r="Q158" s="35"/>
      <c r="R158" s="35"/>
      <c r="S158" s="35"/>
      <c r="T158" s="22" t="e">
        <f t="shared" si="44"/>
        <v>#VALUE!</v>
      </c>
      <c r="U158" s="35"/>
      <c r="V158" s="27" t="e">
        <f t="shared" si="45"/>
        <v>#VALUE!</v>
      </c>
      <c r="W158" s="35"/>
      <c r="X158" s="22" t="e">
        <f t="shared" si="46"/>
        <v>#VALUE!</v>
      </c>
      <c r="Y158" s="35"/>
      <c r="Z158" s="28" t="e">
        <f t="shared" si="47"/>
        <v>#VALUE!</v>
      </c>
      <c r="AA158" s="35"/>
      <c r="AB158" s="28" t="e">
        <f t="shared" si="48"/>
        <v>#VALUE!</v>
      </c>
      <c r="AC158" s="35"/>
      <c r="AD158" s="35"/>
      <c r="AE158" s="35"/>
      <c r="AF158" s="41"/>
      <c r="AG158" s="35"/>
      <c r="AH158" s="35"/>
      <c r="AI158" s="38"/>
      <c r="AJ158" s="38"/>
      <c r="AK158" s="38"/>
      <c r="AL158" s="38"/>
      <c r="AM158" s="8"/>
    </row>
    <row r="159" spans="2:39" x14ac:dyDescent="0.2">
      <c r="B159" s="8"/>
      <c r="C159" s="25">
        <v>0</v>
      </c>
      <c r="D159" s="26">
        <v>0</v>
      </c>
      <c r="E159" s="26">
        <v>0</v>
      </c>
      <c r="F159" s="26">
        <v>0</v>
      </c>
      <c r="G159" s="50"/>
      <c r="H159" s="35"/>
      <c r="I159" s="35"/>
      <c r="J159" s="22">
        <f t="shared" si="42"/>
        <v>0</v>
      </c>
      <c r="K159" s="35"/>
      <c r="L159" s="22">
        <f t="shared" si="43"/>
        <v>0</v>
      </c>
      <c r="M159" s="35"/>
      <c r="N159" s="35"/>
      <c r="O159" s="35"/>
      <c r="P159" s="35"/>
      <c r="Q159" s="35"/>
      <c r="R159" s="35"/>
      <c r="S159" s="35"/>
      <c r="T159" s="22" t="e">
        <f t="shared" si="44"/>
        <v>#VALUE!</v>
      </c>
      <c r="U159" s="35"/>
      <c r="V159" s="27" t="e">
        <f t="shared" si="45"/>
        <v>#VALUE!</v>
      </c>
      <c r="W159" s="35"/>
      <c r="X159" s="22" t="e">
        <f t="shared" si="46"/>
        <v>#VALUE!</v>
      </c>
      <c r="Y159" s="35"/>
      <c r="Z159" s="28" t="e">
        <f t="shared" si="47"/>
        <v>#VALUE!</v>
      </c>
      <c r="AA159" s="35"/>
      <c r="AB159" s="28" t="e">
        <f t="shared" si="48"/>
        <v>#VALUE!</v>
      </c>
      <c r="AC159" s="35"/>
      <c r="AD159" s="35"/>
      <c r="AE159" s="35"/>
      <c r="AF159" s="41"/>
      <c r="AG159" s="35"/>
      <c r="AH159" s="35"/>
      <c r="AI159" s="38"/>
      <c r="AJ159" s="38"/>
      <c r="AK159" s="38"/>
      <c r="AL159" s="38"/>
      <c r="AM159" s="8"/>
    </row>
    <row r="160" spans="2:39" x14ac:dyDescent="0.2">
      <c r="B160" s="8"/>
      <c r="C160" s="25">
        <v>0</v>
      </c>
      <c r="D160" s="26">
        <v>0</v>
      </c>
      <c r="E160" s="26">
        <v>0</v>
      </c>
      <c r="F160" s="26">
        <v>0</v>
      </c>
      <c r="G160" s="50"/>
      <c r="H160" s="35"/>
      <c r="I160" s="35"/>
      <c r="J160" s="22">
        <f t="shared" si="42"/>
        <v>0</v>
      </c>
      <c r="K160" s="35"/>
      <c r="L160" s="22">
        <f t="shared" si="43"/>
        <v>0</v>
      </c>
      <c r="M160" s="35"/>
      <c r="N160" s="35"/>
      <c r="O160" s="35"/>
      <c r="P160" s="35"/>
      <c r="Q160" s="35"/>
      <c r="R160" s="35"/>
      <c r="S160" s="35"/>
      <c r="T160" s="22" t="e">
        <f t="shared" si="44"/>
        <v>#VALUE!</v>
      </c>
      <c r="U160" s="35"/>
      <c r="V160" s="27" t="e">
        <f t="shared" si="45"/>
        <v>#VALUE!</v>
      </c>
      <c r="W160" s="35"/>
      <c r="X160" s="22" t="e">
        <f t="shared" si="46"/>
        <v>#VALUE!</v>
      </c>
      <c r="Y160" s="35"/>
      <c r="Z160" s="28" t="e">
        <f t="shared" si="47"/>
        <v>#VALUE!</v>
      </c>
      <c r="AA160" s="35"/>
      <c r="AB160" s="28" t="e">
        <f t="shared" si="48"/>
        <v>#VALUE!</v>
      </c>
      <c r="AC160" s="35"/>
      <c r="AD160" s="35"/>
      <c r="AE160" s="35"/>
      <c r="AF160" s="41"/>
      <c r="AG160" s="35"/>
      <c r="AH160" s="35"/>
      <c r="AI160" s="38"/>
      <c r="AJ160" s="38"/>
      <c r="AK160" s="38"/>
      <c r="AL160" s="38"/>
      <c r="AM160" s="8"/>
    </row>
    <row r="161" spans="2:39" x14ac:dyDescent="0.2">
      <c r="B161" s="8"/>
      <c r="C161" s="25">
        <v>0</v>
      </c>
      <c r="D161" s="26">
        <v>0</v>
      </c>
      <c r="E161" s="26">
        <v>0</v>
      </c>
      <c r="F161" s="26">
        <v>0</v>
      </c>
      <c r="G161" s="50"/>
      <c r="H161" s="35"/>
      <c r="I161" s="35"/>
      <c r="J161" s="22">
        <f t="shared" si="42"/>
        <v>0</v>
      </c>
      <c r="K161" s="35"/>
      <c r="L161" s="22">
        <f t="shared" si="43"/>
        <v>0</v>
      </c>
      <c r="M161" s="35"/>
      <c r="N161" s="35"/>
      <c r="O161" s="35"/>
      <c r="P161" s="35"/>
      <c r="Q161" s="35"/>
      <c r="R161" s="35"/>
      <c r="S161" s="35"/>
      <c r="T161" s="22" t="e">
        <f t="shared" si="44"/>
        <v>#VALUE!</v>
      </c>
      <c r="U161" s="35"/>
      <c r="V161" s="27" t="e">
        <f t="shared" si="45"/>
        <v>#VALUE!</v>
      </c>
      <c r="W161" s="35"/>
      <c r="X161" s="22" t="e">
        <f t="shared" si="46"/>
        <v>#VALUE!</v>
      </c>
      <c r="Y161" s="35"/>
      <c r="Z161" s="28" t="e">
        <f t="shared" si="47"/>
        <v>#VALUE!</v>
      </c>
      <c r="AA161" s="35"/>
      <c r="AB161" s="28" t="e">
        <f t="shared" si="48"/>
        <v>#VALUE!</v>
      </c>
      <c r="AC161" s="35"/>
      <c r="AD161" s="35"/>
      <c r="AE161" s="35"/>
      <c r="AF161" s="41"/>
      <c r="AG161" s="35"/>
      <c r="AH161" s="35"/>
      <c r="AI161" s="38"/>
      <c r="AJ161" s="38"/>
      <c r="AK161" s="38"/>
      <c r="AL161" s="38"/>
      <c r="AM161" s="8"/>
    </row>
    <row r="162" spans="2:39" x14ac:dyDescent="0.2">
      <c r="B162" s="8"/>
      <c r="C162" s="25">
        <v>0</v>
      </c>
      <c r="D162" s="26">
        <v>0</v>
      </c>
      <c r="E162" s="26">
        <v>0</v>
      </c>
      <c r="F162" s="26">
        <v>0</v>
      </c>
      <c r="G162" s="50"/>
      <c r="H162" s="35"/>
      <c r="I162" s="35"/>
      <c r="J162" s="22">
        <f t="shared" si="42"/>
        <v>0</v>
      </c>
      <c r="K162" s="35"/>
      <c r="L162" s="22">
        <f t="shared" si="43"/>
        <v>0</v>
      </c>
      <c r="M162" s="35"/>
      <c r="N162" s="35"/>
      <c r="O162" s="35"/>
      <c r="P162" s="35"/>
      <c r="Q162" s="35"/>
      <c r="R162" s="35"/>
      <c r="S162" s="35"/>
      <c r="T162" s="22" t="e">
        <f t="shared" si="44"/>
        <v>#VALUE!</v>
      </c>
      <c r="U162" s="35"/>
      <c r="V162" s="27" t="e">
        <f t="shared" si="45"/>
        <v>#VALUE!</v>
      </c>
      <c r="W162" s="35"/>
      <c r="X162" s="22" t="e">
        <f t="shared" si="46"/>
        <v>#VALUE!</v>
      </c>
      <c r="Y162" s="35"/>
      <c r="Z162" s="28" t="e">
        <f t="shared" si="47"/>
        <v>#VALUE!</v>
      </c>
      <c r="AA162" s="35"/>
      <c r="AB162" s="28" t="e">
        <f t="shared" si="48"/>
        <v>#VALUE!</v>
      </c>
      <c r="AC162" s="35"/>
      <c r="AD162" s="35"/>
      <c r="AE162" s="35"/>
      <c r="AF162" s="41"/>
      <c r="AG162" s="35"/>
      <c r="AH162" s="35"/>
      <c r="AI162" s="38"/>
      <c r="AJ162" s="38"/>
      <c r="AK162" s="38"/>
      <c r="AL162" s="38"/>
      <c r="AM162" s="8"/>
    </row>
    <row r="163" spans="2:39" x14ac:dyDescent="0.2">
      <c r="B163" s="8"/>
      <c r="C163" s="25">
        <v>0</v>
      </c>
      <c r="D163" s="26">
        <v>0</v>
      </c>
      <c r="E163" s="26">
        <v>0</v>
      </c>
      <c r="F163" s="26">
        <v>0</v>
      </c>
      <c r="G163" s="50"/>
      <c r="H163" s="35"/>
      <c r="I163" s="35"/>
      <c r="J163" s="22">
        <f t="shared" si="42"/>
        <v>0</v>
      </c>
      <c r="K163" s="35"/>
      <c r="L163" s="22">
        <f t="shared" si="43"/>
        <v>0</v>
      </c>
      <c r="M163" s="35"/>
      <c r="N163" s="35"/>
      <c r="O163" s="35"/>
      <c r="P163" s="35"/>
      <c r="Q163" s="35"/>
      <c r="R163" s="35"/>
      <c r="S163" s="35"/>
      <c r="T163" s="22" t="e">
        <f t="shared" si="44"/>
        <v>#VALUE!</v>
      </c>
      <c r="U163" s="35"/>
      <c r="V163" s="27" t="e">
        <f t="shared" si="45"/>
        <v>#VALUE!</v>
      </c>
      <c r="W163" s="35"/>
      <c r="X163" s="22" t="e">
        <f t="shared" si="46"/>
        <v>#VALUE!</v>
      </c>
      <c r="Y163" s="35"/>
      <c r="Z163" s="28" t="e">
        <f t="shared" si="47"/>
        <v>#VALUE!</v>
      </c>
      <c r="AA163" s="35"/>
      <c r="AB163" s="28" t="e">
        <f t="shared" si="48"/>
        <v>#VALUE!</v>
      </c>
      <c r="AC163" s="35"/>
      <c r="AD163" s="35"/>
      <c r="AE163" s="35"/>
      <c r="AF163" s="41"/>
      <c r="AG163" s="35"/>
      <c r="AH163" s="35"/>
      <c r="AI163" s="38"/>
      <c r="AJ163" s="38"/>
      <c r="AK163" s="38"/>
      <c r="AL163" s="38"/>
      <c r="AM163" s="8"/>
    </row>
    <row r="164" spans="2:39" ht="16" thickBot="1" x14ac:dyDescent="0.25">
      <c r="B164" s="8"/>
      <c r="C164" s="29">
        <v>0</v>
      </c>
      <c r="D164" s="30">
        <v>0</v>
      </c>
      <c r="E164" s="30">
        <v>0</v>
      </c>
      <c r="F164" s="30">
        <v>0</v>
      </c>
      <c r="G164" s="51"/>
      <c r="H164" s="36"/>
      <c r="I164" s="36"/>
      <c r="J164" s="31">
        <f t="shared" si="42"/>
        <v>0</v>
      </c>
      <c r="K164" s="36"/>
      <c r="L164" s="31">
        <f t="shared" si="43"/>
        <v>0</v>
      </c>
      <c r="M164" s="36"/>
      <c r="N164" s="36"/>
      <c r="O164" s="36"/>
      <c r="P164" s="36"/>
      <c r="Q164" s="36"/>
      <c r="R164" s="36"/>
      <c r="S164" s="36"/>
      <c r="T164" s="31" t="e">
        <f t="shared" si="44"/>
        <v>#VALUE!</v>
      </c>
      <c r="U164" s="36"/>
      <c r="V164" s="32" t="e">
        <f t="shared" si="45"/>
        <v>#VALUE!</v>
      </c>
      <c r="W164" s="36"/>
      <c r="X164" s="31" t="e">
        <f t="shared" si="46"/>
        <v>#VALUE!</v>
      </c>
      <c r="Y164" s="36"/>
      <c r="Z164" s="33" t="e">
        <f t="shared" si="47"/>
        <v>#VALUE!</v>
      </c>
      <c r="AA164" s="36"/>
      <c r="AB164" s="33" t="e">
        <f t="shared" si="48"/>
        <v>#VALUE!</v>
      </c>
      <c r="AC164" s="36"/>
      <c r="AD164" s="36"/>
      <c r="AE164" s="36"/>
      <c r="AF164" s="42"/>
      <c r="AG164" s="36"/>
      <c r="AH164" s="36"/>
      <c r="AI164" s="39"/>
      <c r="AJ164" s="39"/>
      <c r="AK164" s="39"/>
      <c r="AL164" s="39"/>
      <c r="AM164" s="8"/>
    </row>
    <row r="167" spans="2:39" ht="16" thickBot="1" x14ac:dyDescent="0.25"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</row>
    <row r="168" spans="2:39" ht="16" thickBot="1" x14ac:dyDescent="0.25">
      <c r="B168" s="8"/>
      <c r="C168" s="8"/>
      <c r="D168" s="8"/>
      <c r="E168" s="8"/>
      <c r="F168" s="8"/>
      <c r="G168" s="43" t="s">
        <v>39</v>
      </c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5"/>
      <c r="T168" s="46" t="s">
        <v>40</v>
      </c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8"/>
      <c r="AI168" s="8"/>
      <c r="AJ168" s="8"/>
      <c r="AK168" s="8"/>
      <c r="AL168" s="8"/>
      <c r="AM168" s="8"/>
    </row>
    <row r="169" spans="2:39" ht="18" thickBot="1" x14ac:dyDescent="0.25">
      <c r="B169" s="8"/>
      <c r="C169" s="11" t="s">
        <v>41</v>
      </c>
      <c r="D169" s="11" t="s">
        <v>42</v>
      </c>
      <c r="E169" s="11" t="s">
        <v>43</v>
      </c>
      <c r="F169" s="11" t="s">
        <v>44</v>
      </c>
      <c r="G169" s="12" t="s">
        <v>45</v>
      </c>
      <c r="H169" s="12" t="s">
        <v>46</v>
      </c>
      <c r="I169" s="12" t="s">
        <v>47</v>
      </c>
      <c r="J169" s="12" t="s">
        <v>48</v>
      </c>
      <c r="K169" s="12" t="s">
        <v>49</v>
      </c>
      <c r="L169" s="12" t="s">
        <v>50</v>
      </c>
      <c r="M169" s="12" t="s">
        <v>51</v>
      </c>
      <c r="N169" s="12" t="s">
        <v>52</v>
      </c>
      <c r="O169" s="13" t="s">
        <v>53</v>
      </c>
      <c r="P169" s="13" t="s">
        <v>54</v>
      </c>
      <c r="Q169" s="13" t="s">
        <v>55</v>
      </c>
      <c r="R169" s="12" t="s">
        <v>56</v>
      </c>
      <c r="S169" s="12" t="s">
        <v>57</v>
      </c>
      <c r="T169" s="14" t="s">
        <v>58</v>
      </c>
      <c r="U169" s="9" t="s">
        <v>45</v>
      </c>
      <c r="V169" s="9" t="s">
        <v>59</v>
      </c>
      <c r="W169" s="9" t="s">
        <v>46</v>
      </c>
      <c r="X169" s="15" t="s">
        <v>60</v>
      </c>
      <c r="Y169" s="14" t="s">
        <v>47</v>
      </c>
      <c r="Z169" s="10" t="s">
        <v>61</v>
      </c>
      <c r="AA169" s="10" t="s">
        <v>49</v>
      </c>
      <c r="AB169" s="10" t="s">
        <v>62</v>
      </c>
      <c r="AC169" s="10" t="s">
        <v>63</v>
      </c>
      <c r="AD169" s="14" t="s">
        <v>56</v>
      </c>
      <c r="AE169" s="14" t="s">
        <v>57</v>
      </c>
      <c r="AF169" s="9" t="s">
        <v>52</v>
      </c>
      <c r="AG169" s="16" t="s">
        <v>64</v>
      </c>
      <c r="AH169" s="16" t="s">
        <v>65</v>
      </c>
      <c r="AI169" s="17" t="s">
        <v>66</v>
      </c>
      <c r="AJ169" s="17" t="s">
        <v>67</v>
      </c>
      <c r="AK169" s="18" t="s">
        <v>68</v>
      </c>
      <c r="AL169" s="17" t="s">
        <v>69</v>
      </c>
      <c r="AM169" s="8"/>
    </row>
    <row r="170" spans="2:39" x14ac:dyDescent="0.2">
      <c r="B170" s="8"/>
      <c r="C170" s="19">
        <v>0</v>
      </c>
      <c r="D170" s="20">
        <v>0</v>
      </c>
      <c r="E170" s="20">
        <v>0</v>
      </c>
      <c r="F170" s="20">
        <v>0</v>
      </c>
      <c r="G170" s="49">
        <f>COUNTA(D170:D179)</f>
        <v>10</v>
      </c>
      <c r="H170" s="34">
        <f>SUM(C170:C179)</f>
        <v>0</v>
      </c>
      <c r="I170" s="34">
        <f>SUM(D170:D179)</f>
        <v>0</v>
      </c>
      <c r="J170" s="21">
        <f t="shared" ref="J170:J179" si="49">C170*D170</f>
        <v>0</v>
      </c>
      <c r="K170" s="34">
        <f>SUM(J170:J179)</f>
        <v>0</v>
      </c>
      <c r="L170" s="21">
        <f t="shared" ref="L170:L179" si="50">C170^2</f>
        <v>0</v>
      </c>
      <c r="M170" s="34">
        <f>SUM(L170:L179)</f>
        <v>0</v>
      </c>
      <c r="N170" s="34">
        <f>(G170*M170)-(H170^2)</f>
        <v>0</v>
      </c>
      <c r="O170" s="34" t="e">
        <f>SQRT($F$7^2+(S170*$E$7)^2)</f>
        <v>#DIV/0!</v>
      </c>
      <c r="P170" s="34" t="e">
        <f>O170*SQRT(M170/N170)</f>
        <v>#DIV/0!</v>
      </c>
      <c r="Q170" s="34" t="e">
        <f>O170*SQRT(G170/N170)</f>
        <v>#DIV/0!</v>
      </c>
      <c r="R170" s="34" t="e">
        <f>(M170*I170-H170*K170)/N170</f>
        <v>#DIV/0!</v>
      </c>
      <c r="S170" s="34" t="e">
        <f>((G170*K170)-(H170*I170))/N170</f>
        <v>#DIV/0!</v>
      </c>
      <c r="T170" s="22" t="e">
        <f t="shared" ref="T170:T179" si="51">1/(F170^2+($S$7*E170)^2)</f>
        <v>#VALUE!</v>
      </c>
      <c r="U170" s="34" t="e">
        <f>SUM(T170:T179)</f>
        <v>#VALUE!</v>
      </c>
      <c r="V170" s="23" t="e">
        <f t="shared" ref="V170:V179" si="52">T170*C170</f>
        <v>#VALUE!</v>
      </c>
      <c r="W170" s="34" t="e">
        <f>SUM(V170:V179)</f>
        <v>#VALUE!</v>
      </c>
      <c r="X170" s="21" t="e">
        <f t="shared" ref="X170:X179" si="53">T170*D170</f>
        <v>#VALUE!</v>
      </c>
      <c r="Y170" s="34" t="e">
        <f>SUM(X170:X179)</f>
        <v>#VALUE!</v>
      </c>
      <c r="Z170" s="24" t="e">
        <f t="shared" ref="Z170:Z179" si="54">T170*C170*D170</f>
        <v>#VALUE!</v>
      </c>
      <c r="AA170" s="34" t="e">
        <f>SUM(Z170:Z179)</f>
        <v>#VALUE!</v>
      </c>
      <c r="AB170" s="24" t="e">
        <f t="shared" ref="AB170:AB179" si="55">T170*L170</f>
        <v>#VALUE!</v>
      </c>
      <c r="AC170" s="34" t="e">
        <f>SUM(AB170:AB179)</f>
        <v>#VALUE!</v>
      </c>
      <c r="AD170" s="34" t="e">
        <f>((AC170*Y170)-(W170*AA170))/AF170</f>
        <v>#VALUE!</v>
      </c>
      <c r="AE170" s="34" t="e">
        <f>((U170*AA170)-(W170*Y170))/AF170</f>
        <v>#VALUE!</v>
      </c>
      <c r="AF170" s="40" t="e">
        <f>(U170*AC170)-(W170^2)</f>
        <v>#VALUE!</v>
      </c>
      <c r="AG170" s="34" t="e">
        <f>SQRT((AC170/AF170))</f>
        <v>#VALUE!</v>
      </c>
      <c r="AH170" s="34" t="e">
        <f>SQRT((U170/AF170))</f>
        <v>#VALUE!</v>
      </c>
      <c r="AI170" s="37">
        <f>_xlfn.STDEV.S(C170:C179)</f>
        <v>0</v>
      </c>
      <c r="AJ170" s="37">
        <f>_xlfn.STDEV.S(D170:D179)</f>
        <v>0</v>
      </c>
      <c r="AK170" s="37">
        <f>_xlfn.COVARIANCE.S(C170:C179,D170:D179)</f>
        <v>0</v>
      </c>
      <c r="AL170" s="37" t="e">
        <f>CORREL(C170:C179,D170:D179)</f>
        <v>#DIV/0!</v>
      </c>
      <c r="AM170" s="8"/>
    </row>
    <row r="171" spans="2:39" x14ac:dyDescent="0.2">
      <c r="B171" s="8"/>
      <c r="C171" s="25">
        <v>0</v>
      </c>
      <c r="D171" s="26">
        <v>0</v>
      </c>
      <c r="E171" s="26">
        <v>0</v>
      </c>
      <c r="F171" s="26">
        <v>0</v>
      </c>
      <c r="G171" s="50"/>
      <c r="H171" s="35"/>
      <c r="I171" s="35"/>
      <c r="J171" s="22">
        <f t="shared" si="49"/>
        <v>0</v>
      </c>
      <c r="K171" s="35"/>
      <c r="L171" s="22">
        <f t="shared" si="50"/>
        <v>0</v>
      </c>
      <c r="M171" s="35"/>
      <c r="N171" s="35"/>
      <c r="O171" s="35"/>
      <c r="P171" s="35"/>
      <c r="Q171" s="35"/>
      <c r="R171" s="35"/>
      <c r="S171" s="35"/>
      <c r="T171" s="22" t="e">
        <f t="shared" si="51"/>
        <v>#VALUE!</v>
      </c>
      <c r="U171" s="35"/>
      <c r="V171" s="27" t="e">
        <f t="shared" si="52"/>
        <v>#VALUE!</v>
      </c>
      <c r="W171" s="35"/>
      <c r="X171" s="22" t="e">
        <f t="shared" si="53"/>
        <v>#VALUE!</v>
      </c>
      <c r="Y171" s="35"/>
      <c r="Z171" s="28" t="e">
        <f t="shared" si="54"/>
        <v>#VALUE!</v>
      </c>
      <c r="AA171" s="35"/>
      <c r="AB171" s="28" t="e">
        <f t="shared" si="55"/>
        <v>#VALUE!</v>
      </c>
      <c r="AC171" s="35"/>
      <c r="AD171" s="35"/>
      <c r="AE171" s="35"/>
      <c r="AF171" s="41"/>
      <c r="AG171" s="35"/>
      <c r="AH171" s="35"/>
      <c r="AI171" s="38"/>
      <c r="AJ171" s="38"/>
      <c r="AK171" s="38"/>
      <c r="AL171" s="38"/>
      <c r="AM171" s="8"/>
    </row>
    <row r="172" spans="2:39" x14ac:dyDescent="0.2">
      <c r="B172" s="8"/>
      <c r="C172" s="25">
        <v>0</v>
      </c>
      <c r="D172" s="26">
        <v>0</v>
      </c>
      <c r="E172" s="26">
        <v>0</v>
      </c>
      <c r="F172" s="26">
        <v>0</v>
      </c>
      <c r="G172" s="50"/>
      <c r="H172" s="35"/>
      <c r="I172" s="35"/>
      <c r="J172" s="22">
        <f t="shared" si="49"/>
        <v>0</v>
      </c>
      <c r="K172" s="35"/>
      <c r="L172" s="22">
        <f t="shared" si="50"/>
        <v>0</v>
      </c>
      <c r="M172" s="35"/>
      <c r="N172" s="35"/>
      <c r="O172" s="35"/>
      <c r="P172" s="35"/>
      <c r="Q172" s="35"/>
      <c r="R172" s="35"/>
      <c r="S172" s="35"/>
      <c r="T172" s="22" t="e">
        <f t="shared" si="51"/>
        <v>#VALUE!</v>
      </c>
      <c r="U172" s="35"/>
      <c r="V172" s="27" t="e">
        <f t="shared" si="52"/>
        <v>#VALUE!</v>
      </c>
      <c r="W172" s="35"/>
      <c r="X172" s="22" t="e">
        <f t="shared" si="53"/>
        <v>#VALUE!</v>
      </c>
      <c r="Y172" s="35"/>
      <c r="Z172" s="28" t="e">
        <f t="shared" si="54"/>
        <v>#VALUE!</v>
      </c>
      <c r="AA172" s="35"/>
      <c r="AB172" s="28" t="e">
        <f t="shared" si="55"/>
        <v>#VALUE!</v>
      </c>
      <c r="AC172" s="35"/>
      <c r="AD172" s="35"/>
      <c r="AE172" s="35"/>
      <c r="AF172" s="41"/>
      <c r="AG172" s="35"/>
      <c r="AH172" s="35"/>
      <c r="AI172" s="38"/>
      <c r="AJ172" s="38"/>
      <c r="AK172" s="38"/>
      <c r="AL172" s="38"/>
      <c r="AM172" s="8"/>
    </row>
    <row r="173" spans="2:39" x14ac:dyDescent="0.2">
      <c r="B173" s="8"/>
      <c r="C173" s="25">
        <v>0</v>
      </c>
      <c r="D173" s="26">
        <v>0</v>
      </c>
      <c r="E173" s="26">
        <v>0</v>
      </c>
      <c r="F173" s="26">
        <v>0</v>
      </c>
      <c r="G173" s="50"/>
      <c r="H173" s="35"/>
      <c r="I173" s="35"/>
      <c r="J173" s="22">
        <f t="shared" si="49"/>
        <v>0</v>
      </c>
      <c r="K173" s="35"/>
      <c r="L173" s="22">
        <f t="shared" si="50"/>
        <v>0</v>
      </c>
      <c r="M173" s="35"/>
      <c r="N173" s="35"/>
      <c r="O173" s="35"/>
      <c r="P173" s="35"/>
      <c r="Q173" s="35"/>
      <c r="R173" s="35"/>
      <c r="S173" s="35"/>
      <c r="T173" s="22" t="e">
        <f t="shared" si="51"/>
        <v>#VALUE!</v>
      </c>
      <c r="U173" s="35"/>
      <c r="V173" s="27" t="e">
        <f t="shared" si="52"/>
        <v>#VALUE!</v>
      </c>
      <c r="W173" s="35"/>
      <c r="X173" s="22" t="e">
        <f t="shared" si="53"/>
        <v>#VALUE!</v>
      </c>
      <c r="Y173" s="35"/>
      <c r="Z173" s="28" t="e">
        <f t="shared" si="54"/>
        <v>#VALUE!</v>
      </c>
      <c r="AA173" s="35"/>
      <c r="AB173" s="28" t="e">
        <f t="shared" si="55"/>
        <v>#VALUE!</v>
      </c>
      <c r="AC173" s="35"/>
      <c r="AD173" s="35"/>
      <c r="AE173" s="35"/>
      <c r="AF173" s="41"/>
      <c r="AG173" s="35"/>
      <c r="AH173" s="35"/>
      <c r="AI173" s="38"/>
      <c r="AJ173" s="38"/>
      <c r="AK173" s="38"/>
      <c r="AL173" s="38"/>
      <c r="AM173" s="8"/>
    </row>
    <row r="174" spans="2:39" x14ac:dyDescent="0.2">
      <c r="B174" s="8"/>
      <c r="C174" s="25">
        <v>0</v>
      </c>
      <c r="D174" s="26">
        <v>0</v>
      </c>
      <c r="E174" s="26">
        <v>0</v>
      </c>
      <c r="F174" s="26">
        <v>0</v>
      </c>
      <c r="G174" s="50"/>
      <c r="H174" s="35"/>
      <c r="I174" s="35"/>
      <c r="J174" s="22">
        <f t="shared" si="49"/>
        <v>0</v>
      </c>
      <c r="K174" s="35"/>
      <c r="L174" s="22">
        <f t="shared" si="50"/>
        <v>0</v>
      </c>
      <c r="M174" s="35"/>
      <c r="N174" s="35"/>
      <c r="O174" s="35"/>
      <c r="P174" s="35"/>
      <c r="Q174" s="35"/>
      <c r="R174" s="35"/>
      <c r="S174" s="35"/>
      <c r="T174" s="22" t="e">
        <f t="shared" si="51"/>
        <v>#VALUE!</v>
      </c>
      <c r="U174" s="35"/>
      <c r="V174" s="27" t="e">
        <f t="shared" si="52"/>
        <v>#VALUE!</v>
      </c>
      <c r="W174" s="35"/>
      <c r="X174" s="22" t="e">
        <f t="shared" si="53"/>
        <v>#VALUE!</v>
      </c>
      <c r="Y174" s="35"/>
      <c r="Z174" s="28" t="e">
        <f t="shared" si="54"/>
        <v>#VALUE!</v>
      </c>
      <c r="AA174" s="35"/>
      <c r="AB174" s="28" t="e">
        <f t="shared" si="55"/>
        <v>#VALUE!</v>
      </c>
      <c r="AC174" s="35"/>
      <c r="AD174" s="35"/>
      <c r="AE174" s="35"/>
      <c r="AF174" s="41"/>
      <c r="AG174" s="35"/>
      <c r="AH174" s="35"/>
      <c r="AI174" s="38"/>
      <c r="AJ174" s="38"/>
      <c r="AK174" s="38"/>
      <c r="AL174" s="38"/>
      <c r="AM174" s="8"/>
    </row>
    <row r="175" spans="2:39" x14ac:dyDescent="0.2">
      <c r="B175" s="8"/>
      <c r="C175" s="25">
        <v>0</v>
      </c>
      <c r="D175" s="26">
        <v>0</v>
      </c>
      <c r="E175" s="26">
        <v>0</v>
      </c>
      <c r="F175" s="26">
        <v>0</v>
      </c>
      <c r="G175" s="50"/>
      <c r="H175" s="35"/>
      <c r="I175" s="35"/>
      <c r="J175" s="22">
        <f t="shared" si="49"/>
        <v>0</v>
      </c>
      <c r="K175" s="35"/>
      <c r="L175" s="22">
        <f t="shared" si="50"/>
        <v>0</v>
      </c>
      <c r="M175" s="35"/>
      <c r="N175" s="35"/>
      <c r="O175" s="35"/>
      <c r="P175" s="35"/>
      <c r="Q175" s="35"/>
      <c r="R175" s="35"/>
      <c r="S175" s="35"/>
      <c r="T175" s="22" t="e">
        <f t="shared" si="51"/>
        <v>#VALUE!</v>
      </c>
      <c r="U175" s="35"/>
      <c r="V175" s="27" t="e">
        <f t="shared" si="52"/>
        <v>#VALUE!</v>
      </c>
      <c r="W175" s="35"/>
      <c r="X175" s="22" t="e">
        <f t="shared" si="53"/>
        <v>#VALUE!</v>
      </c>
      <c r="Y175" s="35"/>
      <c r="Z175" s="28" t="e">
        <f t="shared" si="54"/>
        <v>#VALUE!</v>
      </c>
      <c r="AA175" s="35"/>
      <c r="AB175" s="28" t="e">
        <f t="shared" si="55"/>
        <v>#VALUE!</v>
      </c>
      <c r="AC175" s="35"/>
      <c r="AD175" s="35"/>
      <c r="AE175" s="35"/>
      <c r="AF175" s="41"/>
      <c r="AG175" s="35"/>
      <c r="AH175" s="35"/>
      <c r="AI175" s="38"/>
      <c r="AJ175" s="38"/>
      <c r="AK175" s="38"/>
      <c r="AL175" s="38"/>
      <c r="AM175" s="8"/>
    </row>
    <row r="176" spans="2:39" x14ac:dyDescent="0.2">
      <c r="B176" s="8"/>
      <c r="C176" s="25">
        <v>0</v>
      </c>
      <c r="D176" s="26">
        <v>0</v>
      </c>
      <c r="E176" s="26">
        <v>0</v>
      </c>
      <c r="F176" s="26">
        <v>0</v>
      </c>
      <c r="G176" s="50"/>
      <c r="H176" s="35"/>
      <c r="I176" s="35"/>
      <c r="J176" s="22">
        <f t="shared" si="49"/>
        <v>0</v>
      </c>
      <c r="K176" s="35"/>
      <c r="L176" s="22">
        <f t="shared" si="50"/>
        <v>0</v>
      </c>
      <c r="M176" s="35"/>
      <c r="N176" s="35"/>
      <c r="O176" s="35"/>
      <c r="P176" s="35"/>
      <c r="Q176" s="35"/>
      <c r="R176" s="35"/>
      <c r="S176" s="35"/>
      <c r="T176" s="22" t="e">
        <f t="shared" si="51"/>
        <v>#VALUE!</v>
      </c>
      <c r="U176" s="35"/>
      <c r="V176" s="27" t="e">
        <f t="shared" si="52"/>
        <v>#VALUE!</v>
      </c>
      <c r="W176" s="35"/>
      <c r="X176" s="22" t="e">
        <f t="shared" si="53"/>
        <v>#VALUE!</v>
      </c>
      <c r="Y176" s="35"/>
      <c r="Z176" s="28" t="e">
        <f t="shared" si="54"/>
        <v>#VALUE!</v>
      </c>
      <c r="AA176" s="35"/>
      <c r="AB176" s="28" t="e">
        <f t="shared" si="55"/>
        <v>#VALUE!</v>
      </c>
      <c r="AC176" s="35"/>
      <c r="AD176" s="35"/>
      <c r="AE176" s="35"/>
      <c r="AF176" s="41"/>
      <c r="AG176" s="35"/>
      <c r="AH176" s="35"/>
      <c r="AI176" s="38"/>
      <c r="AJ176" s="38"/>
      <c r="AK176" s="38"/>
      <c r="AL176" s="38"/>
      <c r="AM176" s="8"/>
    </row>
    <row r="177" spans="2:39" x14ac:dyDescent="0.2">
      <c r="B177" s="8"/>
      <c r="C177" s="25">
        <v>0</v>
      </c>
      <c r="D177" s="26">
        <v>0</v>
      </c>
      <c r="E177" s="26">
        <v>0</v>
      </c>
      <c r="F177" s="26">
        <v>0</v>
      </c>
      <c r="G177" s="50"/>
      <c r="H177" s="35"/>
      <c r="I177" s="35"/>
      <c r="J177" s="22">
        <f t="shared" si="49"/>
        <v>0</v>
      </c>
      <c r="K177" s="35"/>
      <c r="L177" s="22">
        <f t="shared" si="50"/>
        <v>0</v>
      </c>
      <c r="M177" s="35"/>
      <c r="N177" s="35"/>
      <c r="O177" s="35"/>
      <c r="P177" s="35"/>
      <c r="Q177" s="35"/>
      <c r="R177" s="35"/>
      <c r="S177" s="35"/>
      <c r="T177" s="22" t="e">
        <f t="shared" si="51"/>
        <v>#VALUE!</v>
      </c>
      <c r="U177" s="35"/>
      <c r="V177" s="27" t="e">
        <f t="shared" si="52"/>
        <v>#VALUE!</v>
      </c>
      <c r="W177" s="35"/>
      <c r="X177" s="22" t="e">
        <f t="shared" si="53"/>
        <v>#VALUE!</v>
      </c>
      <c r="Y177" s="35"/>
      <c r="Z177" s="28" t="e">
        <f t="shared" si="54"/>
        <v>#VALUE!</v>
      </c>
      <c r="AA177" s="35"/>
      <c r="AB177" s="28" t="e">
        <f t="shared" si="55"/>
        <v>#VALUE!</v>
      </c>
      <c r="AC177" s="35"/>
      <c r="AD177" s="35"/>
      <c r="AE177" s="35"/>
      <c r="AF177" s="41"/>
      <c r="AG177" s="35"/>
      <c r="AH177" s="35"/>
      <c r="AI177" s="38"/>
      <c r="AJ177" s="38"/>
      <c r="AK177" s="38"/>
      <c r="AL177" s="38"/>
      <c r="AM177" s="8"/>
    </row>
    <row r="178" spans="2:39" x14ac:dyDescent="0.2">
      <c r="B178" s="8"/>
      <c r="C178" s="25">
        <v>0</v>
      </c>
      <c r="D178" s="26">
        <v>0</v>
      </c>
      <c r="E178" s="26">
        <v>0</v>
      </c>
      <c r="F178" s="26">
        <v>0</v>
      </c>
      <c r="G178" s="50"/>
      <c r="H178" s="35"/>
      <c r="I178" s="35"/>
      <c r="J178" s="22">
        <f t="shared" si="49"/>
        <v>0</v>
      </c>
      <c r="K178" s="35"/>
      <c r="L178" s="22">
        <f t="shared" si="50"/>
        <v>0</v>
      </c>
      <c r="M178" s="35"/>
      <c r="N178" s="35"/>
      <c r="O178" s="35"/>
      <c r="P178" s="35"/>
      <c r="Q178" s="35"/>
      <c r="R178" s="35"/>
      <c r="S178" s="35"/>
      <c r="T178" s="22" t="e">
        <f t="shared" si="51"/>
        <v>#VALUE!</v>
      </c>
      <c r="U178" s="35"/>
      <c r="V178" s="27" t="e">
        <f t="shared" si="52"/>
        <v>#VALUE!</v>
      </c>
      <c r="W178" s="35"/>
      <c r="X178" s="22" t="e">
        <f t="shared" si="53"/>
        <v>#VALUE!</v>
      </c>
      <c r="Y178" s="35"/>
      <c r="Z178" s="28" t="e">
        <f t="shared" si="54"/>
        <v>#VALUE!</v>
      </c>
      <c r="AA178" s="35"/>
      <c r="AB178" s="28" t="e">
        <f t="shared" si="55"/>
        <v>#VALUE!</v>
      </c>
      <c r="AC178" s="35"/>
      <c r="AD178" s="35"/>
      <c r="AE178" s="35"/>
      <c r="AF178" s="41"/>
      <c r="AG178" s="35"/>
      <c r="AH178" s="35"/>
      <c r="AI178" s="38"/>
      <c r="AJ178" s="38"/>
      <c r="AK178" s="38"/>
      <c r="AL178" s="38"/>
      <c r="AM178" s="8"/>
    </row>
    <row r="179" spans="2:39" ht="16" thickBot="1" x14ac:dyDescent="0.25">
      <c r="B179" s="8"/>
      <c r="C179" s="29">
        <v>0</v>
      </c>
      <c r="D179" s="30">
        <v>0</v>
      </c>
      <c r="E179" s="30">
        <v>0</v>
      </c>
      <c r="F179" s="30">
        <v>0</v>
      </c>
      <c r="G179" s="51"/>
      <c r="H179" s="36"/>
      <c r="I179" s="36"/>
      <c r="J179" s="31">
        <f t="shared" si="49"/>
        <v>0</v>
      </c>
      <c r="K179" s="36"/>
      <c r="L179" s="31">
        <f t="shared" si="50"/>
        <v>0</v>
      </c>
      <c r="M179" s="36"/>
      <c r="N179" s="36"/>
      <c r="O179" s="36"/>
      <c r="P179" s="36"/>
      <c r="Q179" s="36"/>
      <c r="R179" s="36"/>
      <c r="S179" s="36"/>
      <c r="T179" s="31" t="e">
        <f t="shared" si="51"/>
        <v>#VALUE!</v>
      </c>
      <c r="U179" s="36"/>
      <c r="V179" s="32" t="e">
        <f t="shared" si="52"/>
        <v>#VALUE!</v>
      </c>
      <c r="W179" s="36"/>
      <c r="X179" s="31" t="e">
        <f t="shared" si="53"/>
        <v>#VALUE!</v>
      </c>
      <c r="Y179" s="36"/>
      <c r="Z179" s="33" t="e">
        <f t="shared" si="54"/>
        <v>#VALUE!</v>
      </c>
      <c r="AA179" s="36"/>
      <c r="AB179" s="33" t="e">
        <f t="shared" si="55"/>
        <v>#VALUE!</v>
      </c>
      <c r="AC179" s="36"/>
      <c r="AD179" s="36"/>
      <c r="AE179" s="36"/>
      <c r="AF179" s="42"/>
      <c r="AG179" s="36"/>
      <c r="AH179" s="36"/>
      <c r="AI179" s="39"/>
      <c r="AJ179" s="39"/>
      <c r="AK179" s="39"/>
      <c r="AL179" s="39"/>
      <c r="AM179" s="8"/>
    </row>
    <row r="182" spans="2:39" ht="16" thickBot="1" x14ac:dyDescent="0.25"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</row>
    <row r="183" spans="2:39" ht="16" thickBot="1" x14ac:dyDescent="0.25">
      <c r="B183" s="8"/>
      <c r="C183" s="8"/>
      <c r="D183" s="8"/>
      <c r="E183" s="8"/>
      <c r="F183" s="8"/>
      <c r="G183" s="43" t="s">
        <v>39</v>
      </c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5"/>
      <c r="T183" s="46" t="s">
        <v>40</v>
      </c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8"/>
      <c r="AI183" s="8"/>
      <c r="AJ183" s="8"/>
      <c r="AK183" s="8"/>
      <c r="AL183" s="8"/>
      <c r="AM183" s="8"/>
    </row>
    <row r="184" spans="2:39" ht="18" thickBot="1" x14ac:dyDescent="0.25">
      <c r="B184" s="8"/>
      <c r="C184" s="11" t="s">
        <v>41</v>
      </c>
      <c r="D184" s="11" t="s">
        <v>42</v>
      </c>
      <c r="E184" s="11" t="s">
        <v>43</v>
      </c>
      <c r="F184" s="11" t="s">
        <v>44</v>
      </c>
      <c r="G184" s="12" t="s">
        <v>45</v>
      </c>
      <c r="H184" s="12" t="s">
        <v>46</v>
      </c>
      <c r="I184" s="12" t="s">
        <v>47</v>
      </c>
      <c r="J184" s="12" t="s">
        <v>48</v>
      </c>
      <c r="K184" s="12" t="s">
        <v>49</v>
      </c>
      <c r="L184" s="12" t="s">
        <v>50</v>
      </c>
      <c r="M184" s="12" t="s">
        <v>51</v>
      </c>
      <c r="N184" s="12" t="s">
        <v>52</v>
      </c>
      <c r="O184" s="13" t="s">
        <v>53</v>
      </c>
      <c r="P184" s="13" t="s">
        <v>54</v>
      </c>
      <c r="Q184" s="13" t="s">
        <v>55</v>
      </c>
      <c r="R184" s="12" t="s">
        <v>56</v>
      </c>
      <c r="S184" s="12" t="s">
        <v>57</v>
      </c>
      <c r="T184" s="14" t="s">
        <v>58</v>
      </c>
      <c r="U184" s="9" t="s">
        <v>45</v>
      </c>
      <c r="V184" s="9" t="s">
        <v>59</v>
      </c>
      <c r="W184" s="9" t="s">
        <v>46</v>
      </c>
      <c r="X184" s="15" t="s">
        <v>60</v>
      </c>
      <c r="Y184" s="14" t="s">
        <v>47</v>
      </c>
      <c r="Z184" s="10" t="s">
        <v>61</v>
      </c>
      <c r="AA184" s="10" t="s">
        <v>49</v>
      </c>
      <c r="AB184" s="10" t="s">
        <v>62</v>
      </c>
      <c r="AC184" s="10" t="s">
        <v>63</v>
      </c>
      <c r="AD184" s="14" t="s">
        <v>56</v>
      </c>
      <c r="AE184" s="14" t="s">
        <v>57</v>
      </c>
      <c r="AF184" s="9" t="s">
        <v>52</v>
      </c>
      <c r="AG184" s="16" t="s">
        <v>64</v>
      </c>
      <c r="AH184" s="16" t="s">
        <v>65</v>
      </c>
      <c r="AI184" s="17" t="s">
        <v>66</v>
      </c>
      <c r="AJ184" s="17" t="s">
        <v>67</v>
      </c>
      <c r="AK184" s="18" t="s">
        <v>68</v>
      </c>
      <c r="AL184" s="17" t="s">
        <v>69</v>
      </c>
      <c r="AM184" s="8"/>
    </row>
    <row r="185" spans="2:39" x14ac:dyDescent="0.2">
      <c r="B185" s="8"/>
      <c r="C185" s="19">
        <v>0</v>
      </c>
      <c r="D185" s="20">
        <v>0</v>
      </c>
      <c r="E185" s="20">
        <v>0</v>
      </c>
      <c r="F185" s="20">
        <v>0</v>
      </c>
      <c r="G185" s="49">
        <f>COUNTA(D185:D194)</f>
        <v>10</v>
      </c>
      <c r="H185" s="34">
        <f>SUM(C185:C194)</f>
        <v>0</v>
      </c>
      <c r="I185" s="34">
        <f>SUM(D185:D194)</f>
        <v>0</v>
      </c>
      <c r="J185" s="21">
        <f t="shared" ref="J185:J194" si="56">C185*D185</f>
        <v>0</v>
      </c>
      <c r="K185" s="34">
        <f>SUM(J185:J194)</f>
        <v>0</v>
      </c>
      <c r="L185" s="21">
        <f t="shared" ref="L185:L194" si="57">C185^2</f>
        <v>0</v>
      </c>
      <c r="M185" s="34">
        <f>SUM(L185:L194)</f>
        <v>0</v>
      </c>
      <c r="N185" s="34">
        <f>(G185*M185)-(H185^2)</f>
        <v>0</v>
      </c>
      <c r="O185" s="34" t="e">
        <f>SQRT($F$7^2+(S185*$E$7)^2)</f>
        <v>#DIV/0!</v>
      </c>
      <c r="P185" s="34" t="e">
        <f>O185*SQRT(M185/N185)</f>
        <v>#DIV/0!</v>
      </c>
      <c r="Q185" s="34" t="e">
        <f>O185*SQRT(G185/N185)</f>
        <v>#DIV/0!</v>
      </c>
      <c r="R185" s="34" t="e">
        <f>(M185*I185-H185*K185)/N185</f>
        <v>#DIV/0!</v>
      </c>
      <c r="S185" s="34" t="e">
        <f>((G185*K185)-(H185*I185))/N185</f>
        <v>#DIV/0!</v>
      </c>
      <c r="T185" s="22" t="e">
        <f t="shared" ref="T185:T194" si="58">1/(F185^2+($S$7*E185)^2)</f>
        <v>#VALUE!</v>
      </c>
      <c r="U185" s="34" t="e">
        <f>SUM(T185:T194)</f>
        <v>#VALUE!</v>
      </c>
      <c r="V185" s="23" t="e">
        <f t="shared" ref="V185:V194" si="59">T185*C185</f>
        <v>#VALUE!</v>
      </c>
      <c r="W185" s="34" t="e">
        <f>SUM(V185:V194)</f>
        <v>#VALUE!</v>
      </c>
      <c r="X185" s="21" t="e">
        <f t="shared" ref="X185:X194" si="60">T185*D185</f>
        <v>#VALUE!</v>
      </c>
      <c r="Y185" s="34" t="e">
        <f>SUM(X185:X194)</f>
        <v>#VALUE!</v>
      </c>
      <c r="Z185" s="24" t="e">
        <f t="shared" ref="Z185:Z194" si="61">T185*C185*D185</f>
        <v>#VALUE!</v>
      </c>
      <c r="AA185" s="34" t="e">
        <f>SUM(Z185:Z194)</f>
        <v>#VALUE!</v>
      </c>
      <c r="AB185" s="24" t="e">
        <f t="shared" ref="AB185:AB194" si="62">T185*L185</f>
        <v>#VALUE!</v>
      </c>
      <c r="AC185" s="34" t="e">
        <f>SUM(AB185:AB194)</f>
        <v>#VALUE!</v>
      </c>
      <c r="AD185" s="34" t="e">
        <f>((AC185*Y185)-(W185*AA185))/AF185</f>
        <v>#VALUE!</v>
      </c>
      <c r="AE185" s="34" t="e">
        <f>((U185*AA185)-(W185*Y185))/AF185</f>
        <v>#VALUE!</v>
      </c>
      <c r="AF185" s="40" t="e">
        <f>(U185*AC185)-(W185^2)</f>
        <v>#VALUE!</v>
      </c>
      <c r="AG185" s="34" t="e">
        <f>SQRT((AC185/AF185))</f>
        <v>#VALUE!</v>
      </c>
      <c r="AH185" s="34" t="e">
        <f>SQRT((U185/AF185))</f>
        <v>#VALUE!</v>
      </c>
      <c r="AI185" s="37">
        <f>_xlfn.STDEV.S(C185:C194)</f>
        <v>0</v>
      </c>
      <c r="AJ185" s="37">
        <f>_xlfn.STDEV.S(D185:D194)</f>
        <v>0</v>
      </c>
      <c r="AK185" s="37">
        <f>_xlfn.COVARIANCE.S(C185:C194,D185:D194)</f>
        <v>0</v>
      </c>
      <c r="AL185" s="37" t="e">
        <f>CORREL(C185:C194,D185:D194)</f>
        <v>#DIV/0!</v>
      </c>
      <c r="AM185" s="8"/>
    </row>
    <row r="186" spans="2:39" x14ac:dyDescent="0.2">
      <c r="B186" s="8"/>
      <c r="C186" s="25">
        <v>0</v>
      </c>
      <c r="D186" s="26">
        <v>0</v>
      </c>
      <c r="E186" s="26">
        <v>0</v>
      </c>
      <c r="F186" s="26">
        <v>0</v>
      </c>
      <c r="G186" s="50"/>
      <c r="H186" s="35"/>
      <c r="I186" s="35"/>
      <c r="J186" s="22">
        <f t="shared" si="56"/>
        <v>0</v>
      </c>
      <c r="K186" s="35"/>
      <c r="L186" s="22">
        <f t="shared" si="57"/>
        <v>0</v>
      </c>
      <c r="M186" s="35"/>
      <c r="N186" s="35"/>
      <c r="O186" s="35"/>
      <c r="P186" s="35"/>
      <c r="Q186" s="35"/>
      <c r="R186" s="35"/>
      <c r="S186" s="35"/>
      <c r="T186" s="22" t="e">
        <f t="shared" si="58"/>
        <v>#VALUE!</v>
      </c>
      <c r="U186" s="35"/>
      <c r="V186" s="27" t="e">
        <f t="shared" si="59"/>
        <v>#VALUE!</v>
      </c>
      <c r="W186" s="35"/>
      <c r="X186" s="22" t="e">
        <f t="shared" si="60"/>
        <v>#VALUE!</v>
      </c>
      <c r="Y186" s="35"/>
      <c r="Z186" s="28" t="e">
        <f t="shared" si="61"/>
        <v>#VALUE!</v>
      </c>
      <c r="AA186" s="35"/>
      <c r="AB186" s="28" t="e">
        <f t="shared" si="62"/>
        <v>#VALUE!</v>
      </c>
      <c r="AC186" s="35"/>
      <c r="AD186" s="35"/>
      <c r="AE186" s="35"/>
      <c r="AF186" s="41"/>
      <c r="AG186" s="35"/>
      <c r="AH186" s="35"/>
      <c r="AI186" s="38"/>
      <c r="AJ186" s="38"/>
      <c r="AK186" s="38"/>
      <c r="AL186" s="38"/>
      <c r="AM186" s="8"/>
    </row>
    <row r="187" spans="2:39" x14ac:dyDescent="0.2">
      <c r="B187" s="8"/>
      <c r="C187" s="25">
        <v>0</v>
      </c>
      <c r="D187" s="26">
        <v>0</v>
      </c>
      <c r="E187" s="26">
        <v>0</v>
      </c>
      <c r="F187" s="26">
        <v>0</v>
      </c>
      <c r="G187" s="50"/>
      <c r="H187" s="35"/>
      <c r="I187" s="35"/>
      <c r="J187" s="22">
        <f t="shared" si="56"/>
        <v>0</v>
      </c>
      <c r="K187" s="35"/>
      <c r="L187" s="22">
        <f t="shared" si="57"/>
        <v>0</v>
      </c>
      <c r="M187" s="35"/>
      <c r="N187" s="35"/>
      <c r="O187" s="35"/>
      <c r="P187" s="35"/>
      <c r="Q187" s="35"/>
      <c r="R187" s="35"/>
      <c r="S187" s="35"/>
      <c r="T187" s="22" t="e">
        <f t="shared" si="58"/>
        <v>#VALUE!</v>
      </c>
      <c r="U187" s="35"/>
      <c r="V187" s="27" t="e">
        <f t="shared" si="59"/>
        <v>#VALUE!</v>
      </c>
      <c r="W187" s="35"/>
      <c r="X187" s="22" t="e">
        <f t="shared" si="60"/>
        <v>#VALUE!</v>
      </c>
      <c r="Y187" s="35"/>
      <c r="Z187" s="28" t="e">
        <f t="shared" si="61"/>
        <v>#VALUE!</v>
      </c>
      <c r="AA187" s="35"/>
      <c r="AB187" s="28" t="e">
        <f t="shared" si="62"/>
        <v>#VALUE!</v>
      </c>
      <c r="AC187" s="35"/>
      <c r="AD187" s="35"/>
      <c r="AE187" s="35"/>
      <c r="AF187" s="41"/>
      <c r="AG187" s="35"/>
      <c r="AH187" s="35"/>
      <c r="AI187" s="38"/>
      <c r="AJ187" s="38"/>
      <c r="AK187" s="38"/>
      <c r="AL187" s="38"/>
      <c r="AM187" s="8"/>
    </row>
    <row r="188" spans="2:39" x14ac:dyDescent="0.2">
      <c r="B188" s="8"/>
      <c r="C188" s="25">
        <v>0</v>
      </c>
      <c r="D188" s="26">
        <v>0</v>
      </c>
      <c r="E188" s="26">
        <v>0</v>
      </c>
      <c r="F188" s="26">
        <v>0</v>
      </c>
      <c r="G188" s="50"/>
      <c r="H188" s="35"/>
      <c r="I188" s="35"/>
      <c r="J188" s="22">
        <f t="shared" si="56"/>
        <v>0</v>
      </c>
      <c r="K188" s="35"/>
      <c r="L188" s="22">
        <f t="shared" si="57"/>
        <v>0</v>
      </c>
      <c r="M188" s="35"/>
      <c r="N188" s="35"/>
      <c r="O188" s="35"/>
      <c r="P188" s="35"/>
      <c r="Q188" s="35"/>
      <c r="R188" s="35"/>
      <c r="S188" s="35"/>
      <c r="T188" s="22" t="e">
        <f t="shared" si="58"/>
        <v>#VALUE!</v>
      </c>
      <c r="U188" s="35"/>
      <c r="V188" s="27" t="e">
        <f t="shared" si="59"/>
        <v>#VALUE!</v>
      </c>
      <c r="W188" s="35"/>
      <c r="X188" s="22" t="e">
        <f t="shared" si="60"/>
        <v>#VALUE!</v>
      </c>
      <c r="Y188" s="35"/>
      <c r="Z188" s="28" t="e">
        <f t="shared" si="61"/>
        <v>#VALUE!</v>
      </c>
      <c r="AA188" s="35"/>
      <c r="AB188" s="28" t="e">
        <f t="shared" si="62"/>
        <v>#VALUE!</v>
      </c>
      <c r="AC188" s="35"/>
      <c r="AD188" s="35"/>
      <c r="AE188" s="35"/>
      <c r="AF188" s="41"/>
      <c r="AG188" s="35"/>
      <c r="AH188" s="35"/>
      <c r="AI188" s="38"/>
      <c r="AJ188" s="38"/>
      <c r="AK188" s="38"/>
      <c r="AL188" s="38"/>
      <c r="AM188" s="8"/>
    </row>
    <row r="189" spans="2:39" x14ac:dyDescent="0.2">
      <c r="B189" s="8"/>
      <c r="C189" s="25">
        <v>0</v>
      </c>
      <c r="D189" s="26">
        <v>0</v>
      </c>
      <c r="E189" s="26">
        <v>0</v>
      </c>
      <c r="F189" s="26">
        <v>0</v>
      </c>
      <c r="G189" s="50"/>
      <c r="H189" s="35"/>
      <c r="I189" s="35"/>
      <c r="J189" s="22">
        <f t="shared" si="56"/>
        <v>0</v>
      </c>
      <c r="K189" s="35"/>
      <c r="L189" s="22">
        <f t="shared" si="57"/>
        <v>0</v>
      </c>
      <c r="M189" s="35"/>
      <c r="N189" s="35"/>
      <c r="O189" s="35"/>
      <c r="P189" s="35"/>
      <c r="Q189" s="35"/>
      <c r="R189" s="35"/>
      <c r="S189" s="35"/>
      <c r="T189" s="22" t="e">
        <f t="shared" si="58"/>
        <v>#VALUE!</v>
      </c>
      <c r="U189" s="35"/>
      <c r="V189" s="27" t="e">
        <f t="shared" si="59"/>
        <v>#VALUE!</v>
      </c>
      <c r="W189" s="35"/>
      <c r="X189" s="22" t="e">
        <f t="shared" si="60"/>
        <v>#VALUE!</v>
      </c>
      <c r="Y189" s="35"/>
      <c r="Z189" s="28" t="e">
        <f t="shared" si="61"/>
        <v>#VALUE!</v>
      </c>
      <c r="AA189" s="35"/>
      <c r="AB189" s="28" t="e">
        <f t="shared" si="62"/>
        <v>#VALUE!</v>
      </c>
      <c r="AC189" s="35"/>
      <c r="AD189" s="35"/>
      <c r="AE189" s="35"/>
      <c r="AF189" s="41"/>
      <c r="AG189" s="35"/>
      <c r="AH189" s="35"/>
      <c r="AI189" s="38"/>
      <c r="AJ189" s="38"/>
      <c r="AK189" s="38"/>
      <c r="AL189" s="38"/>
      <c r="AM189" s="8"/>
    </row>
    <row r="190" spans="2:39" x14ac:dyDescent="0.2">
      <c r="B190" s="8"/>
      <c r="C190" s="25">
        <v>0</v>
      </c>
      <c r="D190" s="26">
        <v>0</v>
      </c>
      <c r="E190" s="26">
        <v>0</v>
      </c>
      <c r="F190" s="26">
        <v>0</v>
      </c>
      <c r="G190" s="50"/>
      <c r="H190" s="35"/>
      <c r="I190" s="35"/>
      <c r="J190" s="22">
        <f t="shared" si="56"/>
        <v>0</v>
      </c>
      <c r="K190" s="35"/>
      <c r="L190" s="22">
        <f t="shared" si="57"/>
        <v>0</v>
      </c>
      <c r="M190" s="35"/>
      <c r="N190" s="35"/>
      <c r="O190" s="35"/>
      <c r="P190" s="35"/>
      <c r="Q190" s="35"/>
      <c r="R190" s="35"/>
      <c r="S190" s="35"/>
      <c r="T190" s="22" t="e">
        <f t="shared" si="58"/>
        <v>#VALUE!</v>
      </c>
      <c r="U190" s="35"/>
      <c r="V190" s="27" t="e">
        <f t="shared" si="59"/>
        <v>#VALUE!</v>
      </c>
      <c r="W190" s="35"/>
      <c r="X190" s="22" t="e">
        <f t="shared" si="60"/>
        <v>#VALUE!</v>
      </c>
      <c r="Y190" s="35"/>
      <c r="Z190" s="28" t="e">
        <f t="shared" si="61"/>
        <v>#VALUE!</v>
      </c>
      <c r="AA190" s="35"/>
      <c r="AB190" s="28" t="e">
        <f t="shared" si="62"/>
        <v>#VALUE!</v>
      </c>
      <c r="AC190" s="35"/>
      <c r="AD190" s="35"/>
      <c r="AE190" s="35"/>
      <c r="AF190" s="41"/>
      <c r="AG190" s="35"/>
      <c r="AH190" s="35"/>
      <c r="AI190" s="38"/>
      <c r="AJ190" s="38"/>
      <c r="AK190" s="38"/>
      <c r="AL190" s="38"/>
      <c r="AM190" s="8"/>
    </row>
    <row r="191" spans="2:39" x14ac:dyDescent="0.2">
      <c r="B191" s="8"/>
      <c r="C191" s="25">
        <v>0</v>
      </c>
      <c r="D191" s="26">
        <v>0</v>
      </c>
      <c r="E191" s="26">
        <v>0</v>
      </c>
      <c r="F191" s="26">
        <v>0</v>
      </c>
      <c r="G191" s="50"/>
      <c r="H191" s="35"/>
      <c r="I191" s="35"/>
      <c r="J191" s="22">
        <f t="shared" si="56"/>
        <v>0</v>
      </c>
      <c r="K191" s="35"/>
      <c r="L191" s="22">
        <f t="shared" si="57"/>
        <v>0</v>
      </c>
      <c r="M191" s="35"/>
      <c r="N191" s="35"/>
      <c r="O191" s="35"/>
      <c r="P191" s="35"/>
      <c r="Q191" s="35"/>
      <c r="R191" s="35"/>
      <c r="S191" s="35"/>
      <c r="T191" s="22" t="e">
        <f t="shared" si="58"/>
        <v>#VALUE!</v>
      </c>
      <c r="U191" s="35"/>
      <c r="V191" s="27" t="e">
        <f t="shared" si="59"/>
        <v>#VALUE!</v>
      </c>
      <c r="W191" s="35"/>
      <c r="X191" s="22" t="e">
        <f t="shared" si="60"/>
        <v>#VALUE!</v>
      </c>
      <c r="Y191" s="35"/>
      <c r="Z191" s="28" t="e">
        <f t="shared" si="61"/>
        <v>#VALUE!</v>
      </c>
      <c r="AA191" s="35"/>
      <c r="AB191" s="28" t="e">
        <f t="shared" si="62"/>
        <v>#VALUE!</v>
      </c>
      <c r="AC191" s="35"/>
      <c r="AD191" s="35"/>
      <c r="AE191" s="35"/>
      <c r="AF191" s="41"/>
      <c r="AG191" s="35"/>
      <c r="AH191" s="35"/>
      <c r="AI191" s="38"/>
      <c r="AJ191" s="38"/>
      <c r="AK191" s="38"/>
      <c r="AL191" s="38"/>
      <c r="AM191" s="8"/>
    </row>
    <row r="192" spans="2:39" x14ac:dyDescent="0.2">
      <c r="B192" s="8"/>
      <c r="C192" s="25">
        <v>0</v>
      </c>
      <c r="D192" s="26">
        <v>0</v>
      </c>
      <c r="E192" s="26">
        <v>0</v>
      </c>
      <c r="F192" s="26">
        <v>0</v>
      </c>
      <c r="G192" s="50"/>
      <c r="H192" s="35"/>
      <c r="I192" s="35"/>
      <c r="J192" s="22">
        <f t="shared" si="56"/>
        <v>0</v>
      </c>
      <c r="K192" s="35"/>
      <c r="L192" s="22">
        <f t="shared" si="57"/>
        <v>0</v>
      </c>
      <c r="M192" s="35"/>
      <c r="N192" s="35"/>
      <c r="O192" s="35"/>
      <c r="P192" s="35"/>
      <c r="Q192" s="35"/>
      <c r="R192" s="35"/>
      <c r="S192" s="35"/>
      <c r="T192" s="22" t="e">
        <f t="shared" si="58"/>
        <v>#VALUE!</v>
      </c>
      <c r="U192" s="35"/>
      <c r="V192" s="27" t="e">
        <f t="shared" si="59"/>
        <v>#VALUE!</v>
      </c>
      <c r="W192" s="35"/>
      <c r="X192" s="22" t="e">
        <f t="shared" si="60"/>
        <v>#VALUE!</v>
      </c>
      <c r="Y192" s="35"/>
      <c r="Z192" s="28" t="e">
        <f t="shared" si="61"/>
        <v>#VALUE!</v>
      </c>
      <c r="AA192" s="35"/>
      <c r="AB192" s="28" t="e">
        <f t="shared" si="62"/>
        <v>#VALUE!</v>
      </c>
      <c r="AC192" s="35"/>
      <c r="AD192" s="35"/>
      <c r="AE192" s="35"/>
      <c r="AF192" s="41"/>
      <c r="AG192" s="35"/>
      <c r="AH192" s="35"/>
      <c r="AI192" s="38"/>
      <c r="AJ192" s="38"/>
      <c r="AK192" s="38"/>
      <c r="AL192" s="38"/>
      <c r="AM192" s="8"/>
    </row>
    <row r="193" spans="2:39" x14ac:dyDescent="0.2">
      <c r="B193" s="8"/>
      <c r="C193" s="25">
        <v>0</v>
      </c>
      <c r="D193" s="26">
        <v>0</v>
      </c>
      <c r="E193" s="26">
        <v>0</v>
      </c>
      <c r="F193" s="26">
        <v>0</v>
      </c>
      <c r="G193" s="50"/>
      <c r="H193" s="35"/>
      <c r="I193" s="35"/>
      <c r="J193" s="22">
        <f t="shared" si="56"/>
        <v>0</v>
      </c>
      <c r="K193" s="35"/>
      <c r="L193" s="22">
        <f t="shared" si="57"/>
        <v>0</v>
      </c>
      <c r="M193" s="35"/>
      <c r="N193" s="35"/>
      <c r="O193" s="35"/>
      <c r="P193" s="35"/>
      <c r="Q193" s="35"/>
      <c r="R193" s="35"/>
      <c r="S193" s="35"/>
      <c r="T193" s="22" t="e">
        <f t="shared" si="58"/>
        <v>#VALUE!</v>
      </c>
      <c r="U193" s="35"/>
      <c r="V193" s="27" t="e">
        <f t="shared" si="59"/>
        <v>#VALUE!</v>
      </c>
      <c r="W193" s="35"/>
      <c r="X193" s="22" t="e">
        <f t="shared" si="60"/>
        <v>#VALUE!</v>
      </c>
      <c r="Y193" s="35"/>
      <c r="Z193" s="28" t="e">
        <f t="shared" si="61"/>
        <v>#VALUE!</v>
      </c>
      <c r="AA193" s="35"/>
      <c r="AB193" s="28" t="e">
        <f t="shared" si="62"/>
        <v>#VALUE!</v>
      </c>
      <c r="AC193" s="35"/>
      <c r="AD193" s="35"/>
      <c r="AE193" s="35"/>
      <c r="AF193" s="41"/>
      <c r="AG193" s="35"/>
      <c r="AH193" s="35"/>
      <c r="AI193" s="38"/>
      <c r="AJ193" s="38"/>
      <c r="AK193" s="38"/>
      <c r="AL193" s="38"/>
      <c r="AM193" s="8"/>
    </row>
    <row r="194" spans="2:39" ht="16" thickBot="1" x14ac:dyDescent="0.25">
      <c r="B194" s="8"/>
      <c r="C194" s="29">
        <v>0</v>
      </c>
      <c r="D194" s="30">
        <v>0</v>
      </c>
      <c r="E194" s="30">
        <v>0</v>
      </c>
      <c r="F194" s="30">
        <v>0</v>
      </c>
      <c r="G194" s="51"/>
      <c r="H194" s="36"/>
      <c r="I194" s="36"/>
      <c r="J194" s="31">
        <f t="shared" si="56"/>
        <v>0</v>
      </c>
      <c r="K194" s="36"/>
      <c r="L194" s="31">
        <f t="shared" si="57"/>
        <v>0</v>
      </c>
      <c r="M194" s="36"/>
      <c r="N194" s="36"/>
      <c r="O194" s="36"/>
      <c r="P194" s="36"/>
      <c r="Q194" s="36"/>
      <c r="R194" s="36"/>
      <c r="S194" s="36"/>
      <c r="T194" s="31" t="e">
        <f t="shared" si="58"/>
        <v>#VALUE!</v>
      </c>
      <c r="U194" s="36"/>
      <c r="V194" s="32" t="e">
        <f t="shared" si="59"/>
        <v>#VALUE!</v>
      </c>
      <c r="W194" s="36"/>
      <c r="X194" s="31" t="e">
        <f t="shared" si="60"/>
        <v>#VALUE!</v>
      </c>
      <c r="Y194" s="36"/>
      <c r="Z194" s="33" t="e">
        <f t="shared" si="61"/>
        <v>#VALUE!</v>
      </c>
      <c r="AA194" s="36"/>
      <c r="AB194" s="33" t="e">
        <f t="shared" si="62"/>
        <v>#VALUE!</v>
      </c>
      <c r="AC194" s="36"/>
      <c r="AD194" s="36"/>
      <c r="AE194" s="36"/>
      <c r="AF194" s="42"/>
      <c r="AG194" s="36"/>
      <c r="AH194" s="36"/>
      <c r="AI194" s="39"/>
      <c r="AJ194" s="39"/>
      <c r="AK194" s="39"/>
      <c r="AL194" s="39"/>
      <c r="AM194" s="8"/>
    </row>
  </sheetData>
  <mergeCells count="243">
    <mergeCell ref="AI65:AI74"/>
    <mergeCell ref="AJ65:AJ74"/>
    <mergeCell ref="AK65:AK74"/>
    <mergeCell ref="AL65:AL74"/>
    <mergeCell ref="G63:S63"/>
    <mergeCell ref="T63:AH63"/>
    <mergeCell ref="G65:G74"/>
    <mergeCell ref="K65:K74"/>
    <mergeCell ref="M65:M74"/>
    <mergeCell ref="AD65:AD74"/>
    <mergeCell ref="AE65:AE74"/>
    <mergeCell ref="AF65:AF74"/>
    <mergeCell ref="AG65:AG74"/>
    <mergeCell ref="AH65:AH74"/>
    <mergeCell ref="R65:R74"/>
    <mergeCell ref="S65:S74"/>
    <mergeCell ref="U65:U74"/>
    <mergeCell ref="W65:W74"/>
    <mergeCell ref="Y65:Y74"/>
    <mergeCell ref="H65:H74"/>
    <mergeCell ref="I65:I74"/>
    <mergeCell ref="N65:N74"/>
    <mergeCell ref="O65:O74"/>
    <mergeCell ref="P65:P74"/>
    <mergeCell ref="O80:O89"/>
    <mergeCell ref="P80:P89"/>
    <mergeCell ref="Q80:Q89"/>
    <mergeCell ref="R80:R89"/>
    <mergeCell ref="S80:S89"/>
    <mergeCell ref="U80:U89"/>
    <mergeCell ref="AA65:AA74"/>
    <mergeCell ref="AC65:AC74"/>
    <mergeCell ref="G78:S78"/>
    <mergeCell ref="T78:AH78"/>
    <mergeCell ref="G80:G89"/>
    <mergeCell ref="H80:H89"/>
    <mergeCell ref="I80:I89"/>
    <mergeCell ref="K80:K89"/>
    <mergeCell ref="M80:M89"/>
    <mergeCell ref="N80:N89"/>
    <mergeCell ref="Q65:Q74"/>
    <mergeCell ref="AL80:AL89"/>
    <mergeCell ref="AF80:AF89"/>
    <mergeCell ref="AG80:AG89"/>
    <mergeCell ref="AH80:AH89"/>
    <mergeCell ref="AI80:AI89"/>
    <mergeCell ref="AJ80:AJ89"/>
    <mergeCell ref="AK80:AK89"/>
    <mergeCell ref="W80:W89"/>
    <mergeCell ref="Y80:Y89"/>
    <mergeCell ref="AA80:AA89"/>
    <mergeCell ref="AC80:AC89"/>
    <mergeCell ref="AD80:AD89"/>
    <mergeCell ref="AE80:AE89"/>
    <mergeCell ref="AI95:AI104"/>
    <mergeCell ref="AJ95:AJ104"/>
    <mergeCell ref="AK95:AK104"/>
    <mergeCell ref="AL95:AL104"/>
    <mergeCell ref="AD95:AD104"/>
    <mergeCell ref="AE95:AE104"/>
    <mergeCell ref="AF95:AF104"/>
    <mergeCell ref="AG95:AG104"/>
    <mergeCell ref="Q95:Q104"/>
    <mergeCell ref="R95:R104"/>
    <mergeCell ref="S95:S104"/>
    <mergeCell ref="G93:S93"/>
    <mergeCell ref="T93:AH93"/>
    <mergeCell ref="G95:G104"/>
    <mergeCell ref="K95:K104"/>
    <mergeCell ref="M95:M104"/>
    <mergeCell ref="U95:U104"/>
    <mergeCell ref="W95:W104"/>
    <mergeCell ref="P95:P104"/>
    <mergeCell ref="O95:O104"/>
    <mergeCell ref="N95:N104"/>
    <mergeCell ref="I95:I104"/>
    <mergeCell ref="AH95:AH104"/>
    <mergeCell ref="P110:P119"/>
    <mergeCell ref="Q110:Q119"/>
    <mergeCell ref="R110:R119"/>
    <mergeCell ref="S110:S119"/>
    <mergeCell ref="Y95:Y104"/>
    <mergeCell ref="AA95:AA104"/>
    <mergeCell ref="AC95:AC104"/>
    <mergeCell ref="G108:S108"/>
    <mergeCell ref="T108:AH108"/>
    <mergeCell ref="G110:G119"/>
    <mergeCell ref="H110:H119"/>
    <mergeCell ref="I110:I119"/>
    <mergeCell ref="K110:K119"/>
    <mergeCell ref="M110:M119"/>
    <mergeCell ref="H95:H104"/>
    <mergeCell ref="AK110:AK119"/>
    <mergeCell ref="AL110:AL119"/>
    <mergeCell ref="G123:S123"/>
    <mergeCell ref="T123:AH123"/>
    <mergeCell ref="G125:G134"/>
    <mergeCell ref="H125:H134"/>
    <mergeCell ref="I125:I134"/>
    <mergeCell ref="K125:K134"/>
    <mergeCell ref="M125:M134"/>
    <mergeCell ref="N125:N134"/>
    <mergeCell ref="AE110:AE119"/>
    <mergeCell ref="AF110:AF119"/>
    <mergeCell ref="AG110:AG119"/>
    <mergeCell ref="AH110:AH119"/>
    <mergeCell ref="AI110:AI119"/>
    <mergeCell ref="AJ110:AJ119"/>
    <mergeCell ref="U110:U119"/>
    <mergeCell ref="W110:W119"/>
    <mergeCell ref="Y110:Y119"/>
    <mergeCell ref="AA110:AA119"/>
    <mergeCell ref="AC110:AC119"/>
    <mergeCell ref="AD110:AD119"/>
    <mergeCell ref="N110:N119"/>
    <mergeCell ref="O110:O119"/>
    <mergeCell ref="AA125:AA134"/>
    <mergeCell ref="AC125:AC134"/>
    <mergeCell ref="AD125:AD134"/>
    <mergeCell ref="AE125:AE134"/>
    <mergeCell ref="O125:O134"/>
    <mergeCell ref="P125:P134"/>
    <mergeCell ref="Q125:Q134"/>
    <mergeCell ref="R125:R134"/>
    <mergeCell ref="S125:S134"/>
    <mergeCell ref="U125:U134"/>
    <mergeCell ref="P140:P149"/>
    <mergeCell ref="Q140:Q149"/>
    <mergeCell ref="R140:R149"/>
    <mergeCell ref="S140:S149"/>
    <mergeCell ref="U140:U149"/>
    <mergeCell ref="W140:W149"/>
    <mergeCell ref="AL125:AL134"/>
    <mergeCell ref="G138:S138"/>
    <mergeCell ref="T138:AH138"/>
    <mergeCell ref="G140:G149"/>
    <mergeCell ref="H140:H149"/>
    <mergeCell ref="I140:I149"/>
    <mergeCell ref="K140:K149"/>
    <mergeCell ref="M140:M149"/>
    <mergeCell ref="N140:N149"/>
    <mergeCell ref="O140:O149"/>
    <mergeCell ref="AF125:AF134"/>
    <mergeCell ref="AG125:AG134"/>
    <mergeCell ref="AH125:AH134"/>
    <mergeCell ref="AI125:AI134"/>
    <mergeCell ref="AJ125:AJ134"/>
    <mergeCell ref="AK125:AK134"/>
    <mergeCell ref="W125:W134"/>
    <mergeCell ref="Y125:Y134"/>
    <mergeCell ref="AG140:AG149"/>
    <mergeCell ref="AH140:AH149"/>
    <mergeCell ref="AI140:AI149"/>
    <mergeCell ref="AJ140:AJ149"/>
    <mergeCell ref="AK140:AK149"/>
    <mergeCell ref="AL140:AL149"/>
    <mergeCell ref="Y140:Y149"/>
    <mergeCell ref="AA140:AA149"/>
    <mergeCell ref="AC140:AC149"/>
    <mergeCell ref="AD140:AD149"/>
    <mergeCell ref="AE140:AE149"/>
    <mergeCell ref="AF140:AF149"/>
    <mergeCell ref="G153:S153"/>
    <mergeCell ref="T153:AH153"/>
    <mergeCell ref="G155:G164"/>
    <mergeCell ref="H155:H164"/>
    <mergeCell ref="I155:I164"/>
    <mergeCell ref="K155:K164"/>
    <mergeCell ref="M155:M164"/>
    <mergeCell ref="N155:N164"/>
    <mergeCell ref="O155:O164"/>
    <mergeCell ref="P155:P164"/>
    <mergeCell ref="AK155:AK164"/>
    <mergeCell ref="AL155:AL164"/>
    <mergeCell ref="G168:S168"/>
    <mergeCell ref="T168:AH168"/>
    <mergeCell ref="AA155:AA164"/>
    <mergeCell ref="AC155:AC164"/>
    <mergeCell ref="AD155:AD164"/>
    <mergeCell ref="AE155:AE164"/>
    <mergeCell ref="AF155:AF164"/>
    <mergeCell ref="AG155:AG164"/>
    <mergeCell ref="Q155:Q164"/>
    <mergeCell ref="R155:R164"/>
    <mergeCell ref="S155:S164"/>
    <mergeCell ref="U155:U164"/>
    <mergeCell ref="W155:W164"/>
    <mergeCell ref="Y155:Y164"/>
    <mergeCell ref="G170:G179"/>
    <mergeCell ref="H170:H179"/>
    <mergeCell ref="I170:I179"/>
    <mergeCell ref="K170:K179"/>
    <mergeCell ref="M170:M179"/>
    <mergeCell ref="N170:N179"/>
    <mergeCell ref="AH155:AH164"/>
    <mergeCell ref="AI155:AI164"/>
    <mergeCell ref="AJ155:AJ164"/>
    <mergeCell ref="AA170:AA179"/>
    <mergeCell ref="AC170:AC179"/>
    <mergeCell ref="AD170:AD179"/>
    <mergeCell ref="AE170:AE179"/>
    <mergeCell ref="O170:O179"/>
    <mergeCell ref="P170:P179"/>
    <mergeCell ref="Q170:Q179"/>
    <mergeCell ref="R170:R179"/>
    <mergeCell ref="S170:S179"/>
    <mergeCell ref="U170:U179"/>
    <mergeCell ref="P185:P194"/>
    <mergeCell ref="Q185:Q194"/>
    <mergeCell ref="R185:R194"/>
    <mergeCell ref="S185:S194"/>
    <mergeCell ref="U185:U194"/>
    <mergeCell ref="W185:W194"/>
    <mergeCell ref="AL170:AL179"/>
    <mergeCell ref="G183:S183"/>
    <mergeCell ref="T183:AH183"/>
    <mergeCell ref="G185:G194"/>
    <mergeCell ref="H185:H194"/>
    <mergeCell ref="I185:I194"/>
    <mergeCell ref="K185:K194"/>
    <mergeCell ref="M185:M194"/>
    <mergeCell ref="N185:N194"/>
    <mergeCell ref="O185:O194"/>
    <mergeCell ref="AF170:AF179"/>
    <mergeCell ref="AG170:AG179"/>
    <mergeCell ref="AH170:AH179"/>
    <mergeCell ref="AI170:AI179"/>
    <mergeCell ref="AJ170:AJ179"/>
    <mergeCell ref="AK170:AK179"/>
    <mergeCell ref="W170:W179"/>
    <mergeCell ref="Y170:Y179"/>
    <mergeCell ref="AG185:AG194"/>
    <mergeCell ref="AH185:AH194"/>
    <mergeCell ref="AI185:AI194"/>
    <mergeCell ref="AJ185:AJ194"/>
    <mergeCell ref="AK185:AK194"/>
    <mergeCell ref="AL185:AL194"/>
    <mergeCell ref="Y185:Y194"/>
    <mergeCell ref="AA185:AA194"/>
    <mergeCell ref="AC185:AC194"/>
    <mergeCell ref="AD185:AD194"/>
    <mergeCell ref="AE185:AE194"/>
    <mergeCell ref="AF185:AF19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Joan Ribot Oliver</cp:lastModifiedBy>
  <cp:revision/>
  <dcterms:created xsi:type="dcterms:W3CDTF">2023-02-24T09:33:10Z</dcterms:created>
  <dcterms:modified xsi:type="dcterms:W3CDTF">2023-03-02T11:49:22Z</dcterms:modified>
  <cp:category/>
  <cp:contentStatus/>
</cp:coreProperties>
</file>