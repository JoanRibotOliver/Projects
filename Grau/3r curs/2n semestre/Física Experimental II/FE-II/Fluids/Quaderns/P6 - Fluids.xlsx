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bes-my.sharepoint.com/personal/jro754_id_uib_eu/Documents/"/>
    </mc:Choice>
  </mc:AlternateContent>
  <xr:revisionPtr revIDLastSave="957" documentId="8_{B9DEBE56-F1FE-D340-A7EC-EA28FE07CE86}" xr6:coauthVersionLast="47" xr6:coauthVersionMax="47" xr10:uidLastSave="{AAE67A2F-2C7D-3443-87A4-A8629FFC2917}"/>
  <bookViews>
    <workbookView xWindow="0" yWindow="500" windowWidth="28800" windowHeight="16340" activeTab="1" xr2:uid="{C3FCE9D3-5DEE-AE42-B7B3-FE4855618713}"/>
  </bookViews>
  <sheets>
    <sheet name="Sheet1" sheetId="1" r:id="rId1"/>
    <sheet name="Hoja1" sheetId="2" r:id="rId2"/>
    <sheet name="Hoja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2" l="1"/>
  <c r="I12" i="2"/>
  <c r="K12" i="2"/>
  <c r="K34" i="2"/>
  <c r="H35" i="2"/>
  <c r="J35" i="2"/>
  <c r="J34" i="2"/>
  <c r="H12" i="2"/>
  <c r="H13" i="2"/>
  <c r="J17" i="2"/>
  <c r="I34" i="2"/>
  <c r="F35" i="2"/>
  <c r="H36" i="2"/>
  <c r="H37" i="2"/>
  <c r="H38" i="2"/>
  <c r="H39" i="2"/>
  <c r="H40" i="2"/>
  <c r="H41" i="2"/>
  <c r="H42" i="2"/>
  <c r="H43" i="2"/>
  <c r="H44" i="2"/>
  <c r="H34" i="2"/>
  <c r="H14" i="2"/>
  <c r="H15" i="2"/>
  <c r="H16" i="2"/>
  <c r="H17" i="2"/>
  <c r="H18" i="2"/>
  <c r="H19" i="2"/>
  <c r="H20" i="2"/>
  <c r="H21" i="2"/>
  <c r="H22" i="2"/>
  <c r="F36" i="2"/>
  <c r="F34" i="2"/>
  <c r="C44" i="2"/>
  <c r="C43" i="2"/>
  <c r="C42" i="2"/>
  <c r="C41" i="2"/>
  <c r="F41" i="2" s="1"/>
  <c r="C40" i="2"/>
  <c r="C39" i="2"/>
  <c r="C38" i="2"/>
  <c r="C37" i="2"/>
  <c r="I37" i="2" s="1"/>
  <c r="K44" i="2"/>
  <c r="J44" i="2"/>
  <c r="I44" i="2"/>
  <c r="F44" i="2"/>
  <c r="E44" i="2"/>
  <c r="K43" i="2"/>
  <c r="J43" i="2"/>
  <c r="I43" i="2"/>
  <c r="F43" i="2"/>
  <c r="E43" i="2"/>
  <c r="K42" i="2"/>
  <c r="J42" i="2"/>
  <c r="I42" i="2"/>
  <c r="F42" i="2"/>
  <c r="E42" i="2"/>
  <c r="K41" i="2"/>
  <c r="J41" i="2"/>
  <c r="I41" i="2"/>
  <c r="E41" i="2"/>
  <c r="K40" i="2"/>
  <c r="J40" i="2"/>
  <c r="I40" i="2"/>
  <c r="F40" i="2"/>
  <c r="E40" i="2"/>
  <c r="K39" i="2"/>
  <c r="J39" i="2"/>
  <c r="I39" i="2"/>
  <c r="F39" i="2"/>
  <c r="E39" i="2"/>
  <c r="K38" i="2"/>
  <c r="J38" i="2"/>
  <c r="I38" i="2"/>
  <c r="F38" i="2"/>
  <c r="E38" i="2"/>
  <c r="K37" i="2"/>
  <c r="J37" i="2"/>
  <c r="E37" i="2"/>
  <c r="K36" i="2"/>
  <c r="J36" i="2"/>
  <c r="I36" i="2"/>
  <c r="E36" i="2"/>
  <c r="K35" i="2"/>
  <c r="I35" i="2"/>
  <c r="E35" i="2"/>
  <c r="K13" i="2"/>
  <c r="K14" i="2"/>
  <c r="K15" i="2"/>
  <c r="K16" i="2"/>
  <c r="K17" i="2"/>
  <c r="K18" i="2"/>
  <c r="K19" i="2"/>
  <c r="K20" i="2"/>
  <c r="K21" i="2"/>
  <c r="K22" i="2"/>
  <c r="I14" i="2"/>
  <c r="I15" i="2"/>
  <c r="I16" i="2"/>
  <c r="I17" i="2"/>
  <c r="I18" i="2"/>
  <c r="I19" i="2"/>
  <c r="I20" i="2"/>
  <c r="I21" i="2"/>
  <c r="I22" i="2"/>
  <c r="I13" i="2"/>
  <c r="E13" i="2"/>
  <c r="F12" i="2"/>
  <c r="J22" i="2"/>
  <c r="J21" i="2"/>
  <c r="J13" i="2"/>
  <c r="J14" i="2"/>
  <c r="J15" i="2"/>
  <c r="J16" i="2"/>
  <c r="J18" i="2"/>
  <c r="J19" i="2"/>
  <c r="J20" i="2"/>
  <c r="J12" i="2"/>
  <c r="Y12" i="1"/>
  <c r="F13" i="2"/>
  <c r="V12" i="1"/>
  <c r="F14" i="2"/>
  <c r="F15" i="2"/>
  <c r="F16" i="2"/>
  <c r="F17" i="2"/>
  <c r="F18" i="2"/>
  <c r="F19" i="2"/>
  <c r="F20" i="2"/>
  <c r="F21" i="2"/>
  <c r="F22" i="2"/>
  <c r="E22" i="2"/>
  <c r="E21" i="2"/>
  <c r="E20" i="2"/>
  <c r="E19" i="2"/>
  <c r="E18" i="2"/>
  <c r="E17" i="2"/>
  <c r="E16" i="2"/>
  <c r="E15" i="2"/>
  <c r="E14" i="2"/>
  <c r="T13" i="1"/>
  <c r="S13" i="1"/>
  <c r="R13" i="1"/>
  <c r="R12" i="1"/>
  <c r="P14" i="1"/>
  <c r="P15" i="1"/>
  <c r="P16" i="1"/>
  <c r="P17" i="1"/>
  <c r="R17" i="1" s="1"/>
  <c r="V17" i="1" s="1"/>
  <c r="W17" i="1" s="1"/>
  <c r="P18" i="1"/>
  <c r="P19" i="1"/>
  <c r="P20" i="1"/>
  <c r="P21" i="1"/>
  <c r="P22" i="1"/>
  <c r="P13" i="1"/>
  <c r="V13" i="1" s="1"/>
  <c r="W13" i="1" s="1"/>
  <c r="V47" i="1"/>
  <c r="W48" i="1"/>
  <c r="W49" i="1"/>
  <c r="W50" i="1"/>
  <c r="W51" i="1"/>
  <c r="W52" i="1"/>
  <c r="W53" i="1"/>
  <c r="W54" i="1"/>
  <c r="W55" i="1"/>
  <c r="W56" i="1"/>
  <c r="W57" i="1"/>
  <c r="W47" i="1"/>
  <c r="W20" i="1"/>
  <c r="W12" i="1"/>
  <c r="Y20" i="1"/>
  <c r="Y21" i="1"/>
  <c r="AC21" i="1" s="1"/>
  <c r="Y22" i="1"/>
  <c r="Y19" i="1"/>
  <c r="Y53" i="1"/>
  <c r="Y52" i="1"/>
  <c r="AC47" i="1"/>
  <c r="Y47" i="1"/>
  <c r="J48" i="1"/>
  <c r="J49" i="1"/>
  <c r="Y49" i="1" s="1"/>
  <c r="AC49" i="1" s="1"/>
  <c r="J50" i="1"/>
  <c r="J51" i="1"/>
  <c r="J52" i="1"/>
  <c r="AC52" i="1" s="1"/>
  <c r="J53" i="1"/>
  <c r="AC53" i="1" s="1"/>
  <c r="J54" i="1"/>
  <c r="Y54" i="1" s="1"/>
  <c r="AC54" i="1" s="1"/>
  <c r="J55" i="1"/>
  <c r="J56" i="1"/>
  <c r="J57" i="1"/>
  <c r="J47" i="1"/>
  <c r="V57" i="1"/>
  <c r="V56" i="1"/>
  <c r="V55" i="1"/>
  <c r="V54" i="1"/>
  <c r="V53" i="1"/>
  <c r="V52" i="1"/>
  <c r="V51" i="1"/>
  <c r="V50" i="1"/>
  <c r="V49" i="1"/>
  <c r="V48" i="1"/>
  <c r="AC12" i="1"/>
  <c r="S12" i="1"/>
  <c r="AB12" i="1"/>
  <c r="J13" i="1"/>
  <c r="J14" i="1"/>
  <c r="J15" i="1"/>
  <c r="J16" i="1"/>
  <c r="J17" i="1"/>
  <c r="Y17" i="1" s="1"/>
  <c r="AC17" i="1" s="1"/>
  <c r="J18" i="1"/>
  <c r="Y18" i="1" s="1"/>
  <c r="AC18" i="1" s="1"/>
  <c r="J19" i="1"/>
  <c r="AC19" i="1" s="1"/>
  <c r="J20" i="1"/>
  <c r="J21" i="1"/>
  <c r="J22" i="1"/>
  <c r="J12" i="1"/>
  <c r="T56" i="1"/>
  <c r="T57" i="1"/>
  <c r="T48" i="1"/>
  <c r="T49" i="1"/>
  <c r="T50" i="1"/>
  <c r="T51" i="1"/>
  <c r="T52" i="1"/>
  <c r="T53" i="1"/>
  <c r="T54" i="1"/>
  <c r="T55" i="1"/>
  <c r="T47" i="1"/>
  <c r="P47" i="1"/>
  <c r="R47" i="1" s="1"/>
  <c r="O51" i="1"/>
  <c r="O52" i="1"/>
  <c r="O53" i="1"/>
  <c r="O54" i="1"/>
  <c r="O55" i="1"/>
  <c r="O56" i="1"/>
  <c r="O57" i="1"/>
  <c r="O50" i="1"/>
  <c r="Y13" i="1"/>
  <c r="AC13" i="1" s="1"/>
  <c r="Y15" i="1"/>
  <c r="AC15" i="1" s="1"/>
  <c r="Y16" i="1"/>
  <c r="AC16" i="1" s="1"/>
  <c r="AC22" i="1"/>
  <c r="P57" i="1"/>
  <c r="L57" i="1"/>
  <c r="Y57" i="1"/>
  <c r="AC57" i="1" s="1"/>
  <c r="P56" i="1"/>
  <c r="L56" i="1"/>
  <c r="Y56" i="1"/>
  <c r="AC56" i="1" s="1"/>
  <c r="P55" i="1"/>
  <c r="L55" i="1"/>
  <c r="Y55" i="1"/>
  <c r="AC55" i="1" s="1"/>
  <c r="P54" i="1"/>
  <c r="R54" i="1" s="1"/>
  <c r="L54" i="1"/>
  <c r="P53" i="1"/>
  <c r="R53" i="1" s="1"/>
  <c r="S53" i="1" s="1"/>
  <c r="L53" i="1"/>
  <c r="P52" i="1"/>
  <c r="R52" i="1" s="1"/>
  <c r="L52" i="1"/>
  <c r="P51" i="1"/>
  <c r="R51" i="1" s="1"/>
  <c r="L51" i="1"/>
  <c r="Y51" i="1"/>
  <c r="AC51" i="1" s="1"/>
  <c r="P50" i="1"/>
  <c r="R50" i="1" s="1"/>
  <c r="S50" i="1" s="1"/>
  <c r="L50" i="1"/>
  <c r="Y50" i="1"/>
  <c r="AC50" i="1" s="1"/>
  <c r="P49" i="1"/>
  <c r="R49" i="1" s="1"/>
  <c r="L49" i="1"/>
  <c r="P48" i="1"/>
  <c r="R48" i="1" s="1"/>
  <c r="L48" i="1"/>
  <c r="Y48" i="1"/>
  <c r="AC48" i="1" s="1"/>
  <c r="L47" i="1"/>
  <c r="T14" i="1"/>
  <c r="T15" i="1"/>
  <c r="T16" i="1"/>
  <c r="T17" i="1"/>
  <c r="T18" i="1"/>
  <c r="T19" i="1"/>
  <c r="T20" i="1"/>
  <c r="T21" i="1"/>
  <c r="T22" i="1"/>
  <c r="T12" i="1"/>
  <c r="R14" i="1"/>
  <c r="V14" i="1" s="1"/>
  <c r="W14" i="1" s="1"/>
  <c r="R15" i="1"/>
  <c r="V15" i="1" s="1"/>
  <c r="W15" i="1" s="1"/>
  <c r="R20" i="1"/>
  <c r="V20" i="1" s="1"/>
  <c r="R21" i="1"/>
  <c r="V21" i="1" s="1"/>
  <c r="W21" i="1" s="1"/>
  <c r="R22" i="1"/>
  <c r="V22" i="1" s="1"/>
  <c r="W22" i="1" s="1"/>
  <c r="R16" i="1"/>
  <c r="V16" i="1" s="1"/>
  <c r="W16" i="1" s="1"/>
  <c r="R18" i="1"/>
  <c r="V18" i="1" s="1"/>
  <c r="W18" i="1" s="1"/>
  <c r="R19" i="1"/>
  <c r="V19" i="1" s="1"/>
  <c r="W19" i="1" s="1"/>
  <c r="Y14" i="1"/>
  <c r="AC14" i="1" s="1"/>
  <c r="L13" i="1"/>
  <c r="L14" i="1"/>
  <c r="L15" i="1"/>
  <c r="L16" i="1"/>
  <c r="L17" i="1"/>
  <c r="L18" i="1"/>
  <c r="L19" i="1"/>
  <c r="L20" i="1"/>
  <c r="L21" i="1"/>
  <c r="L22" i="1"/>
  <c r="L12" i="1"/>
  <c r="F37" i="2" l="1"/>
  <c r="AC20" i="1"/>
  <c r="S22" i="1"/>
  <c r="S21" i="1"/>
  <c r="S20" i="1"/>
  <c r="S19" i="1"/>
  <c r="S18" i="1"/>
  <c r="S17" i="1"/>
  <c r="S16" i="1"/>
  <c r="S15" i="1"/>
  <c r="S14" i="1"/>
  <c r="S48" i="1"/>
  <c r="S49" i="1"/>
  <c r="S51" i="1"/>
  <c r="S54" i="1"/>
  <c r="S52" i="1"/>
  <c r="S47" i="1"/>
  <c r="R56" i="1"/>
  <c r="R57" i="1"/>
  <c r="R55" i="1"/>
  <c r="S55" i="1" l="1"/>
  <c r="S57" i="1"/>
  <c r="S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tc={51D0DD6B-B2EF-8D4D-BECB-43387F4A5DFF}</author>
    <author>tc={36460CBD-9D80-7A4D-ADA8-94DAF1D1B5EC}</author>
    <author>tc={26E982CB-13EC-924E-BB64-D27FD46527B3}</author>
    <author>tc={1ACBFFA7-A5C3-ED4D-A8CB-04BA2BD6F467}</author>
  </authors>
  <commentList>
    <comment ref="D11" authorId="0" shapeId="0" xr:uid="{51D0DD6B-B2EF-8D4D-BECB-43387F4A5D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 que afegim és aquest, que se troba en un 96%… Es que és concentració 100% n’hi ha d’haver manco!
</t>
      </text>
    </comment>
    <comment ref="E11" authorId="1" shapeId="0" xr:uid="{36460CBD-9D80-7A4D-ADA8-94DAF1D1B5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Volumen que añadimos
</t>
      </text>
    </comment>
    <comment ref="D33" authorId="2" shapeId="0" xr:uid="{26E982CB-13EC-924E-BB64-D27FD46527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Volumen que añadimos
</t>
      </text>
    </comment>
    <comment ref="R39" authorId="3" shapeId="0" xr:uid="{1ACBFFA7-A5C3-ED4D-A8CB-04BA2BD6F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Preguntar a marta.
En caso de tener que quitar algún punto, quito la fila correspondiente en el csv y ya está</t>
      </text>
    </comment>
  </commentList>
</comments>
</file>

<file path=xl/sharedStrings.xml><?xml version="1.0" encoding="utf-8"?>
<sst xmlns="http://schemas.openxmlformats.org/spreadsheetml/2006/main" count="178" uniqueCount="128">
  <si>
    <t>Pràctica 6 - Tensió superficial</t>
  </si>
  <si>
    <t>Taula d'incerteses i precisions instrumentals</t>
  </si>
  <si>
    <t>Taula concentracions</t>
  </si>
  <si>
    <t>C2H6O</t>
  </si>
  <si>
    <t>σ_0 H20 destilada a 20ºC</t>
  </si>
  <si>
    <t>Dinamòmetre (mN)</t>
  </si>
  <si>
    <t>Temperatura (ºC)</t>
  </si>
  <si>
    <t>Volum (ml)</t>
  </si>
  <si>
    <t>Molaritat</t>
  </si>
  <si>
    <t>mol/L</t>
  </si>
  <si>
    <t>densitat</t>
  </si>
  <si>
    <t>0,789 g/mL</t>
  </si>
  <si>
    <t>1 din = 10^-5 N</t>
  </si>
  <si>
    <t>72,8 dines/cm</t>
  </si>
  <si>
    <t>x</t>
  </si>
  <si>
    <t>ojo incertesa volum…</t>
  </si>
  <si>
    <t>Molalitat</t>
  </si>
  <si>
    <t>mol/kg</t>
  </si>
  <si>
    <t>72,8*10^-5 N/cm</t>
  </si>
  <si>
    <t>massa molar</t>
  </si>
  <si>
    <t>1 mol = 46 g</t>
  </si>
  <si>
    <t>ho vaig cercar per internet… comparar amb el mesurat amb h2o destilada</t>
  </si>
  <si>
    <t>PER H2O</t>
  </si>
  <si>
    <t>VOLUM A AFEGIR</t>
  </si>
  <si>
    <t>Afegir cada pic</t>
  </si>
  <si>
    <t>20 mL = 15,78 g</t>
  </si>
  <si>
    <t>purs… no del 96 %</t>
  </si>
  <si>
    <t>(pi-po)*PI()*R^2</t>
  </si>
  <si>
    <t>FER AJUST LINEAL PER TROBAR ALPHA I BETA</t>
  </si>
  <si>
    <t>ALPHA?</t>
  </si>
  <si>
    <t>BETA?</t>
  </si>
  <si>
    <t xml:space="preserve">incertesa </t>
  </si>
  <si>
    <t>0,1 mN</t>
  </si>
  <si>
    <t>F (mN)</t>
  </si>
  <si>
    <t>Força (N)</t>
  </si>
  <si>
    <t>T (K)</t>
  </si>
  <si>
    <t>Cas</t>
  </si>
  <si>
    <t>V_H20 (ml)</t>
  </si>
  <si>
    <t>V_alch 96% (ml)</t>
  </si>
  <si>
    <t>V_C2H6O PUR (ml)</t>
  </si>
  <si>
    <t>V_total (ml)</t>
  </si>
  <si>
    <t>Concentració C2H6O (M)</t>
  </si>
  <si>
    <t>mols totals</t>
  </si>
  <si>
    <t>% en volum</t>
  </si>
  <si>
    <t>Tensió superficial (σ_F)</t>
  </si>
  <si>
    <t>Tensió superficial (σ_p)</t>
  </si>
  <si>
    <t>σ_0 H2O</t>
  </si>
  <si>
    <t>σ_0 - σ = a log (1+bc)</t>
  </si>
  <si>
    <t>comentaris maarta:</t>
  </si>
  <si>
    <t>200 ml H2O</t>
  </si>
  <si>
    <t>CH3CH2OH =</t>
  </si>
  <si>
    <t>rang per alpha i per beta</t>
  </si>
  <si>
    <t>aprox monte carlo</t>
  </si>
  <si>
    <t>afegir etanol +20 ml cada vegada</t>
  </si>
  <si>
    <t>representar i comprovar</t>
  </si>
  <si>
    <t>fins 10 vegades; 200 ml C2H6O</t>
  </si>
  <si>
    <t>escollir pics de les distribucions</t>
  </si>
  <si>
    <t>Repetir procés però començant amb 200 ml C2H6O</t>
  </si>
  <si>
    <t>boost trap</t>
  </si>
  <si>
    <t>anar afegint + 20 ml H2O</t>
  </si>
  <si>
    <t>17,83 percentil</t>
  </si>
  <si>
    <t>FINS 200 ML H2O??? Ò JUST 1 PIC ?</t>
  </si>
  <si>
    <t>CALCULAR concentracio etanol</t>
  </si>
  <si>
    <t>OJO! Alcohol 96% … no 100%</t>
  </si>
  <si>
    <t>PER C2H6O</t>
  </si>
  <si>
    <t>H2O</t>
  </si>
  <si>
    <t>Concentració H2O (M)</t>
  </si>
  <si>
    <t>72,8*10^-3</t>
  </si>
  <si>
    <t>F Vs. C</t>
  </si>
  <si>
    <t>hauria de ser logaritmic idò…</t>
  </si>
  <si>
    <t>DESCARTAR ELS DOS PUNTS???</t>
  </si>
  <si>
    <t>POSAR INCERETSES… SERAN GROSSES</t>
  </si>
  <si>
    <t>% en volum d'etanol</t>
  </si>
  <si>
    <t>R anillo (mm)</t>
  </si>
  <si>
    <t>V H20 (±2 ml)</t>
  </si>
  <si>
    <t>V_C2H6O PUR (± 2ml)</t>
  </si>
  <si>
    <t>V_alch 96% (±2 ml)</t>
  </si>
  <si>
    <t>Error V H2O (ml)</t>
  </si>
  <si>
    <t>Error V C2H6O PUR (ml)</t>
  </si>
  <si>
    <t>σ_F (N/m)</t>
  </si>
  <si>
    <t>Error σ_F (N/m)</t>
  </si>
  <si>
    <t>F (±0,1 mN)</t>
  </si>
  <si>
    <t>Error F (mN)</t>
  </si>
  <si>
    <t>PER ALCOHOL</t>
  </si>
  <si>
    <t>X</t>
  </si>
  <si>
    <t>Y</t>
  </si>
  <si>
    <t>Conc. en volum</t>
  </si>
  <si>
    <t>Error Conc. en volum</t>
  </si>
  <si>
    <t>Error X</t>
  </si>
  <si>
    <t>Error Y</t>
  </si>
  <si>
    <t>Concentración en volumen</t>
  </si>
  <si>
    <t>Nota</t>
  </si>
  <si>
    <t>RESULTADOS</t>
  </si>
  <si>
    <t>Sigma_0 (N/m)</t>
  </si>
  <si>
    <t>Error Sigma_0 (N/m)</t>
  </si>
  <si>
    <t>Alfa (N/m)</t>
  </si>
  <si>
    <t>Error alfa (N/m)</t>
  </si>
  <si>
    <t>Beta</t>
  </si>
  <si>
    <t>Error beta</t>
  </si>
  <si>
    <t>FICAR TAULA A APÈNDIX</t>
  </si>
  <si>
    <t>0,00 ± 0,01</t>
  </si>
  <si>
    <t>0,087 ± 0,009</t>
  </si>
  <si>
    <t>0,160 ± 0,008</t>
  </si>
  <si>
    <t>0,222 ± 0,007</t>
  </si>
  <si>
    <t>0,320 ± 0,006</t>
  </si>
  <si>
    <t>0,360 ± 0,006</t>
  </si>
  <si>
    <t>0,395 ± 0,006</t>
  </si>
  <si>
    <t>0,427 ± 0,005</t>
  </si>
  <si>
    <t>0,455 ± 0,005</t>
  </si>
  <si>
    <t>0,480 ± 0,005</t>
  </si>
  <si>
    <t>σ_F (± 0,8 mN/m)</t>
  </si>
  <si>
    <t>TAULA 1 PER L'APÈNDIX</t>
  </si>
  <si>
    <t>Etanol (±2,0 ml) [200 ml aigua]</t>
  </si>
  <si>
    <t>0,274 ± 0,007</t>
  </si>
  <si>
    <t>TAULA 2 PER L'APÈNDIX</t>
  </si>
  <si>
    <t>Aigua (±2,0 ml)</t>
  </si>
  <si>
    <t>1,00 ± 0,01</t>
  </si>
  <si>
    <t>0,873 ± 0,009</t>
  </si>
  <si>
    <t>0,800 ± 0,008</t>
  </si>
  <si>
    <t>0,738 ± 0,007</t>
  </si>
  <si>
    <t>0,686 ± 0,007</t>
  </si>
  <si>
    <t>0,640 ± 0,006</t>
  </si>
  <si>
    <t>0,600 ± 0,006</t>
  </si>
  <si>
    <t>0,565 ± 0,006</t>
  </si>
  <si>
    <t>0,533 ± 0,005</t>
  </si>
  <si>
    <t>0,505 ± 0,005</t>
  </si>
  <si>
    <t>REPASSAR… ESTÀ EN ML I HAURIA D'ESTAR EN SI?</t>
  </si>
  <si>
    <t>és lo mateix…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</si>
</sst>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Calibri Light"/>
      <family val="2"/>
      <scheme val="major"/>
    </font>
    <font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4" borderId="0" xfId="0" applyFill="1"/>
    <xf numFmtId="0" fontId="1" fillId="4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0" xfId="0" applyFill="1"/>
    <xf numFmtId="2" fontId="2" fillId="0" borderId="0" xfId="0" applyNumberFormat="1" applyFo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Tensió Vs. Concentració.</a:t>
            </a:r>
            <a:r>
              <a:rPr lang="en-US" baseline="0"/>
              <a:t> H20 dominant...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Tensió Vs. Concentració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forward val="15"/>
            <c:dispRSqr val="1"/>
            <c:dispEq val="1"/>
            <c:trendlineLbl>
              <c:layout>
                <c:manualLayout>
                  <c:x val="-0.1023688922446338"/>
                  <c:y val="0.106746864975211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ES"/>
                </a:p>
              </c:txPr>
            </c:trendlineLbl>
          </c:trendline>
          <c:xVal>
            <c:numRef>
              <c:f>Sheet1!$V$12:$V$22</c:f>
              <c:numCache>
                <c:formatCode>General</c:formatCode>
                <c:ptCount val="11"/>
                <c:pt idx="0">
                  <c:v>0</c:v>
                </c:pt>
                <c:pt idx="1">
                  <c:v>9.1240875912408761</c:v>
                </c:pt>
                <c:pt idx="2">
                  <c:v>16.778523489932887</c:v>
                </c:pt>
                <c:pt idx="3">
                  <c:v>23.291925465838506</c:v>
                </c:pt>
                <c:pt idx="4">
                  <c:v>28.901734104046241</c:v>
                </c:pt>
                <c:pt idx="5">
                  <c:v>33.783783783783782</c:v>
                </c:pt>
                <c:pt idx="6">
                  <c:v>38.071065989847718</c:v>
                </c:pt>
                <c:pt idx="7">
                  <c:v>41.866028708133975</c:v>
                </c:pt>
                <c:pt idx="8">
                  <c:v>45.248868778280539</c:v>
                </c:pt>
                <c:pt idx="9">
                  <c:v>48.283261802575112</c:v>
                </c:pt>
                <c:pt idx="10">
                  <c:v>51.020408163265309</c:v>
                </c:pt>
              </c:numCache>
            </c:numRef>
          </c:xVal>
          <c:yVal>
            <c:numRef>
              <c:f>Sheet1!$Y$12:$Y$22</c:f>
              <c:numCache>
                <c:formatCode>General</c:formatCode>
                <c:ptCount val="11"/>
                <c:pt idx="0">
                  <c:v>4.0499999999999998E-3</c:v>
                </c:pt>
                <c:pt idx="1">
                  <c:v>3.65E-3</c:v>
                </c:pt>
                <c:pt idx="2">
                  <c:v>3.2000000000000002E-3</c:v>
                </c:pt>
                <c:pt idx="3">
                  <c:v>3.0000000000000001E-3</c:v>
                </c:pt>
                <c:pt idx="4">
                  <c:v>2.8999999999999998E-3</c:v>
                </c:pt>
                <c:pt idx="5">
                  <c:v>2.8E-3</c:v>
                </c:pt>
                <c:pt idx="6">
                  <c:v>2.65E-3</c:v>
                </c:pt>
                <c:pt idx="7">
                  <c:v>2.5000000000000001E-3</c:v>
                </c:pt>
                <c:pt idx="8">
                  <c:v>2.5499999999999997E-3</c:v>
                </c:pt>
                <c:pt idx="9">
                  <c:v>2.5499999999999997E-3</c:v>
                </c:pt>
                <c:pt idx="10">
                  <c:v>2.5499999999999997E-3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96-9847-B803-70D59586F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256255"/>
        <c:axId val="1422674111"/>
      </c:scatterChart>
      <c:valAx>
        <c:axId val="1422256255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(v/v)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422674111"/>
        <c:crosses val="autoZero"/>
        <c:crossBetween val="midCat"/>
      </c:valAx>
      <c:valAx>
        <c:axId val="142267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42225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Tensió Vs. Concentració.</a:t>
            </a:r>
            <a:r>
              <a:rPr lang="en-US" baseline="0"/>
              <a:t> Etanol dominant...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5.0665516125552798E-3"/>
                  <c:y val="0.101061533974919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ES"/>
                </a:p>
              </c:txPr>
            </c:trendlineLbl>
          </c:trendline>
          <c:xVal>
            <c:numRef>
              <c:f>Sheet1!$V$47:$V$57</c:f>
              <c:numCache>
                <c:formatCode>General</c:formatCode>
                <c:ptCount val="11"/>
                <c:pt idx="0">
                  <c:v>96</c:v>
                </c:pt>
                <c:pt idx="1">
                  <c:v>87.591240875912405</c:v>
                </c:pt>
                <c:pt idx="2">
                  <c:v>80.536912751677846</c:v>
                </c:pt>
                <c:pt idx="3">
                  <c:v>74.534161490683218</c:v>
                </c:pt>
                <c:pt idx="4">
                  <c:v>69.364161849710968</c:v>
                </c:pt>
                <c:pt idx="5">
                  <c:v>64.864864864864856</c:v>
                </c:pt>
                <c:pt idx="6">
                  <c:v>60.913705583756339</c:v>
                </c:pt>
                <c:pt idx="7">
                  <c:v>57.416267942583723</c:v>
                </c:pt>
                <c:pt idx="8">
                  <c:v>54.298642533936651</c:v>
                </c:pt>
                <c:pt idx="9">
                  <c:v>51.502145922746777</c:v>
                </c:pt>
                <c:pt idx="10">
                  <c:v>48.979591836734684</c:v>
                </c:pt>
              </c:numCache>
            </c:numRef>
          </c:xVal>
          <c:yVal>
            <c:numRef>
              <c:f>Sheet1!$Y$47:$Y$57</c:f>
              <c:numCache>
                <c:formatCode>General</c:formatCode>
                <c:ptCount val="11"/>
                <c:pt idx="0">
                  <c:v>2E-3</c:v>
                </c:pt>
                <c:pt idx="1">
                  <c:v>2.0499999999999997E-3</c:v>
                </c:pt>
                <c:pt idx="2">
                  <c:v>2.15E-3</c:v>
                </c:pt>
                <c:pt idx="3">
                  <c:v>2.2499999999999998E-3</c:v>
                </c:pt>
                <c:pt idx="4">
                  <c:v>2.3E-3</c:v>
                </c:pt>
                <c:pt idx="5">
                  <c:v>2.5999999999999999E-3</c:v>
                </c:pt>
                <c:pt idx="6">
                  <c:v>2.65E-3</c:v>
                </c:pt>
                <c:pt idx="7">
                  <c:v>2.4500000000000004E-3</c:v>
                </c:pt>
                <c:pt idx="8">
                  <c:v>2.5000000000000001E-3</c:v>
                </c:pt>
                <c:pt idx="9">
                  <c:v>2.5499999999999997E-3</c:v>
                </c:pt>
                <c:pt idx="10">
                  <c:v>2.5999999999999999E-3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Tensió Vs. Concentració</c:v>
                </c15:tx>
              </c15:filteredSeriesTitle>
            </c:ext>
            <c:ext xmlns:c16="http://schemas.microsoft.com/office/drawing/2014/chart" uri="{C3380CC4-5D6E-409C-BE32-E72D297353CC}">
              <c16:uniqueId val="{00000000-9A5F-6341-922B-A61D9A468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256255"/>
        <c:axId val="1422674111"/>
      </c:scatterChart>
      <c:valAx>
        <c:axId val="1422256255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(v/v)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422674111"/>
        <c:crosses val="autoZero"/>
        <c:crossBetween val="midCat"/>
      </c:valAx>
      <c:valAx>
        <c:axId val="1422674111"/>
        <c:scaling>
          <c:orientation val="minMax"/>
          <c:max val="4.0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42225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Tensió Vs. Concentració.</a:t>
            </a:r>
            <a:r>
              <a:rPr lang="en-US" baseline="0"/>
              <a:t> Etanol dominant...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forward val="10"/>
            <c:backward val="10"/>
            <c:dispRSqr val="1"/>
            <c:dispEq val="1"/>
            <c:trendlineLbl>
              <c:layout>
                <c:manualLayout>
                  <c:x val="-2.9704023298457557E-2"/>
                  <c:y val="0.18486366287547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ES"/>
                </a:p>
              </c:txPr>
            </c:trendlineLbl>
          </c:trendline>
          <c:xVal>
            <c:numRef>
              <c:f>Sheet1!$W$47:$W$57</c:f>
              <c:numCache>
                <c:formatCode>General</c:formatCode>
                <c:ptCount val="11"/>
                <c:pt idx="0">
                  <c:v>4</c:v>
                </c:pt>
                <c:pt idx="1">
                  <c:v>12.408759124087595</c:v>
                </c:pt>
                <c:pt idx="2">
                  <c:v>19.463087248322154</c:v>
                </c:pt>
                <c:pt idx="3">
                  <c:v>25.465838509316782</c:v>
                </c:pt>
                <c:pt idx="4">
                  <c:v>30.635838150289032</c:v>
                </c:pt>
                <c:pt idx="5">
                  <c:v>35.135135135135144</c:v>
                </c:pt>
                <c:pt idx="6">
                  <c:v>39.086294416243661</c:v>
                </c:pt>
                <c:pt idx="7">
                  <c:v>42.583732057416277</c:v>
                </c:pt>
                <c:pt idx="8">
                  <c:v>45.701357466063349</c:v>
                </c:pt>
                <c:pt idx="9">
                  <c:v>48.497854077253223</c:v>
                </c:pt>
                <c:pt idx="10">
                  <c:v>51.020408163265316</c:v>
                </c:pt>
              </c:numCache>
            </c:numRef>
          </c:xVal>
          <c:yVal>
            <c:numRef>
              <c:f>Sheet1!$Y$47:$Y$57</c:f>
              <c:numCache>
                <c:formatCode>General</c:formatCode>
                <c:ptCount val="11"/>
                <c:pt idx="0">
                  <c:v>2E-3</c:v>
                </c:pt>
                <c:pt idx="1">
                  <c:v>2.0499999999999997E-3</c:v>
                </c:pt>
                <c:pt idx="2">
                  <c:v>2.15E-3</c:v>
                </c:pt>
                <c:pt idx="3">
                  <c:v>2.2499999999999998E-3</c:v>
                </c:pt>
                <c:pt idx="4">
                  <c:v>2.3E-3</c:v>
                </c:pt>
                <c:pt idx="5">
                  <c:v>2.5999999999999999E-3</c:v>
                </c:pt>
                <c:pt idx="6">
                  <c:v>2.65E-3</c:v>
                </c:pt>
                <c:pt idx="7">
                  <c:v>2.4500000000000004E-3</c:v>
                </c:pt>
                <c:pt idx="8">
                  <c:v>2.5000000000000001E-3</c:v>
                </c:pt>
                <c:pt idx="9">
                  <c:v>2.5499999999999997E-3</c:v>
                </c:pt>
                <c:pt idx="10">
                  <c:v>2.5999999999999999E-3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3B-5245-9A17-BBC48E818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256255"/>
        <c:axId val="1422674111"/>
      </c:scatterChart>
      <c:valAx>
        <c:axId val="1422256255"/>
        <c:scaling>
          <c:orientation val="minMax"/>
          <c:max val="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(v/v)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422674111"/>
        <c:crosses val="autoZero"/>
        <c:crossBetween val="midCat"/>
      </c:valAx>
      <c:valAx>
        <c:axId val="1422674111"/>
        <c:scaling>
          <c:orientation val="minMax"/>
          <c:max val="4.0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42225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Tensió Vs. Concentració.</a:t>
            </a:r>
            <a:r>
              <a:rPr lang="en-US" baseline="0"/>
              <a:t> H20 dominant...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Tensió Vs. Concentració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forward val="15"/>
            <c:dispRSqr val="1"/>
            <c:dispEq val="1"/>
            <c:trendlineLbl>
              <c:layout>
                <c:manualLayout>
                  <c:x val="-8.722252184230396E-2"/>
                  <c:y val="0.221805555555555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ES"/>
                </a:p>
              </c:txPr>
            </c:trendlineLbl>
          </c:trendline>
          <c:xVal>
            <c:numRef>
              <c:f>Sheet1!$W$12:$W$22</c:f>
              <c:numCache>
                <c:formatCode>General</c:formatCode>
                <c:ptCount val="11"/>
                <c:pt idx="0">
                  <c:v>100</c:v>
                </c:pt>
                <c:pt idx="1">
                  <c:v>90.87591240875912</c:v>
                </c:pt>
                <c:pt idx="2">
                  <c:v>83.221476510067106</c:v>
                </c:pt>
                <c:pt idx="3">
                  <c:v>76.708074534161497</c:v>
                </c:pt>
                <c:pt idx="4">
                  <c:v>71.098265895953759</c:v>
                </c:pt>
                <c:pt idx="5">
                  <c:v>66.216216216216225</c:v>
                </c:pt>
                <c:pt idx="6">
                  <c:v>61.928934010152282</c:v>
                </c:pt>
                <c:pt idx="7">
                  <c:v>58.133971291866025</c:v>
                </c:pt>
                <c:pt idx="8">
                  <c:v>54.751131221719461</c:v>
                </c:pt>
                <c:pt idx="9">
                  <c:v>51.716738197424888</c:v>
                </c:pt>
                <c:pt idx="10">
                  <c:v>48.979591836734691</c:v>
                </c:pt>
              </c:numCache>
            </c:numRef>
          </c:xVal>
          <c:yVal>
            <c:numRef>
              <c:f>Sheet1!$Y$12:$Y$22</c:f>
              <c:numCache>
                <c:formatCode>General</c:formatCode>
                <c:ptCount val="11"/>
                <c:pt idx="0">
                  <c:v>4.0499999999999998E-3</c:v>
                </c:pt>
                <c:pt idx="1">
                  <c:v>3.65E-3</c:v>
                </c:pt>
                <c:pt idx="2">
                  <c:v>3.2000000000000002E-3</c:v>
                </c:pt>
                <c:pt idx="3">
                  <c:v>3.0000000000000001E-3</c:v>
                </c:pt>
                <c:pt idx="4">
                  <c:v>2.8999999999999998E-3</c:v>
                </c:pt>
                <c:pt idx="5">
                  <c:v>2.8E-3</c:v>
                </c:pt>
                <c:pt idx="6">
                  <c:v>2.65E-3</c:v>
                </c:pt>
                <c:pt idx="7">
                  <c:v>2.5000000000000001E-3</c:v>
                </c:pt>
                <c:pt idx="8">
                  <c:v>2.5499999999999997E-3</c:v>
                </c:pt>
                <c:pt idx="9">
                  <c:v>2.5499999999999997E-3</c:v>
                </c:pt>
                <c:pt idx="10">
                  <c:v>2.5499999999999997E-3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96-9847-B803-70D59586F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256255"/>
        <c:axId val="1422674111"/>
      </c:scatterChart>
      <c:valAx>
        <c:axId val="1422256255"/>
        <c:scaling>
          <c:orientation val="minMax"/>
          <c:max val="12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(v/v)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422674111"/>
        <c:crosses val="autoZero"/>
        <c:crossBetween val="midCat"/>
      </c:valAx>
      <c:valAx>
        <c:axId val="142267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42225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209550</xdr:colOff>
      <xdr:row>22</xdr:row>
      <xdr:rowOff>196850</xdr:rowOff>
    </xdr:from>
    <xdr:to>
      <xdr:col>24</xdr:col>
      <xdr:colOff>654050</xdr:colOff>
      <xdr:row>36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2A6E83-AE08-1D9D-6649-54F279F7D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990600</xdr:colOff>
      <xdr:row>28</xdr:row>
      <xdr:rowOff>152400</xdr:rowOff>
    </xdr:from>
    <xdr:to>
      <xdr:col>29</xdr:col>
      <xdr:colOff>50800</xdr:colOff>
      <xdr:row>42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D7808D-5641-3A48-8953-243AD48BB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59</xdr:row>
      <xdr:rowOff>0</xdr:rowOff>
    </xdr:from>
    <xdr:to>
      <xdr:col>25</xdr:col>
      <xdr:colOff>1397000</xdr:colOff>
      <xdr:row>72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50D8C6-F663-3B4F-B772-DDF1AD0DE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774700</xdr:colOff>
      <xdr:row>31</xdr:row>
      <xdr:rowOff>127000</xdr:rowOff>
    </xdr:from>
    <xdr:to>
      <xdr:col>18</xdr:col>
      <xdr:colOff>1778000</xdr:colOff>
      <xdr:row>45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04F6A7-1F97-E041-B0F4-A17605BC6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84666</xdr:colOff>
      <xdr:row>14</xdr:row>
      <xdr:rowOff>186266</xdr:rowOff>
    </xdr:from>
    <xdr:to>
      <xdr:col>22</xdr:col>
      <xdr:colOff>152400</xdr:colOff>
      <xdr:row>36</xdr:row>
      <xdr:rowOff>168673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EF7ED8D-BC0D-70A6-014F-166CC1415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40133" y="3031066"/>
          <a:ext cx="6451600" cy="447397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an Ribot Oliver" id="{B6F47958-64CC-DB49-9924-24F87A250EF7}" userId="S::jro754@id.uib.eu::d6ffbf2a-980c-4cf7-a9cb-3f49d0b22768" providerId="AD"/>
  <person displayName="Miguel Sánchez Oros" id="{C4214606-3C57-DA42-9D2C-90A913802A7E}" userId="S::mso330@id.uib.eu::8607087d-52df-4a24-a1a6-969573e67d6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1" dT="2023-06-10T07:13:20.49" personId="{B6F47958-64CC-DB49-9924-24F87A250EF7}" id="{51D0DD6B-B2EF-8D4D-BECB-43387F4A5DFF}">
    <text xml:space="preserve">Es que afegim és aquest, que se troba en un 96%… Es que és concentració 100% n’hi ha d’haver manco!
</text>
  </threadedComment>
  <threadedComment ref="E11" dT="2023-05-20T09:51:27.00" personId="{C4214606-3C57-DA42-9D2C-90A913802A7E}" id="{36460CBD-9D80-7A4D-ADA8-94DAF1D1B5EC}">
    <text xml:space="preserve">Volumen que añadimos
</text>
  </threadedComment>
  <threadedComment ref="D33" dT="2023-05-20T09:51:27.00" personId="{C4214606-3C57-DA42-9D2C-90A913802A7E}" id="{26E982CB-13EC-924E-BB64-D27FD46527B3}">
    <text xml:space="preserve">Volumen que añadimos
</text>
  </threadedComment>
  <threadedComment ref="R39" dT="2023-05-20T19:03:09.83" personId="{C4214606-3C57-DA42-9D2C-90A913802A7E}" id="{1ACBFFA7-A5C3-ED4D-A8CB-04BA2BD6F467}">
    <text>Preguntar a marta.
En caso de tener que quitar algún punto, quito la fila correspondiente en el csv y ya está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42727-9A01-6540-920D-268A6F783567}">
  <dimension ref="C3:AG57"/>
  <sheetViews>
    <sheetView topLeftCell="K6" zoomScale="89" workbookViewId="0">
      <selection activeCell="L39" sqref="L39"/>
    </sheetView>
  </sheetViews>
  <sheetFormatPr baseColWidth="10" defaultColWidth="11" defaultRowHeight="16" x14ac:dyDescent="0.2"/>
  <cols>
    <col min="10" max="10" width="17.5" customWidth="1"/>
    <col min="11" max="11" width="16" customWidth="1"/>
    <col min="14" max="14" width="10.83203125" customWidth="1"/>
    <col min="15" max="15" width="14.5" customWidth="1"/>
    <col min="16" max="16" width="16.1640625" customWidth="1"/>
    <col min="17" max="17" width="19" customWidth="1"/>
    <col min="18" max="18" width="12.5" customWidth="1"/>
    <col min="19" max="19" width="26.1640625" customWidth="1"/>
    <col min="25" max="25" width="20.5" customWidth="1"/>
    <col min="26" max="26" width="19.6640625" customWidth="1"/>
  </cols>
  <sheetData>
    <row r="3" spans="3:33" x14ac:dyDescent="0.2">
      <c r="C3" s="18" t="s">
        <v>0</v>
      </c>
      <c r="D3" s="18"/>
      <c r="E3" s="18"/>
      <c r="J3" t="s">
        <v>1</v>
      </c>
      <c r="S3" s="1" t="s">
        <v>2</v>
      </c>
      <c r="T3" s="1"/>
      <c r="V3" s="1"/>
      <c r="W3" s="1" t="s">
        <v>3</v>
      </c>
    </row>
    <row r="4" spans="3:33" x14ac:dyDescent="0.2">
      <c r="S4" s="1"/>
      <c r="T4" s="1"/>
      <c r="V4" s="1"/>
      <c r="W4" s="1"/>
      <c r="AA4" t="s">
        <v>4</v>
      </c>
    </row>
    <row r="5" spans="3:33" x14ac:dyDescent="0.2">
      <c r="J5" s="3" t="s">
        <v>5</v>
      </c>
      <c r="K5" s="3" t="s">
        <v>6</v>
      </c>
      <c r="L5" s="4" t="s">
        <v>7</v>
      </c>
      <c r="S5" s="1" t="s">
        <v>8</v>
      </c>
      <c r="T5" s="1" t="s">
        <v>9</v>
      </c>
      <c r="V5" t="s">
        <v>10</v>
      </c>
      <c r="W5" s="1" t="s">
        <v>11</v>
      </c>
      <c r="Z5" t="s">
        <v>12</v>
      </c>
      <c r="AA5" t="s">
        <v>13</v>
      </c>
    </row>
    <row r="6" spans="3:33" x14ac:dyDescent="0.2">
      <c r="J6" s="3">
        <v>0.1</v>
      </c>
      <c r="K6" s="3" t="s">
        <v>14</v>
      </c>
      <c r="L6" s="4"/>
      <c r="P6" t="s">
        <v>15</v>
      </c>
      <c r="S6" s="1" t="s">
        <v>16</v>
      </c>
      <c r="T6" s="1" t="s">
        <v>17</v>
      </c>
      <c r="AA6" t="s">
        <v>18</v>
      </c>
    </row>
    <row r="7" spans="3:33" x14ac:dyDescent="0.2">
      <c r="S7" s="1"/>
      <c r="T7" s="1"/>
      <c r="V7" t="s">
        <v>19</v>
      </c>
      <c r="W7" s="1" t="s">
        <v>20</v>
      </c>
      <c r="AA7" s="4" t="s">
        <v>21</v>
      </c>
    </row>
    <row r="8" spans="3:33" x14ac:dyDescent="0.2">
      <c r="S8" s="1"/>
      <c r="T8" s="1"/>
    </row>
    <row r="9" spans="3:33" x14ac:dyDescent="0.2">
      <c r="M9" s="5" t="s">
        <v>22</v>
      </c>
      <c r="P9" t="s">
        <v>23</v>
      </c>
      <c r="S9" s="1"/>
      <c r="T9" s="1"/>
      <c r="V9" t="s">
        <v>24</v>
      </c>
      <c r="W9" s="1" t="s">
        <v>25</v>
      </c>
      <c r="X9" t="s">
        <v>26</v>
      </c>
      <c r="Z9" t="s">
        <v>27</v>
      </c>
      <c r="AB9" t="s">
        <v>28</v>
      </c>
      <c r="AF9" t="s">
        <v>29</v>
      </c>
      <c r="AG9" t="s">
        <v>30</v>
      </c>
    </row>
    <row r="10" spans="3:33" x14ac:dyDescent="0.2">
      <c r="H10" t="s">
        <v>31</v>
      </c>
      <c r="T10" s="1" t="s">
        <v>3</v>
      </c>
    </row>
    <row r="11" spans="3:33" x14ac:dyDescent="0.2">
      <c r="H11" t="s">
        <v>32</v>
      </c>
      <c r="I11" s="2" t="s">
        <v>33</v>
      </c>
      <c r="J11" s="2" t="s">
        <v>34</v>
      </c>
      <c r="K11" s="2" t="s">
        <v>6</v>
      </c>
      <c r="L11" s="2" t="s">
        <v>35</v>
      </c>
      <c r="M11" s="1"/>
      <c r="N11" s="2" t="s">
        <v>36</v>
      </c>
      <c r="O11" s="2" t="s">
        <v>37</v>
      </c>
      <c r="P11" s="2" t="s">
        <v>38</v>
      </c>
      <c r="Q11" s="2" t="s">
        <v>39</v>
      </c>
      <c r="R11" s="2" t="s">
        <v>40</v>
      </c>
      <c r="S11" s="2" t="s">
        <v>41</v>
      </c>
      <c r="T11" s="2" t="s">
        <v>42</v>
      </c>
      <c r="U11" s="1"/>
      <c r="V11" s="2" t="s">
        <v>43</v>
      </c>
      <c r="W11" s="1"/>
      <c r="X11" s="1"/>
      <c r="Y11" s="2" t="s">
        <v>44</v>
      </c>
      <c r="Z11" s="2" t="s">
        <v>45</v>
      </c>
      <c r="AB11" s="1" t="s">
        <v>46</v>
      </c>
      <c r="AC11" s="6" t="s">
        <v>47</v>
      </c>
      <c r="AF11" s="4" t="s">
        <v>48</v>
      </c>
    </row>
    <row r="12" spans="3:33" x14ac:dyDescent="0.2">
      <c r="H12" s="2">
        <v>0</v>
      </c>
      <c r="I12" s="2">
        <v>8.1</v>
      </c>
      <c r="J12" s="2">
        <f>I12/1000</f>
        <v>8.0999999999999996E-3</v>
      </c>
      <c r="K12" s="2">
        <v>20.6</v>
      </c>
      <c r="L12" s="2">
        <f>K12+273.15</f>
        <v>293.75</v>
      </c>
      <c r="M12" s="1"/>
      <c r="N12" s="2">
        <v>0</v>
      </c>
      <c r="O12" s="2">
        <v>200</v>
      </c>
      <c r="P12" s="2">
        <v>0</v>
      </c>
      <c r="Q12" s="2">
        <v>0</v>
      </c>
      <c r="R12" s="2">
        <f>O12+P12</f>
        <v>200</v>
      </c>
      <c r="S12" s="2">
        <f>(T12/R12)*1000</f>
        <v>0</v>
      </c>
      <c r="T12" s="2">
        <f>15.78*N12/46</f>
        <v>0</v>
      </c>
      <c r="U12" s="1"/>
      <c r="V12" s="2">
        <f>(Q12/R12)*100</f>
        <v>0</v>
      </c>
      <c r="W12" s="1">
        <f>100-V12</f>
        <v>100</v>
      </c>
      <c r="X12" s="1"/>
      <c r="Y12" s="2">
        <f>J12/2</f>
        <v>4.0499999999999998E-3</v>
      </c>
      <c r="Z12" s="2"/>
      <c r="AB12" s="1">
        <f>72.8*10^-3</f>
        <v>7.2800000000000004E-2</v>
      </c>
      <c r="AC12" s="2">
        <f>$AB$12-Y12</f>
        <v>6.8750000000000006E-2</v>
      </c>
    </row>
    <row r="13" spans="3:33" x14ac:dyDescent="0.2">
      <c r="C13" t="s">
        <v>49</v>
      </c>
      <c r="E13" t="s">
        <v>50</v>
      </c>
      <c r="F13" t="s">
        <v>3</v>
      </c>
      <c r="H13" s="2">
        <v>20</v>
      </c>
      <c r="I13" s="2">
        <v>7.3</v>
      </c>
      <c r="J13" s="2">
        <f t="shared" ref="J13:J22" si="0">I13/1000</f>
        <v>7.3000000000000001E-3</v>
      </c>
      <c r="K13" s="2">
        <v>20.6</v>
      </c>
      <c r="L13" s="2">
        <f t="shared" ref="L13:L22" si="1">K13+273.15</f>
        <v>293.75</v>
      </c>
      <c r="M13" s="1"/>
      <c r="N13" s="2">
        <v>1</v>
      </c>
      <c r="O13" s="2">
        <v>200</v>
      </c>
      <c r="P13" s="2">
        <f>Q13*0.96</f>
        <v>19.2</v>
      </c>
      <c r="Q13" s="2">
        <v>20</v>
      </c>
      <c r="R13" s="2">
        <f>O13+P13</f>
        <v>219.2</v>
      </c>
      <c r="S13" s="2">
        <f>(T13/R13)*1000</f>
        <v>1.5649793716280547</v>
      </c>
      <c r="T13" s="2">
        <f>15.78*N13/46</f>
        <v>0.34304347826086956</v>
      </c>
      <c r="U13" s="1"/>
      <c r="V13" s="2">
        <f>(Q13/R13)*100</f>
        <v>9.1240875912408761</v>
      </c>
      <c r="W13" s="1">
        <f t="shared" ref="W13:W22" si="2">100-V13</f>
        <v>90.87591240875912</v>
      </c>
      <c r="X13" s="1"/>
      <c r="Y13" s="2">
        <f t="shared" ref="Y13:Y22" si="3">J13/2</f>
        <v>3.65E-3</v>
      </c>
      <c r="Z13" s="2"/>
      <c r="AB13" t="s">
        <v>21</v>
      </c>
      <c r="AC13" s="2">
        <f t="shared" ref="AC13:AC22" si="4">$AB$12-Y13</f>
        <v>6.9150000000000003E-2</v>
      </c>
      <c r="AF13" t="s">
        <v>51</v>
      </c>
    </row>
    <row r="14" spans="3:33" x14ac:dyDescent="0.2">
      <c r="H14" s="2">
        <v>40</v>
      </c>
      <c r="I14" s="2">
        <v>6.4</v>
      </c>
      <c r="J14" s="2">
        <f t="shared" si="0"/>
        <v>6.4000000000000003E-3</v>
      </c>
      <c r="K14" s="2">
        <v>20.6</v>
      </c>
      <c r="L14" s="2">
        <f t="shared" si="1"/>
        <v>293.75</v>
      </c>
      <c r="M14" s="1"/>
      <c r="N14" s="2">
        <v>2</v>
      </c>
      <c r="O14" s="2">
        <v>200</v>
      </c>
      <c r="P14" s="2">
        <f t="shared" ref="P14:P22" si="5">Q14*0.96</f>
        <v>38.4</v>
      </c>
      <c r="Q14" s="2">
        <v>40</v>
      </c>
      <c r="R14" s="2">
        <f t="shared" ref="R14:R22" si="6">O14+P14</f>
        <v>238.4</v>
      </c>
      <c r="S14" s="2">
        <f t="shared" ref="S14:S22" si="7">(T14/R14)*1000</f>
        <v>2.8778815290341404</v>
      </c>
      <c r="T14" s="2">
        <f t="shared" ref="T14:T22" si="8">15.78*N14/46</f>
        <v>0.68608695652173912</v>
      </c>
      <c r="U14" s="1"/>
      <c r="V14" s="2">
        <f t="shared" ref="V14:V22" si="9">(Q14/R14)*100</f>
        <v>16.778523489932887</v>
      </c>
      <c r="W14" s="1">
        <f t="shared" si="2"/>
        <v>83.221476510067106</v>
      </c>
      <c r="X14" s="1"/>
      <c r="Y14" s="2">
        <f t="shared" si="3"/>
        <v>3.2000000000000002E-3</v>
      </c>
      <c r="Z14" s="2"/>
      <c r="AC14" s="2">
        <f t="shared" si="4"/>
        <v>6.9600000000000009E-2</v>
      </c>
      <c r="AF14" t="s">
        <v>52</v>
      </c>
    </row>
    <row r="15" spans="3:33" x14ac:dyDescent="0.2">
      <c r="C15" t="s">
        <v>53</v>
      </c>
      <c r="H15" s="2">
        <v>60</v>
      </c>
      <c r="I15" s="2">
        <v>6</v>
      </c>
      <c r="J15" s="2">
        <f t="shared" si="0"/>
        <v>6.0000000000000001E-3</v>
      </c>
      <c r="K15" s="2">
        <v>20.6</v>
      </c>
      <c r="L15" s="2">
        <f t="shared" si="1"/>
        <v>293.75</v>
      </c>
      <c r="M15" s="1"/>
      <c r="N15" s="2">
        <v>3</v>
      </c>
      <c r="O15" s="2">
        <v>200</v>
      </c>
      <c r="P15" s="2">
        <f t="shared" si="5"/>
        <v>57.599999999999994</v>
      </c>
      <c r="Q15" s="2">
        <v>60</v>
      </c>
      <c r="R15" s="2">
        <f t="shared" si="6"/>
        <v>257.60000000000002</v>
      </c>
      <c r="S15" s="2">
        <f t="shared" si="7"/>
        <v>3.9950715635970835</v>
      </c>
      <c r="T15" s="2">
        <f t="shared" si="8"/>
        <v>1.0291304347826087</v>
      </c>
      <c r="U15" s="1"/>
      <c r="V15" s="2">
        <f t="shared" si="9"/>
        <v>23.291925465838506</v>
      </c>
      <c r="W15" s="1">
        <f t="shared" si="2"/>
        <v>76.708074534161497</v>
      </c>
      <c r="X15" s="1"/>
      <c r="Y15" s="2">
        <f t="shared" si="3"/>
        <v>3.0000000000000001E-3</v>
      </c>
      <c r="Z15" s="2"/>
      <c r="AC15" s="2">
        <f t="shared" si="4"/>
        <v>6.9800000000000001E-2</v>
      </c>
    </row>
    <row r="16" spans="3:33" x14ac:dyDescent="0.2">
      <c r="H16" s="2">
        <v>80</v>
      </c>
      <c r="I16" s="2">
        <v>5.8</v>
      </c>
      <c r="J16" s="2">
        <f t="shared" si="0"/>
        <v>5.7999999999999996E-3</v>
      </c>
      <c r="K16" s="2">
        <v>20.6</v>
      </c>
      <c r="L16" s="2">
        <f t="shared" si="1"/>
        <v>293.75</v>
      </c>
      <c r="M16" s="1"/>
      <c r="N16" s="2">
        <v>4</v>
      </c>
      <c r="O16" s="2">
        <v>200</v>
      </c>
      <c r="P16" s="2">
        <f t="shared" si="5"/>
        <v>76.8</v>
      </c>
      <c r="Q16" s="2">
        <v>80</v>
      </c>
      <c r="R16" s="2">
        <f t="shared" si="6"/>
        <v>276.8</v>
      </c>
      <c r="S16" s="2">
        <f t="shared" si="7"/>
        <v>4.9572756974114096</v>
      </c>
      <c r="T16" s="2">
        <f t="shared" si="8"/>
        <v>1.3721739130434782</v>
      </c>
      <c r="U16" s="1"/>
      <c r="V16" s="2">
        <f t="shared" si="9"/>
        <v>28.901734104046241</v>
      </c>
      <c r="W16" s="1">
        <f t="shared" si="2"/>
        <v>71.098265895953759</v>
      </c>
      <c r="X16" s="1"/>
      <c r="Y16" s="2">
        <f t="shared" si="3"/>
        <v>2.8999999999999998E-3</v>
      </c>
      <c r="Z16" s="2"/>
      <c r="AC16" s="2">
        <f t="shared" si="4"/>
        <v>6.9900000000000004E-2</v>
      </c>
      <c r="AF16" t="s">
        <v>54</v>
      </c>
    </row>
    <row r="17" spans="3:32" x14ac:dyDescent="0.2">
      <c r="C17" t="s">
        <v>55</v>
      </c>
      <c r="H17" s="2">
        <v>100</v>
      </c>
      <c r="I17" s="2">
        <v>5.6</v>
      </c>
      <c r="J17" s="2">
        <f t="shared" si="0"/>
        <v>5.5999999999999999E-3</v>
      </c>
      <c r="K17" s="2">
        <v>20.6</v>
      </c>
      <c r="L17" s="2">
        <f t="shared" si="1"/>
        <v>293.75</v>
      </c>
      <c r="M17" s="1"/>
      <c r="N17" s="2">
        <v>5</v>
      </c>
      <c r="O17" s="2">
        <v>200</v>
      </c>
      <c r="P17" s="2">
        <f t="shared" si="5"/>
        <v>96</v>
      </c>
      <c r="Q17" s="2">
        <v>100</v>
      </c>
      <c r="R17" s="2">
        <f t="shared" si="6"/>
        <v>296</v>
      </c>
      <c r="S17" s="2">
        <f t="shared" si="7"/>
        <v>5.7946533490011749</v>
      </c>
      <c r="T17" s="2">
        <f t="shared" si="8"/>
        <v>1.7152173913043476</v>
      </c>
      <c r="U17" s="1"/>
      <c r="V17" s="2">
        <f t="shared" si="9"/>
        <v>33.783783783783782</v>
      </c>
      <c r="W17" s="1">
        <f t="shared" si="2"/>
        <v>66.216216216216225</v>
      </c>
      <c r="X17" s="1"/>
      <c r="Y17" s="2">
        <f t="shared" si="3"/>
        <v>2.8E-3</v>
      </c>
      <c r="Z17" s="2"/>
      <c r="AC17" s="2">
        <f t="shared" si="4"/>
        <v>7.0000000000000007E-2</v>
      </c>
    </row>
    <row r="18" spans="3:32" x14ac:dyDescent="0.2">
      <c r="H18" s="2">
        <v>120</v>
      </c>
      <c r="I18" s="2">
        <v>5.3</v>
      </c>
      <c r="J18" s="2">
        <f t="shared" si="0"/>
        <v>5.3E-3</v>
      </c>
      <c r="K18" s="2">
        <v>20.6</v>
      </c>
      <c r="L18" s="2">
        <f t="shared" si="1"/>
        <v>293.75</v>
      </c>
      <c r="M18" s="1"/>
      <c r="N18" s="2">
        <v>6</v>
      </c>
      <c r="O18" s="2">
        <v>200</v>
      </c>
      <c r="P18" s="2">
        <f t="shared" si="5"/>
        <v>115.19999999999999</v>
      </c>
      <c r="Q18" s="2">
        <v>120</v>
      </c>
      <c r="R18" s="2">
        <f t="shared" si="6"/>
        <v>315.2</v>
      </c>
      <c r="S18" s="2">
        <f t="shared" si="7"/>
        <v>6.5300154491282276</v>
      </c>
      <c r="T18" s="2">
        <f t="shared" si="8"/>
        <v>2.0582608695652174</v>
      </c>
      <c r="U18" s="1"/>
      <c r="V18" s="2">
        <f t="shared" si="9"/>
        <v>38.071065989847718</v>
      </c>
      <c r="W18" s="1">
        <f t="shared" si="2"/>
        <v>61.928934010152282</v>
      </c>
      <c r="X18" s="1"/>
      <c r="Y18" s="2">
        <f t="shared" si="3"/>
        <v>2.65E-3</v>
      </c>
      <c r="Z18" s="2"/>
      <c r="AC18" s="2">
        <f t="shared" si="4"/>
        <v>7.0150000000000004E-2</v>
      </c>
      <c r="AF18" t="s">
        <v>56</v>
      </c>
    </row>
    <row r="19" spans="3:32" x14ac:dyDescent="0.2">
      <c r="H19" s="2">
        <v>140</v>
      </c>
      <c r="I19" s="2">
        <v>5</v>
      </c>
      <c r="J19" s="2">
        <f t="shared" si="0"/>
        <v>5.0000000000000001E-3</v>
      </c>
      <c r="K19" s="2">
        <v>20.6</v>
      </c>
      <c r="L19" s="2">
        <f t="shared" si="1"/>
        <v>293.75</v>
      </c>
      <c r="M19" s="1"/>
      <c r="N19" s="2">
        <v>7</v>
      </c>
      <c r="O19" s="2">
        <v>200</v>
      </c>
      <c r="P19" s="2">
        <f t="shared" si="5"/>
        <v>134.4</v>
      </c>
      <c r="Q19" s="2">
        <v>140</v>
      </c>
      <c r="R19" s="2">
        <f t="shared" si="6"/>
        <v>334.4</v>
      </c>
      <c r="S19" s="2">
        <f t="shared" si="7"/>
        <v>7.1809340545038483</v>
      </c>
      <c r="T19" s="2">
        <f t="shared" si="8"/>
        <v>2.4013043478260867</v>
      </c>
      <c r="U19" s="1"/>
      <c r="V19" s="2">
        <f t="shared" si="9"/>
        <v>41.866028708133975</v>
      </c>
      <c r="W19" s="1">
        <f t="shared" si="2"/>
        <v>58.133971291866025</v>
      </c>
      <c r="X19" s="1"/>
      <c r="Y19" s="2">
        <f t="shared" si="3"/>
        <v>2.5000000000000001E-3</v>
      </c>
      <c r="Z19" s="2"/>
      <c r="AC19" s="2">
        <f t="shared" si="4"/>
        <v>7.0300000000000001E-2</v>
      </c>
    </row>
    <row r="20" spans="3:32" x14ac:dyDescent="0.2">
      <c r="C20" t="s">
        <v>57</v>
      </c>
      <c r="H20" s="2">
        <v>160</v>
      </c>
      <c r="I20" s="2">
        <v>5.0999999999999996</v>
      </c>
      <c r="J20" s="2">
        <f t="shared" si="0"/>
        <v>5.0999999999999995E-3</v>
      </c>
      <c r="K20" s="2">
        <v>20.6</v>
      </c>
      <c r="L20" s="2">
        <f t="shared" si="1"/>
        <v>293.75</v>
      </c>
      <c r="M20" s="1"/>
      <c r="N20" s="2">
        <v>8</v>
      </c>
      <c r="O20" s="2">
        <v>200</v>
      </c>
      <c r="P20" s="2">
        <f t="shared" si="5"/>
        <v>153.6</v>
      </c>
      <c r="Q20" s="2">
        <v>160</v>
      </c>
      <c r="R20" s="2">
        <f t="shared" si="6"/>
        <v>353.6</v>
      </c>
      <c r="S20" s="2">
        <f t="shared" si="7"/>
        <v>7.7611646665355103</v>
      </c>
      <c r="T20" s="2">
        <f t="shared" si="8"/>
        <v>2.7443478260869565</v>
      </c>
      <c r="U20" s="1"/>
      <c r="V20" s="2">
        <f t="shared" si="9"/>
        <v>45.248868778280539</v>
      </c>
      <c r="W20" s="1">
        <f t="shared" si="2"/>
        <v>54.751131221719461</v>
      </c>
      <c r="X20" s="1"/>
      <c r="Y20" s="2">
        <f t="shared" si="3"/>
        <v>2.5499999999999997E-3</v>
      </c>
      <c r="Z20" s="2"/>
      <c r="AC20" s="2">
        <f t="shared" si="4"/>
        <v>7.0250000000000007E-2</v>
      </c>
    </row>
    <row r="21" spans="3:32" x14ac:dyDescent="0.2">
      <c r="H21" s="2">
        <v>180</v>
      </c>
      <c r="I21" s="2">
        <v>5.0999999999999996</v>
      </c>
      <c r="J21" s="2">
        <f t="shared" si="0"/>
        <v>5.0999999999999995E-3</v>
      </c>
      <c r="K21" s="2">
        <v>20.6</v>
      </c>
      <c r="L21" s="2">
        <f t="shared" si="1"/>
        <v>293.75</v>
      </c>
      <c r="M21" s="1"/>
      <c r="N21" s="2">
        <v>9</v>
      </c>
      <c r="O21" s="2">
        <v>200</v>
      </c>
      <c r="P21" s="2">
        <f t="shared" si="5"/>
        <v>172.79999999999998</v>
      </c>
      <c r="Q21" s="2">
        <v>180</v>
      </c>
      <c r="R21" s="2">
        <f t="shared" si="6"/>
        <v>372.79999999999995</v>
      </c>
      <c r="S21" s="2">
        <f t="shared" si="7"/>
        <v>8.2816290352677733</v>
      </c>
      <c r="T21" s="2">
        <f t="shared" si="8"/>
        <v>3.0873913043478258</v>
      </c>
      <c r="U21" s="1"/>
      <c r="V21" s="2">
        <f t="shared" si="9"/>
        <v>48.283261802575112</v>
      </c>
      <c r="W21" s="1">
        <f t="shared" si="2"/>
        <v>51.716738197424888</v>
      </c>
      <c r="X21" s="1"/>
      <c r="Y21" s="2">
        <f t="shared" si="3"/>
        <v>2.5499999999999997E-3</v>
      </c>
      <c r="Z21" s="2"/>
      <c r="AC21" s="2">
        <f t="shared" si="4"/>
        <v>7.0250000000000007E-2</v>
      </c>
      <c r="AF21" t="s">
        <v>58</v>
      </c>
    </row>
    <row r="22" spans="3:32" x14ac:dyDescent="0.2">
      <c r="C22" t="s">
        <v>59</v>
      </c>
      <c r="H22" s="2">
        <v>200</v>
      </c>
      <c r="I22" s="2">
        <v>5.0999999999999996</v>
      </c>
      <c r="J22" s="2">
        <f t="shared" si="0"/>
        <v>5.0999999999999995E-3</v>
      </c>
      <c r="K22" s="2">
        <v>20.6</v>
      </c>
      <c r="L22" s="2">
        <f t="shared" si="1"/>
        <v>293.75</v>
      </c>
      <c r="M22" s="1"/>
      <c r="N22" s="2">
        <v>10</v>
      </c>
      <c r="O22" s="2">
        <v>200</v>
      </c>
      <c r="P22" s="2">
        <f t="shared" si="5"/>
        <v>192</v>
      </c>
      <c r="Q22" s="2">
        <v>200</v>
      </c>
      <c r="R22" s="2">
        <f t="shared" si="6"/>
        <v>392</v>
      </c>
      <c r="S22" s="2">
        <f t="shared" si="7"/>
        <v>8.7511091393078946</v>
      </c>
      <c r="T22" s="2">
        <f t="shared" si="8"/>
        <v>3.4304347826086952</v>
      </c>
      <c r="U22" s="1"/>
      <c r="V22" s="2">
        <f t="shared" si="9"/>
        <v>51.020408163265309</v>
      </c>
      <c r="W22" s="1">
        <f t="shared" si="2"/>
        <v>48.979591836734691</v>
      </c>
      <c r="X22" s="1"/>
      <c r="Y22" s="2">
        <f t="shared" si="3"/>
        <v>2.5499999999999997E-3</v>
      </c>
      <c r="Z22" s="2"/>
      <c r="AC22" s="2">
        <f t="shared" si="4"/>
        <v>7.0250000000000007E-2</v>
      </c>
    </row>
    <row r="23" spans="3:32" x14ac:dyDescent="0.2"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AF23" t="s">
        <v>60</v>
      </c>
    </row>
    <row r="24" spans="3:32" x14ac:dyDescent="0.2">
      <c r="C24" t="s">
        <v>61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3:32" x14ac:dyDescent="0.2">
      <c r="I25" s="1"/>
      <c r="J25" s="1"/>
      <c r="K25" s="1"/>
      <c r="L25" s="1"/>
      <c r="M25" s="1"/>
      <c r="N25" s="1"/>
      <c r="O25" s="1"/>
      <c r="P25" s="1"/>
    </row>
    <row r="26" spans="3:32" x14ac:dyDescent="0.2">
      <c r="I26" s="1"/>
      <c r="J26" s="1"/>
      <c r="K26" s="1"/>
      <c r="L26" s="1"/>
      <c r="M26" s="1"/>
      <c r="N26" s="1"/>
      <c r="O26" s="1"/>
      <c r="P26" s="1"/>
    </row>
    <row r="27" spans="3:32" x14ac:dyDescent="0.2">
      <c r="I27" s="1"/>
      <c r="J27" s="1"/>
      <c r="K27" s="1"/>
      <c r="L27" s="1"/>
      <c r="M27" s="1"/>
      <c r="N27" s="1"/>
      <c r="O27" s="1"/>
      <c r="P27" s="1"/>
      <c r="Z27" t="s">
        <v>71</v>
      </c>
    </row>
    <row r="28" spans="3:32" x14ac:dyDescent="0.2">
      <c r="I28" s="1"/>
      <c r="J28" s="1"/>
      <c r="K28" s="1"/>
      <c r="L28" s="1"/>
      <c r="M28" s="1"/>
      <c r="N28" s="1"/>
    </row>
    <row r="29" spans="3:32" x14ac:dyDescent="0.2">
      <c r="C29" t="s">
        <v>62</v>
      </c>
      <c r="I29" s="1"/>
      <c r="J29" s="1"/>
      <c r="K29" s="1"/>
      <c r="L29" s="1"/>
      <c r="M29" s="1"/>
      <c r="N29" s="1"/>
    </row>
    <row r="31" spans="3:32" x14ac:dyDescent="0.2">
      <c r="C31" t="s">
        <v>63</v>
      </c>
    </row>
    <row r="34" spans="8:31" x14ac:dyDescent="0.2">
      <c r="AE34" t="s">
        <v>70</v>
      </c>
    </row>
    <row r="40" spans="8:31" x14ac:dyDescent="0.2">
      <c r="W40" t="s">
        <v>68</v>
      </c>
    </row>
    <row r="41" spans="8:31" x14ac:dyDescent="0.2">
      <c r="W41" t="s">
        <v>69</v>
      </c>
    </row>
    <row r="44" spans="8:31" x14ac:dyDescent="0.2">
      <c r="M44" s="5" t="s">
        <v>64</v>
      </c>
    </row>
    <row r="45" spans="8:31" x14ac:dyDescent="0.2">
      <c r="T45" s="1" t="s">
        <v>65</v>
      </c>
    </row>
    <row r="46" spans="8:31" x14ac:dyDescent="0.2">
      <c r="H46" t="s">
        <v>32</v>
      </c>
      <c r="I46" s="2" t="s">
        <v>33</v>
      </c>
      <c r="J46" s="2" t="s">
        <v>34</v>
      </c>
      <c r="K46" s="2" t="s">
        <v>6</v>
      </c>
      <c r="L46" s="2" t="s">
        <v>35</v>
      </c>
      <c r="M46" s="1"/>
      <c r="N46" s="2" t="s">
        <v>36</v>
      </c>
      <c r="O46" s="2" t="s">
        <v>37</v>
      </c>
      <c r="P46" s="2" t="s">
        <v>38</v>
      </c>
      <c r="Q46" s="2" t="s">
        <v>39</v>
      </c>
      <c r="R46" s="2" t="s">
        <v>40</v>
      </c>
      <c r="S46" s="2" t="s">
        <v>66</v>
      </c>
      <c r="T46" s="2" t="s">
        <v>42</v>
      </c>
      <c r="V46" s="2" t="s">
        <v>72</v>
      </c>
      <c r="Y46" s="2" t="s">
        <v>44</v>
      </c>
      <c r="Z46" s="2" t="s">
        <v>45</v>
      </c>
      <c r="AB46" s="1" t="s">
        <v>46</v>
      </c>
      <c r="AC46" s="6" t="s">
        <v>47</v>
      </c>
    </row>
    <row r="47" spans="8:31" x14ac:dyDescent="0.2">
      <c r="H47" s="2">
        <v>0</v>
      </c>
      <c r="I47" s="2">
        <v>4</v>
      </c>
      <c r="J47" s="2">
        <f>I47/1000</f>
        <v>4.0000000000000001E-3</v>
      </c>
      <c r="K47" s="2">
        <v>20.6</v>
      </c>
      <c r="L47" s="2">
        <f>K47+273.15</f>
        <v>293.75</v>
      </c>
      <c r="M47" s="1"/>
      <c r="N47" s="2">
        <v>0</v>
      </c>
      <c r="O47" s="2">
        <v>0</v>
      </c>
      <c r="P47" s="2">
        <f>Q47/0.96</f>
        <v>208.33333333333334</v>
      </c>
      <c r="Q47" s="2">
        <v>200</v>
      </c>
      <c r="R47" s="2">
        <f>O47+P47</f>
        <v>208.33333333333334</v>
      </c>
      <c r="S47" s="2">
        <f>(T47/R47)*1000</f>
        <v>0</v>
      </c>
      <c r="T47" s="2">
        <f>20*N47/18</f>
        <v>0</v>
      </c>
      <c r="V47" s="2">
        <f>(Q47/R47)*100</f>
        <v>96</v>
      </c>
      <c r="W47" s="1">
        <f>100-V47</f>
        <v>4</v>
      </c>
      <c r="Y47" s="2">
        <f>J47/2</f>
        <v>2E-3</v>
      </c>
      <c r="Z47" s="2"/>
      <c r="AB47" s="1" t="s">
        <v>67</v>
      </c>
      <c r="AC47" s="2">
        <f>$AB$12-Y47</f>
        <v>7.0800000000000002E-2</v>
      </c>
    </row>
    <row r="48" spans="8:31" x14ac:dyDescent="0.2">
      <c r="H48" s="2">
        <v>20</v>
      </c>
      <c r="I48" s="2">
        <v>4.0999999999999996</v>
      </c>
      <c r="J48" s="2">
        <f t="shared" ref="J48:J57" si="10">I48/1000</f>
        <v>4.0999999999999995E-3</v>
      </c>
      <c r="K48" s="2">
        <v>20.6</v>
      </c>
      <c r="L48" s="2">
        <f t="shared" ref="L48:L57" si="11">K48+273.15</f>
        <v>293.75</v>
      </c>
      <c r="M48" s="1"/>
      <c r="N48" s="2">
        <v>1</v>
      </c>
      <c r="O48" s="2">
        <v>20</v>
      </c>
      <c r="P48" s="2">
        <f>Q48/0.96</f>
        <v>208.33333333333334</v>
      </c>
      <c r="Q48" s="2">
        <v>200</v>
      </c>
      <c r="R48" s="2">
        <f t="shared" ref="R48:R57" si="12">O48+P48</f>
        <v>228.33333333333334</v>
      </c>
      <c r="S48" s="2">
        <f t="shared" ref="S48:S57" si="13">(T48/R48)*1000</f>
        <v>4.8661800486618008</v>
      </c>
      <c r="T48" s="2">
        <f t="shared" ref="T48:T55" si="14">20*N48/18</f>
        <v>1.1111111111111112</v>
      </c>
      <c r="V48" s="2">
        <f t="shared" ref="V48:V57" si="15">(Q48/R48)*100</f>
        <v>87.591240875912405</v>
      </c>
      <c r="W48" s="1">
        <f t="shared" ref="W48:W57" si="16">100-V48</f>
        <v>12.408759124087595</v>
      </c>
      <c r="Y48" s="2">
        <f t="shared" ref="Y48:Y57" si="17">J48/2</f>
        <v>2.0499999999999997E-3</v>
      </c>
      <c r="Z48" s="2"/>
      <c r="AC48" s="2">
        <f t="shared" ref="AC48:AC57" si="18">$AB$12-Y48</f>
        <v>7.0750000000000007E-2</v>
      </c>
    </row>
    <row r="49" spans="8:29" x14ac:dyDescent="0.2">
      <c r="H49" s="2">
        <v>40</v>
      </c>
      <c r="I49" s="2">
        <v>4.3</v>
      </c>
      <c r="J49" s="2">
        <f t="shared" si="10"/>
        <v>4.3E-3</v>
      </c>
      <c r="K49" s="2">
        <v>20.6</v>
      </c>
      <c r="L49" s="2">
        <f t="shared" si="11"/>
        <v>293.75</v>
      </c>
      <c r="M49" s="1"/>
      <c r="N49" s="2">
        <v>2</v>
      </c>
      <c r="O49" s="2">
        <v>40</v>
      </c>
      <c r="P49" s="2">
        <f t="shared" ref="P49:P57" si="19">Q49/0.96</f>
        <v>208.33333333333334</v>
      </c>
      <c r="Q49" s="2">
        <v>200</v>
      </c>
      <c r="R49" s="2">
        <f t="shared" si="12"/>
        <v>248.33333333333334</v>
      </c>
      <c r="S49" s="2">
        <f t="shared" si="13"/>
        <v>8.9485458612975393</v>
      </c>
      <c r="T49" s="2">
        <f t="shared" si="14"/>
        <v>2.2222222222222223</v>
      </c>
      <c r="V49" s="2">
        <f t="shared" si="15"/>
        <v>80.536912751677846</v>
      </c>
      <c r="W49" s="1">
        <f t="shared" si="16"/>
        <v>19.463087248322154</v>
      </c>
      <c r="Y49" s="2">
        <f t="shared" si="17"/>
        <v>2.15E-3</v>
      </c>
      <c r="Z49" s="2"/>
      <c r="AC49" s="2">
        <f t="shared" si="18"/>
        <v>7.0650000000000004E-2</v>
      </c>
    </row>
    <row r="50" spans="8:29" x14ac:dyDescent="0.2">
      <c r="H50" s="2">
        <v>60</v>
      </c>
      <c r="I50" s="2">
        <v>4.5</v>
      </c>
      <c r="J50" s="2">
        <f t="shared" si="10"/>
        <v>4.4999999999999997E-3</v>
      </c>
      <c r="K50" s="2">
        <v>20.6</v>
      </c>
      <c r="L50" s="2">
        <f t="shared" si="11"/>
        <v>293.75</v>
      </c>
      <c r="M50" s="1"/>
      <c r="N50" s="2">
        <v>3</v>
      </c>
      <c r="O50" s="2">
        <f>N50*20</f>
        <v>60</v>
      </c>
      <c r="P50" s="2">
        <f t="shared" si="19"/>
        <v>208.33333333333334</v>
      </c>
      <c r="Q50" s="2">
        <v>200</v>
      </c>
      <c r="R50" s="2">
        <f t="shared" si="12"/>
        <v>268.33333333333337</v>
      </c>
      <c r="S50" s="2">
        <f t="shared" si="13"/>
        <v>12.422360248447204</v>
      </c>
      <c r="T50" s="2">
        <f t="shared" si="14"/>
        <v>3.3333333333333335</v>
      </c>
      <c r="V50" s="2">
        <f t="shared" si="15"/>
        <v>74.534161490683218</v>
      </c>
      <c r="W50" s="1">
        <f t="shared" si="16"/>
        <v>25.465838509316782</v>
      </c>
      <c r="Y50" s="2">
        <f t="shared" si="17"/>
        <v>2.2499999999999998E-3</v>
      </c>
      <c r="Z50" s="2"/>
      <c r="AC50" s="2">
        <f t="shared" si="18"/>
        <v>7.0550000000000002E-2</v>
      </c>
    </row>
    <row r="51" spans="8:29" x14ac:dyDescent="0.2">
      <c r="H51" s="2">
        <v>80</v>
      </c>
      <c r="I51" s="2">
        <v>4.5999999999999996</v>
      </c>
      <c r="J51" s="2">
        <f t="shared" si="10"/>
        <v>4.5999999999999999E-3</v>
      </c>
      <c r="K51" s="2">
        <v>20.6</v>
      </c>
      <c r="L51" s="2">
        <f t="shared" si="11"/>
        <v>293.75</v>
      </c>
      <c r="M51" s="1"/>
      <c r="N51" s="2">
        <v>4</v>
      </c>
      <c r="O51" s="2">
        <f t="shared" ref="O51:O57" si="20">N51*20</f>
        <v>80</v>
      </c>
      <c r="P51" s="2">
        <f t="shared" si="19"/>
        <v>208.33333333333334</v>
      </c>
      <c r="Q51" s="2">
        <v>200</v>
      </c>
      <c r="R51" s="2">
        <f t="shared" si="12"/>
        <v>288.33333333333337</v>
      </c>
      <c r="S51" s="2">
        <f t="shared" si="13"/>
        <v>15.414258188824661</v>
      </c>
      <c r="T51" s="2">
        <f t="shared" si="14"/>
        <v>4.4444444444444446</v>
      </c>
      <c r="V51" s="2">
        <f t="shared" si="15"/>
        <v>69.364161849710968</v>
      </c>
      <c r="W51" s="1">
        <f t="shared" si="16"/>
        <v>30.635838150289032</v>
      </c>
      <c r="Y51" s="2">
        <f t="shared" si="17"/>
        <v>2.3E-3</v>
      </c>
      <c r="Z51" s="2"/>
      <c r="AC51" s="2">
        <f t="shared" si="18"/>
        <v>7.0500000000000007E-2</v>
      </c>
    </row>
    <row r="52" spans="8:29" x14ac:dyDescent="0.2">
      <c r="H52" s="2">
        <v>100</v>
      </c>
      <c r="I52" s="2">
        <v>5.2</v>
      </c>
      <c r="J52" s="2">
        <f t="shared" si="10"/>
        <v>5.1999999999999998E-3</v>
      </c>
      <c r="K52" s="2">
        <v>20.6</v>
      </c>
      <c r="L52" s="2">
        <f t="shared" si="11"/>
        <v>293.75</v>
      </c>
      <c r="M52" s="1"/>
      <c r="N52" s="2">
        <v>5</v>
      </c>
      <c r="O52" s="2">
        <f t="shared" si="20"/>
        <v>100</v>
      </c>
      <c r="P52" s="2">
        <f t="shared" si="19"/>
        <v>208.33333333333334</v>
      </c>
      <c r="Q52" s="2">
        <v>200</v>
      </c>
      <c r="R52" s="2">
        <f t="shared" si="12"/>
        <v>308.33333333333337</v>
      </c>
      <c r="S52" s="2">
        <f t="shared" si="13"/>
        <v>18.018018018018015</v>
      </c>
      <c r="T52" s="2">
        <f t="shared" si="14"/>
        <v>5.5555555555555554</v>
      </c>
      <c r="V52" s="2">
        <f t="shared" si="15"/>
        <v>64.864864864864856</v>
      </c>
      <c r="W52" s="1">
        <f t="shared" si="16"/>
        <v>35.135135135135144</v>
      </c>
      <c r="Y52" s="2">
        <f t="shared" si="17"/>
        <v>2.5999999999999999E-3</v>
      </c>
      <c r="Z52" s="2"/>
      <c r="AC52" s="2">
        <f t="shared" si="18"/>
        <v>7.0199999999999999E-2</v>
      </c>
    </row>
    <row r="53" spans="8:29" x14ac:dyDescent="0.2">
      <c r="H53" s="2">
        <v>120</v>
      </c>
      <c r="I53" s="2">
        <v>5.3</v>
      </c>
      <c r="J53" s="2">
        <f t="shared" si="10"/>
        <v>5.3E-3</v>
      </c>
      <c r="K53" s="2">
        <v>20.6</v>
      </c>
      <c r="L53" s="2">
        <f t="shared" si="11"/>
        <v>293.75</v>
      </c>
      <c r="M53" s="1"/>
      <c r="N53" s="2">
        <v>6</v>
      </c>
      <c r="O53" s="2">
        <f t="shared" si="20"/>
        <v>120</v>
      </c>
      <c r="P53" s="2">
        <f t="shared" si="19"/>
        <v>208.33333333333334</v>
      </c>
      <c r="Q53" s="2">
        <v>200</v>
      </c>
      <c r="R53" s="2">
        <f t="shared" si="12"/>
        <v>328.33333333333337</v>
      </c>
      <c r="S53" s="2">
        <f t="shared" si="13"/>
        <v>20.304568527918779</v>
      </c>
      <c r="T53" s="2">
        <f t="shared" si="14"/>
        <v>6.666666666666667</v>
      </c>
      <c r="V53" s="2">
        <f t="shared" si="15"/>
        <v>60.913705583756339</v>
      </c>
      <c r="W53" s="1">
        <f t="shared" si="16"/>
        <v>39.086294416243661</v>
      </c>
      <c r="Y53" s="2">
        <f t="shared" si="17"/>
        <v>2.65E-3</v>
      </c>
      <c r="Z53" s="2"/>
      <c r="AC53" s="2">
        <f t="shared" si="18"/>
        <v>7.0150000000000004E-2</v>
      </c>
    </row>
    <row r="54" spans="8:29" x14ac:dyDescent="0.2">
      <c r="H54" s="2">
        <v>140</v>
      </c>
      <c r="I54" s="2">
        <v>4.9000000000000004</v>
      </c>
      <c r="J54" s="2">
        <f t="shared" si="10"/>
        <v>4.9000000000000007E-3</v>
      </c>
      <c r="K54" s="2">
        <v>20.6</v>
      </c>
      <c r="L54" s="2">
        <f t="shared" si="11"/>
        <v>293.75</v>
      </c>
      <c r="M54" s="1"/>
      <c r="N54" s="2">
        <v>7</v>
      </c>
      <c r="O54" s="2">
        <f t="shared" si="20"/>
        <v>140</v>
      </c>
      <c r="P54" s="2">
        <f t="shared" si="19"/>
        <v>208.33333333333334</v>
      </c>
      <c r="Q54" s="2">
        <v>200</v>
      </c>
      <c r="R54" s="2">
        <f t="shared" si="12"/>
        <v>348.33333333333337</v>
      </c>
      <c r="S54" s="2">
        <f t="shared" si="13"/>
        <v>22.328548644338113</v>
      </c>
      <c r="T54" s="2">
        <f t="shared" si="14"/>
        <v>7.7777777777777777</v>
      </c>
      <c r="V54" s="2">
        <f t="shared" si="15"/>
        <v>57.416267942583723</v>
      </c>
      <c r="W54" s="1">
        <f t="shared" si="16"/>
        <v>42.583732057416277</v>
      </c>
      <c r="Y54" s="2">
        <f t="shared" si="17"/>
        <v>2.4500000000000004E-3</v>
      </c>
      <c r="Z54" s="2"/>
      <c r="AC54" s="2">
        <f t="shared" si="18"/>
        <v>7.035000000000001E-2</v>
      </c>
    </row>
    <row r="55" spans="8:29" x14ac:dyDescent="0.2">
      <c r="H55" s="2">
        <v>160</v>
      </c>
      <c r="I55" s="2">
        <v>5</v>
      </c>
      <c r="J55" s="2">
        <f t="shared" si="10"/>
        <v>5.0000000000000001E-3</v>
      </c>
      <c r="K55" s="2">
        <v>20.6</v>
      </c>
      <c r="L55" s="2">
        <f t="shared" si="11"/>
        <v>293.75</v>
      </c>
      <c r="M55" s="1"/>
      <c r="N55" s="2">
        <v>8</v>
      </c>
      <c r="O55" s="2">
        <f t="shared" si="20"/>
        <v>160</v>
      </c>
      <c r="P55" s="2">
        <f t="shared" si="19"/>
        <v>208.33333333333334</v>
      </c>
      <c r="Q55" s="2">
        <v>200</v>
      </c>
      <c r="R55" s="2">
        <f t="shared" si="12"/>
        <v>368.33333333333337</v>
      </c>
      <c r="S55" s="2">
        <f t="shared" si="13"/>
        <v>24.132730015082952</v>
      </c>
      <c r="T55" s="2">
        <f t="shared" si="14"/>
        <v>8.8888888888888893</v>
      </c>
      <c r="V55" s="2">
        <f t="shared" si="15"/>
        <v>54.298642533936651</v>
      </c>
      <c r="W55" s="1">
        <f t="shared" si="16"/>
        <v>45.701357466063349</v>
      </c>
      <c r="Y55" s="2">
        <f t="shared" si="17"/>
        <v>2.5000000000000001E-3</v>
      </c>
      <c r="Z55" s="2"/>
      <c r="AC55" s="2">
        <f t="shared" si="18"/>
        <v>7.0300000000000001E-2</v>
      </c>
    </row>
    <row r="56" spans="8:29" x14ac:dyDescent="0.2">
      <c r="H56" s="2">
        <v>180</v>
      </c>
      <c r="I56" s="2">
        <v>5.0999999999999996</v>
      </c>
      <c r="J56" s="2">
        <f t="shared" si="10"/>
        <v>5.0999999999999995E-3</v>
      </c>
      <c r="K56" s="2">
        <v>20.6</v>
      </c>
      <c r="L56" s="2">
        <f t="shared" si="11"/>
        <v>293.75</v>
      </c>
      <c r="M56" s="1"/>
      <c r="N56" s="2">
        <v>9</v>
      </c>
      <c r="O56" s="2">
        <f t="shared" si="20"/>
        <v>180</v>
      </c>
      <c r="P56" s="2">
        <f t="shared" si="19"/>
        <v>208.33333333333334</v>
      </c>
      <c r="Q56" s="2">
        <v>200</v>
      </c>
      <c r="R56" s="2">
        <f t="shared" si="12"/>
        <v>388.33333333333337</v>
      </c>
      <c r="S56" s="2">
        <f t="shared" si="13"/>
        <v>25.751072961373389</v>
      </c>
      <c r="T56" s="2">
        <f>20*N56/18</f>
        <v>10</v>
      </c>
      <c r="V56" s="2">
        <f t="shared" si="15"/>
        <v>51.502145922746777</v>
      </c>
      <c r="W56" s="1">
        <f t="shared" si="16"/>
        <v>48.497854077253223</v>
      </c>
      <c r="Y56" s="2">
        <f t="shared" si="17"/>
        <v>2.5499999999999997E-3</v>
      </c>
      <c r="Z56" s="2"/>
      <c r="AC56" s="2">
        <f t="shared" si="18"/>
        <v>7.0250000000000007E-2</v>
      </c>
    </row>
    <row r="57" spans="8:29" x14ac:dyDescent="0.2">
      <c r="H57" s="2">
        <v>200</v>
      </c>
      <c r="I57" s="2">
        <v>5.2</v>
      </c>
      <c r="J57" s="2">
        <f t="shared" si="10"/>
        <v>5.1999999999999998E-3</v>
      </c>
      <c r="K57" s="2">
        <v>20.6</v>
      </c>
      <c r="L57" s="2">
        <f t="shared" si="11"/>
        <v>293.75</v>
      </c>
      <c r="M57" s="1"/>
      <c r="N57" s="2">
        <v>10</v>
      </c>
      <c r="O57" s="2">
        <f t="shared" si="20"/>
        <v>200</v>
      </c>
      <c r="P57" s="2">
        <f t="shared" si="19"/>
        <v>208.33333333333334</v>
      </c>
      <c r="Q57" s="2">
        <v>200</v>
      </c>
      <c r="R57" s="2">
        <f t="shared" si="12"/>
        <v>408.33333333333337</v>
      </c>
      <c r="S57" s="2">
        <f t="shared" si="13"/>
        <v>27.210884353741491</v>
      </c>
      <c r="T57" s="2">
        <f>20*N57/18</f>
        <v>11.111111111111111</v>
      </c>
      <c r="V57" s="2">
        <f t="shared" si="15"/>
        <v>48.979591836734684</v>
      </c>
      <c r="W57" s="1">
        <f t="shared" si="16"/>
        <v>51.020408163265316</v>
      </c>
      <c r="Y57" s="2">
        <f t="shared" si="17"/>
        <v>2.5999999999999999E-3</v>
      </c>
      <c r="Z57" s="2"/>
      <c r="AC57" s="2">
        <f t="shared" si="18"/>
        <v>7.0199999999999999E-2</v>
      </c>
    </row>
  </sheetData>
  <mergeCells count="1">
    <mergeCell ref="C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16FDA-7A5E-294C-8D09-F4E77CFD81AB}">
  <dimension ref="A2:AC72"/>
  <sheetViews>
    <sheetView tabSelected="1" workbookViewId="0">
      <selection activeCell="I10" sqref="I10"/>
    </sheetView>
  </sheetViews>
  <sheetFormatPr baseColWidth="10" defaultRowHeight="16" x14ac:dyDescent="0.2"/>
  <cols>
    <col min="3" max="3" width="15.6640625" customWidth="1"/>
    <col min="4" max="4" width="20.5" customWidth="1"/>
    <col min="5" max="5" width="16.83203125" customWidth="1"/>
    <col min="6" max="6" width="11.5" customWidth="1"/>
    <col min="8" max="8" width="16" customWidth="1"/>
    <col min="9" max="9" width="21.5" customWidth="1"/>
    <col min="10" max="10" width="21.6640625" customWidth="1"/>
    <col min="11" max="11" width="16.6640625" customWidth="1"/>
    <col min="13" max="13" width="26" customWidth="1"/>
    <col min="14" max="14" width="15.5" customWidth="1"/>
    <col min="15" max="15" width="15.6640625" customWidth="1"/>
    <col min="16" max="16" width="16" customWidth="1"/>
    <col min="17" max="17" width="13.1640625" customWidth="1"/>
    <col min="18" max="18" width="16.6640625" customWidth="1"/>
    <col min="19" max="19" width="18" customWidth="1"/>
    <col min="20" max="20" width="18.1640625" customWidth="1"/>
    <col min="21" max="21" width="15.5" customWidth="1"/>
    <col min="22" max="22" width="15.33203125" customWidth="1"/>
    <col min="23" max="23" width="16.33203125" customWidth="1"/>
    <col min="24" max="24" width="17.6640625" customWidth="1"/>
    <col min="25" max="25" width="18.6640625" customWidth="1"/>
  </cols>
  <sheetData>
    <row r="2" spans="1:29" x14ac:dyDescent="0.2">
      <c r="M2" t="s">
        <v>111</v>
      </c>
    </row>
    <row r="3" spans="1:29" x14ac:dyDescent="0.2">
      <c r="C3" s="18" t="s">
        <v>0</v>
      </c>
      <c r="D3" s="18"/>
      <c r="E3" s="18"/>
      <c r="M3" s="19" t="s">
        <v>112</v>
      </c>
      <c r="N3" s="19" t="s">
        <v>86</v>
      </c>
      <c r="O3" s="19" t="s">
        <v>81</v>
      </c>
      <c r="P3" s="19" t="s">
        <v>110</v>
      </c>
      <c r="Q3" s="1"/>
      <c r="S3" s="1"/>
      <c r="T3" s="1"/>
      <c r="V3" s="1"/>
      <c r="W3" s="1"/>
    </row>
    <row r="4" spans="1:29" x14ac:dyDescent="0.2">
      <c r="M4" s="2">
        <v>0</v>
      </c>
      <c r="N4" s="19" t="s">
        <v>100</v>
      </c>
      <c r="O4" s="19">
        <v>8.1</v>
      </c>
      <c r="P4" s="19">
        <v>65.599999999999994</v>
      </c>
      <c r="Q4" s="1"/>
      <c r="S4" s="1"/>
      <c r="T4" s="1"/>
      <c r="V4" s="1"/>
      <c r="W4" s="1"/>
    </row>
    <row r="5" spans="1:29" x14ac:dyDescent="0.2">
      <c r="C5" s="7" t="s">
        <v>6</v>
      </c>
      <c r="D5" s="7" t="s">
        <v>73</v>
      </c>
      <c r="J5" s="1"/>
      <c r="K5" s="1"/>
      <c r="M5" s="2">
        <v>19</v>
      </c>
      <c r="N5" s="19" t="s">
        <v>101</v>
      </c>
      <c r="O5" s="19">
        <v>7.3</v>
      </c>
      <c r="P5" s="19">
        <v>59.1</v>
      </c>
      <c r="Q5" s="1"/>
      <c r="S5" s="1"/>
      <c r="T5" s="1"/>
      <c r="W5" s="1"/>
    </row>
    <row r="6" spans="1:29" x14ac:dyDescent="0.2">
      <c r="C6" s="7">
        <v>20.6</v>
      </c>
      <c r="D6" s="7">
        <v>9.8249999999999993</v>
      </c>
      <c r="J6" s="1"/>
      <c r="K6" s="1"/>
      <c r="M6" s="2">
        <v>38.5</v>
      </c>
      <c r="N6" s="19" t="s">
        <v>102</v>
      </c>
      <c r="O6" s="19">
        <v>6.4</v>
      </c>
      <c r="P6" s="19">
        <v>51.8</v>
      </c>
      <c r="Q6" s="1"/>
      <c r="S6" s="1"/>
      <c r="T6" s="1"/>
    </row>
    <row r="7" spans="1:29" x14ac:dyDescent="0.2">
      <c r="M7" s="2">
        <v>58</v>
      </c>
      <c r="N7" s="19" t="s">
        <v>103</v>
      </c>
      <c r="O7" s="19">
        <v>6</v>
      </c>
      <c r="P7" s="19">
        <v>48.6</v>
      </c>
      <c r="Q7" s="1"/>
      <c r="S7" s="1"/>
      <c r="T7" s="1"/>
      <c r="W7" s="1"/>
    </row>
    <row r="8" spans="1:29" x14ac:dyDescent="0.2">
      <c r="I8" t="s">
        <v>126</v>
      </c>
      <c r="M8" s="2">
        <v>77</v>
      </c>
      <c r="N8" s="19" t="s">
        <v>113</v>
      </c>
      <c r="O8" s="19">
        <v>5.8</v>
      </c>
      <c r="P8" s="19">
        <v>47</v>
      </c>
      <c r="Q8" s="1"/>
      <c r="S8" s="1"/>
      <c r="T8" s="1"/>
    </row>
    <row r="9" spans="1:29" x14ac:dyDescent="0.2">
      <c r="A9" s="8"/>
      <c r="B9" s="9" t="s">
        <v>22</v>
      </c>
      <c r="C9" s="8"/>
      <c r="D9" s="8"/>
      <c r="E9" s="8"/>
      <c r="F9" s="8"/>
      <c r="G9" s="8"/>
      <c r="I9" t="s">
        <v>127</v>
      </c>
      <c r="M9" s="2">
        <v>96</v>
      </c>
      <c r="N9" s="19" t="s">
        <v>104</v>
      </c>
      <c r="O9" s="19">
        <v>5.6</v>
      </c>
      <c r="P9" s="19">
        <v>45.4</v>
      </c>
      <c r="Q9" s="1"/>
      <c r="S9" s="1"/>
      <c r="T9" s="1"/>
      <c r="W9" s="1"/>
    </row>
    <row r="10" spans="1:29" x14ac:dyDescent="0.2">
      <c r="M10" s="2">
        <v>115</v>
      </c>
      <c r="N10" s="19" t="s">
        <v>105</v>
      </c>
      <c r="O10" s="19">
        <v>5.3</v>
      </c>
      <c r="P10" s="19">
        <v>42.9</v>
      </c>
      <c r="Q10" s="1"/>
      <c r="T10" s="1"/>
    </row>
    <row r="11" spans="1:29" x14ac:dyDescent="0.2">
      <c r="B11" s="2" t="s">
        <v>36</v>
      </c>
      <c r="C11" s="2" t="s">
        <v>74</v>
      </c>
      <c r="D11" s="2" t="s">
        <v>76</v>
      </c>
      <c r="E11" s="2" t="s">
        <v>75</v>
      </c>
      <c r="F11" s="2" t="s">
        <v>40</v>
      </c>
      <c r="G11" s="2" t="s">
        <v>81</v>
      </c>
      <c r="H11" s="2" t="s">
        <v>86</v>
      </c>
      <c r="I11" s="2" t="s">
        <v>87</v>
      </c>
      <c r="J11" s="2" t="s">
        <v>79</v>
      </c>
      <c r="K11" s="2" t="s">
        <v>80</v>
      </c>
      <c r="L11" s="1"/>
      <c r="M11" s="2">
        <v>134.5</v>
      </c>
      <c r="N11" s="19" t="s">
        <v>106</v>
      </c>
      <c r="O11" s="19">
        <v>5</v>
      </c>
      <c r="P11" s="19">
        <v>40.5</v>
      </c>
      <c r="Q11" s="1"/>
      <c r="S11" s="1"/>
      <c r="T11" s="1"/>
      <c r="U11" s="1"/>
      <c r="X11" s="1"/>
      <c r="Z11" s="1"/>
      <c r="AB11" s="1"/>
      <c r="AC11" s="10"/>
    </row>
    <row r="12" spans="1:29" x14ac:dyDescent="0.2">
      <c r="B12" s="2">
        <v>0</v>
      </c>
      <c r="C12" s="2">
        <v>200</v>
      </c>
      <c r="D12" s="2">
        <v>0</v>
      </c>
      <c r="E12" s="2">
        <v>0</v>
      </c>
      <c r="F12" s="2">
        <f>C12+E12</f>
        <v>200</v>
      </c>
      <c r="G12" s="2">
        <v>8.1</v>
      </c>
      <c r="H12" s="2">
        <f>(E12/F12)</f>
        <v>0</v>
      </c>
      <c r="I12" s="2">
        <f>0.96*(((C12/((D12+C12)^2))*$D$25) ) + ((D12/((C12+D12)^2))*$C$25)</f>
        <v>9.5999999999999992E-3</v>
      </c>
      <c r="J12" s="2">
        <f t="shared" ref="J12:J22" si="0">G12/(4*PI()*$D$6)</f>
        <v>6.5605854404292743E-2</v>
      </c>
      <c r="K12" s="2">
        <f>(1/(4*PI()*$D$6))*$G$25</f>
        <v>8.0994881980608327E-4</v>
      </c>
      <c r="L12" s="1"/>
      <c r="M12" s="2">
        <v>154</v>
      </c>
      <c r="N12" s="19" t="s">
        <v>107</v>
      </c>
      <c r="O12" s="19">
        <v>5.0999999999999996</v>
      </c>
      <c r="P12" s="19">
        <v>41.3</v>
      </c>
      <c r="Q12" s="1"/>
      <c r="S12" s="1"/>
      <c r="T12" s="1"/>
      <c r="U12" s="1"/>
      <c r="X12" s="1"/>
      <c r="Z12" s="1"/>
      <c r="AB12" s="1"/>
      <c r="AC12" s="1"/>
    </row>
    <row r="13" spans="1:29" x14ac:dyDescent="0.2">
      <c r="B13" s="2">
        <v>1</v>
      </c>
      <c r="C13" s="2">
        <v>200</v>
      </c>
      <c r="D13" s="2">
        <v>20</v>
      </c>
      <c r="E13" s="2">
        <f t="shared" ref="E13:E22" si="1">D13*0.96</f>
        <v>19.2</v>
      </c>
      <c r="F13" s="2">
        <f t="shared" ref="F13:F22" si="2">C13+D13</f>
        <v>220</v>
      </c>
      <c r="G13" s="2">
        <v>7.3</v>
      </c>
      <c r="H13" s="2">
        <f>(E13/F13)</f>
        <v>8.7272727272727266E-2</v>
      </c>
      <c r="I13" s="2">
        <f>0.96*(((C13/((D13+C13)^2))*$D$25) + ((D13/((C13+D13)^2))*$C$25) )</f>
        <v>8.7272727272727259E-3</v>
      </c>
      <c r="J13" s="2">
        <f t="shared" si="0"/>
        <v>5.9126263845844074E-2</v>
      </c>
      <c r="K13" s="2">
        <f t="shared" ref="K13:K22" si="3">(1/(4*PI()*$D$6))*$G$25</f>
        <v>8.0994881980608327E-4</v>
      </c>
      <c r="L13" s="1"/>
      <c r="M13" s="2">
        <v>173</v>
      </c>
      <c r="N13" s="19" t="s">
        <v>108</v>
      </c>
      <c r="O13" s="19">
        <v>5.0999999999999996</v>
      </c>
      <c r="P13" s="19">
        <v>41.3</v>
      </c>
      <c r="Q13" s="1"/>
      <c r="S13" s="1"/>
      <c r="T13" s="1"/>
      <c r="U13" s="1"/>
      <c r="X13" s="1"/>
      <c r="Z13" s="1"/>
      <c r="AC13" s="1"/>
    </row>
    <row r="14" spans="1:29" x14ac:dyDescent="0.2">
      <c r="B14" s="2">
        <v>2</v>
      </c>
      <c r="C14" s="2">
        <v>200</v>
      </c>
      <c r="D14" s="2">
        <v>40</v>
      </c>
      <c r="E14" s="2">
        <f t="shared" si="1"/>
        <v>38.4</v>
      </c>
      <c r="F14" s="2">
        <f t="shared" si="2"/>
        <v>240</v>
      </c>
      <c r="G14" s="2">
        <v>6.4</v>
      </c>
      <c r="H14" s="2">
        <f t="shared" ref="H13:H22" si="4">(E14/F14)</f>
        <v>0.16</v>
      </c>
      <c r="I14" s="2">
        <f t="shared" ref="I14:I22" si="5">0.96*(((C14/((D14+C14)^2))*$D$25) + ((D14/((C14+D14)^2))*$C$25) )</f>
        <v>8.0000000000000002E-3</v>
      </c>
      <c r="J14" s="2">
        <f t="shared" si="0"/>
        <v>5.1836724467589329E-2</v>
      </c>
      <c r="K14" s="2">
        <f t="shared" si="3"/>
        <v>8.0994881980608327E-4</v>
      </c>
      <c r="L14" s="1"/>
      <c r="M14" s="2">
        <v>192</v>
      </c>
      <c r="N14" s="19" t="s">
        <v>109</v>
      </c>
      <c r="O14" s="19">
        <v>5.0999999999999996</v>
      </c>
      <c r="P14" s="19">
        <v>41.3</v>
      </c>
      <c r="Q14" s="1"/>
      <c r="S14" s="1"/>
      <c r="T14" s="1"/>
      <c r="U14" s="1"/>
      <c r="X14" s="1"/>
      <c r="Z14" s="1"/>
      <c r="AC14" s="1"/>
    </row>
    <row r="15" spans="1:29" x14ac:dyDescent="0.2">
      <c r="B15" s="2">
        <v>3</v>
      </c>
      <c r="C15" s="2">
        <v>200</v>
      </c>
      <c r="D15" s="2">
        <v>60</v>
      </c>
      <c r="E15" s="2">
        <f t="shared" si="1"/>
        <v>57.599999999999994</v>
      </c>
      <c r="F15" s="2">
        <f t="shared" si="2"/>
        <v>260</v>
      </c>
      <c r="G15" s="2">
        <v>6</v>
      </c>
      <c r="H15" s="2">
        <f t="shared" si="4"/>
        <v>0.22153846153846152</v>
      </c>
      <c r="I15" s="2">
        <f t="shared" si="5"/>
        <v>7.3846153846153836E-3</v>
      </c>
      <c r="J15" s="2">
        <f t="shared" si="0"/>
        <v>4.8596929188364994E-2</v>
      </c>
      <c r="K15" s="2">
        <f t="shared" si="3"/>
        <v>8.0994881980608327E-4</v>
      </c>
      <c r="L15" s="1"/>
      <c r="M15" s="1"/>
      <c r="S15" s="1"/>
      <c r="T15" s="1"/>
      <c r="U15" s="1"/>
      <c r="X15" s="1"/>
      <c r="Z15" s="1"/>
      <c r="AC15" s="1"/>
    </row>
    <row r="16" spans="1:29" x14ac:dyDescent="0.2">
      <c r="B16" s="2">
        <v>4</v>
      </c>
      <c r="C16" s="2">
        <v>200</v>
      </c>
      <c r="D16" s="2">
        <v>80</v>
      </c>
      <c r="E16" s="2">
        <f t="shared" si="1"/>
        <v>76.8</v>
      </c>
      <c r="F16" s="2">
        <f t="shared" si="2"/>
        <v>280</v>
      </c>
      <c r="G16" s="2">
        <v>5.8</v>
      </c>
      <c r="H16" s="2">
        <f t="shared" si="4"/>
        <v>0.2742857142857143</v>
      </c>
      <c r="I16" s="2">
        <f t="shared" si="5"/>
        <v>6.8571428571428568E-3</v>
      </c>
      <c r="J16" s="2">
        <f t="shared" si="0"/>
        <v>4.697703154875283E-2</v>
      </c>
      <c r="K16" s="2">
        <f t="shared" si="3"/>
        <v>8.0994881980608327E-4</v>
      </c>
      <c r="L16" s="1"/>
      <c r="M16" s="1"/>
      <c r="S16" s="1"/>
      <c r="T16" s="1"/>
      <c r="U16" s="1"/>
      <c r="X16" s="1"/>
      <c r="Z16" s="1"/>
      <c r="AC16" s="1"/>
    </row>
    <row r="17" spans="1:29" x14ac:dyDescent="0.2">
      <c r="B17" s="2">
        <v>5</v>
      </c>
      <c r="C17" s="2">
        <v>200</v>
      </c>
      <c r="D17" s="2">
        <v>100</v>
      </c>
      <c r="E17" s="2">
        <f t="shared" si="1"/>
        <v>96</v>
      </c>
      <c r="F17" s="2">
        <f t="shared" si="2"/>
        <v>300</v>
      </c>
      <c r="G17" s="2">
        <v>5.6</v>
      </c>
      <c r="H17" s="2">
        <f t="shared" si="4"/>
        <v>0.32</v>
      </c>
      <c r="I17" s="2">
        <f t="shared" si="5"/>
        <v>6.3999999999999994E-3</v>
      </c>
      <c r="J17" s="2">
        <f>G17/(4*PI()*$D$6)</f>
        <v>4.5357133909140659E-2</v>
      </c>
      <c r="K17" s="2">
        <f t="shared" si="3"/>
        <v>8.0994881980608327E-4</v>
      </c>
      <c r="L17" s="1"/>
      <c r="M17" s="1"/>
      <c r="S17" s="1"/>
      <c r="T17" s="1"/>
      <c r="U17" s="1"/>
      <c r="X17" s="1"/>
      <c r="Z17" s="1"/>
      <c r="AC17" s="1"/>
    </row>
    <row r="18" spans="1:29" ht="17" thickBot="1" x14ac:dyDescent="0.25">
      <c r="B18" s="2">
        <v>6</v>
      </c>
      <c r="C18" s="2">
        <v>200</v>
      </c>
      <c r="D18" s="2">
        <v>120</v>
      </c>
      <c r="E18" s="2">
        <f t="shared" si="1"/>
        <v>115.19999999999999</v>
      </c>
      <c r="F18" s="2">
        <f t="shared" si="2"/>
        <v>320</v>
      </c>
      <c r="G18" s="2">
        <v>5.3</v>
      </c>
      <c r="H18" s="2">
        <f t="shared" si="4"/>
        <v>0.36</v>
      </c>
      <c r="I18" s="2">
        <f t="shared" si="5"/>
        <v>6.0000000000000001E-3</v>
      </c>
      <c r="J18" s="2">
        <f t="shared" si="0"/>
        <v>4.2927287449722414E-2</v>
      </c>
      <c r="K18" s="2">
        <f t="shared" si="3"/>
        <v>8.0994881980608327E-4</v>
      </c>
      <c r="L18" s="1"/>
      <c r="M18" s="11" t="s">
        <v>84</v>
      </c>
      <c r="N18" s="11" t="s">
        <v>85</v>
      </c>
      <c r="S18" s="1"/>
      <c r="T18" s="1"/>
      <c r="U18" s="1"/>
      <c r="X18" s="1"/>
      <c r="Z18" s="1"/>
      <c r="AC18" s="1"/>
    </row>
    <row r="19" spans="1:29" x14ac:dyDescent="0.2">
      <c r="B19" s="2">
        <v>7</v>
      </c>
      <c r="C19" s="2">
        <v>200</v>
      </c>
      <c r="D19" s="2">
        <v>140</v>
      </c>
      <c r="E19" s="2">
        <f t="shared" si="1"/>
        <v>134.4</v>
      </c>
      <c r="F19" s="2">
        <f t="shared" si="2"/>
        <v>340</v>
      </c>
      <c r="G19" s="2">
        <v>5</v>
      </c>
      <c r="H19" s="2">
        <f t="shared" si="4"/>
        <v>0.39529411764705885</v>
      </c>
      <c r="I19" s="2">
        <f t="shared" si="5"/>
        <v>5.6470588235294113E-3</v>
      </c>
      <c r="J19" s="2">
        <f t="shared" si="0"/>
        <v>4.0497440990304161E-2</v>
      </c>
      <c r="K19" s="2">
        <f t="shared" si="3"/>
        <v>8.0994881980608327E-4</v>
      </c>
      <c r="L19" s="1"/>
      <c r="M19" s="16" t="s">
        <v>90</v>
      </c>
      <c r="N19" s="17" t="s">
        <v>79</v>
      </c>
      <c r="O19" s="2" t="s">
        <v>88</v>
      </c>
      <c r="P19" s="2" t="s">
        <v>89</v>
      </c>
      <c r="S19" s="1"/>
      <c r="T19" s="1"/>
      <c r="U19" s="1"/>
      <c r="X19" s="1"/>
      <c r="Z19" s="1"/>
      <c r="AC19" s="1"/>
    </row>
    <row r="20" spans="1:29" x14ac:dyDescent="0.2">
      <c r="B20" s="2">
        <v>8</v>
      </c>
      <c r="C20" s="2">
        <v>200</v>
      </c>
      <c r="D20" s="2">
        <v>160</v>
      </c>
      <c r="E20" s="2">
        <f t="shared" si="1"/>
        <v>153.6</v>
      </c>
      <c r="F20" s="2">
        <f t="shared" si="2"/>
        <v>360</v>
      </c>
      <c r="G20" s="2">
        <v>5.0999999999999996</v>
      </c>
      <c r="H20" s="2">
        <f t="shared" si="4"/>
        <v>0.42666666666666664</v>
      </c>
      <c r="I20" s="2">
        <f t="shared" si="5"/>
        <v>5.3333333333333323E-3</v>
      </c>
      <c r="J20" s="2">
        <f t="shared" si="0"/>
        <v>4.1307389810110243E-2</v>
      </c>
      <c r="K20" s="2">
        <f t="shared" si="3"/>
        <v>8.0994881980608327E-4</v>
      </c>
      <c r="L20" s="1"/>
      <c r="M20" s="2">
        <v>0</v>
      </c>
      <c r="N20" s="2">
        <v>6.5605854404292743E-2</v>
      </c>
      <c r="O20" s="1">
        <v>9.5999999999999992E-3</v>
      </c>
      <c r="P20" s="1">
        <v>8.0994881980608327E-4</v>
      </c>
      <c r="S20" s="1"/>
      <c r="T20" s="1"/>
      <c r="U20" s="1"/>
      <c r="X20" s="1"/>
      <c r="Z20" s="1"/>
      <c r="AC20" s="1"/>
    </row>
    <row r="21" spans="1:29" x14ac:dyDescent="0.2">
      <c r="B21" s="2">
        <v>9</v>
      </c>
      <c r="C21" s="2">
        <v>200</v>
      </c>
      <c r="D21" s="2">
        <v>180</v>
      </c>
      <c r="E21" s="2">
        <f t="shared" si="1"/>
        <v>172.79999999999998</v>
      </c>
      <c r="F21" s="2">
        <f t="shared" si="2"/>
        <v>380</v>
      </c>
      <c r="G21" s="2">
        <v>5.0999999999999996</v>
      </c>
      <c r="H21" s="2">
        <f t="shared" si="4"/>
        <v>0.45473684210526311</v>
      </c>
      <c r="I21" s="2">
        <f t="shared" si="5"/>
        <v>5.0526315789473685E-3</v>
      </c>
      <c r="J21" s="2">
        <f t="shared" si="0"/>
        <v>4.1307389810110243E-2</v>
      </c>
      <c r="K21" s="2">
        <f t="shared" si="3"/>
        <v>8.0994881980608327E-4</v>
      </c>
      <c r="L21" s="1"/>
      <c r="M21" s="2">
        <v>8.7272727272727266E-2</v>
      </c>
      <c r="N21" s="2">
        <v>5.9126263845844074E-2</v>
      </c>
      <c r="O21" s="1">
        <v>8.7272727272727259E-3</v>
      </c>
      <c r="P21" s="1">
        <v>8.0994881980608327E-4</v>
      </c>
      <c r="S21" s="1"/>
      <c r="T21" s="1"/>
      <c r="U21" s="1"/>
      <c r="X21" s="1"/>
      <c r="Z21" s="1"/>
      <c r="AC21" s="1"/>
    </row>
    <row r="22" spans="1:29" x14ac:dyDescent="0.2">
      <c r="B22" s="2">
        <v>10</v>
      </c>
      <c r="C22" s="2">
        <v>200</v>
      </c>
      <c r="D22" s="2">
        <v>200</v>
      </c>
      <c r="E22" s="2">
        <f t="shared" si="1"/>
        <v>192</v>
      </c>
      <c r="F22" s="2">
        <f t="shared" si="2"/>
        <v>400</v>
      </c>
      <c r="G22" s="2">
        <v>5.0999999999999996</v>
      </c>
      <c r="H22" s="2">
        <f t="shared" si="4"/>
        <v>0.48</v>
      </c>
      <c r="I22" s="2">
        <f t="shared" si="5"/>
        <v>4.7999999999999996E-3</v>
      </c>
      <c r="J22" s="2">
        <f t="shared" si="0"/>
        <v>4.1307389810110243E-2</v>
      </c>
      <c r="K22" s="2">
        <f t="shared" si="3"/>
        <v>8.0994881980608327E-4</v>
      </c>
      <c r="L22" s="1"/>
      <c r="M22" s="2">
        <v>0.16</v>
      </c>
      <c r="N22" s="2">
        <v>5.1836724467589329E-2</v>
      </c>
      <c r="O22" s="1">
        <v>8.0000000000000002E-3</v>
      </c>
      <c r="P22" s="1">
        <v>8.0994881980608327E-4</v>
      </c>
      <c r="S22" s="1"/>
      <c r="T22" s="1"/>
      <c r="U22" s="1"/>
      <c r="X22" s="1"/>
      <c r="Z22" s="1"/>
      <c r="AC22" s="1"/>
    </row>
    <row r="23" spans="1:29" x14ac:dyDescent="0.2">
      <c r="I23" s="1"/>
      <c r="J23" s="1"/>
      <c r="K23" s="1"/>
      <c r="L23" s="1"/>
      <c r="M23" s="2">
        <v>0.22153846153846152</v>
      </c>
      <c r="N23" s="2">
        <v>4.8596929188364994E-2</v>
      </c>
      <c r="O23" s="1">
        <v>7.3846153846153836E-3</v>
      </c>
      <c r="P23" s="1">
        <v>8.0994881980608327E-4</v>
      </c>
      <c r="Q23" s="1"/>
      <c r="R23" s="1"/>
      <c r="S23" s="1"/>
      <c r="T23" s="1"/>
      <c r="U23" s="1"/>
      <c r="V23" s="1"/>
      <c r="W23" s="1"/>
      <c r="X23" s="1"/>
    </row>
    <row r="24" spans="1:29" x14ac:dyDescent="0.2">
      <c r="C24" s="7" t="s">
        <v>77</v>
      </c>
      <c r="D24" s="7" t="s">
        <v>78</v>
      </c>
      <c r="G24" s="7" t="s">
        <v>82</v>
      </c>
      <c r="I24" s="1">
        <f>0.96 * ((C12/1000)/((C12/1000)+(D12/1000))^2) * 0.002</f>
        <v>9.5999999999999974E-3</v>
      </c>
      <c r="J24" s="1"/>
      <c r="M24" s="2">
        <v>0.2742857142857143</v>
      </c>
      <c r="N24" s="2">
        <v>4.697703154875283E-2</v>
      </c>
      <c r="O24" s="1">
        <v>6.8571428571428568E-3</v>
      </c>
      <c r="P24" s="1">
        <v>8.0994881980608327E-4</v>
      </c>
      <c r="Q24" s="1"/>
      <c r="R24" s="1"/>
      <c r="S24" s="1"/>
      <c r="T24" s="1"/>
    </row>
    <row r="25" spans="1:29" x14ac:dyDescent="0.2">
      <c r="C25" s="2">
        <v>2</v>
      </c>
      <c r="D25" s="7">
        <v>2</v>
      </c>
      <c r="G25" s="7">
        <v>0.1</v>
      </c>
      <c r="I25" s="1"/>
      <c r="J25" s="1"/>
      <c r="K25" s="1"/>
      <c r="M25" s="2">
        <v>0.32</v>
      </c>
      <c r="N25" s="2">
        <v>4.5357133909140659E-2</v>
      </c>
      <c r="O25" s="1">
        <v>6.3999999999999994E-3</v>
      </c>
      <c r="P25" s="1">
        <v>8.0994881980608327E-4</v>
      </c>
      <c r="T25" s="1"/>
    </row>
    <row r="26" spans="1:29" x14ac:dyDescent="0.2">
      <c r="I26" s="1"/>
      <c r="J26" t="s">
        <v>99</v>
      </c>
      <c r="K26" s="1"/>
      <c r="M26" s="2">
        <v>0.36</v>
      </c>
      <c r="N26" s="2">
        <v>4.2927287449722414E-2</v>
      </c>
      <c r="O26" s="1">
        <v>6.0000000000000001E-3</v>
      </c>
      <c r="P26" s="1">
        <v>8.0994881980608327E-4</v>
      </c>
      <c r="T26" s="1"/>
    </row>
    <row r="27" spans="1:29" x14ac:dyDescent="0.2">
      <c r="I27" s="1"/>
      <c r="J27" s="1"/>
      <c r="K27" s="1"/>
      <c r="M27" s="2">
        <v>0.39529411764705885</v>
      </c>
      <c r="N27" s="2">
        <v>4.0497440990304161E-2</v>
      </c>
      <c r="O27" s="1">
        <v>5.6470588235294113E-3</v>
      </c>
      <c r="P27" s="1">
        <v>8.0994881980608327E-4</v>
      </c>
      <c r="T27" s="1"/>
    </row>
    <row r="28" spans="1:29" x14ac:dyDescent="0.2">
      <c r="I28" s="1"/>
      <c r="J28" s="1"/>
      <c r="K28" s="1"/>
      <c r="M28" s="2">
        <v>0.42666666666666664</v>
      </c>
      <c r="N28" s="2">
        <v>4.1307389810110243E-2</v>
      </c>
      <c r="O28" s="1">
        <v>5.3333333333333323E-3</v>
      </c>
      <c r="P28" s="1">
        <v>8.0994881980608327E-4</v>
      </c>
      <c r="T28" s="1"/>
    </row>
    <row r="29" spans="1:29" x14ac:dyDescent="0.2">
      <c r="I29" s="1"/>
      <c r="J29" s="1"/>
      <c r="K29" s="1"/>
      <c r="M29" s="2">
        <v>0.45473684210526311</v>
      </c>
      <c r="N29" s="2">
        <v>4.1307389810110243E-2</v>
      </c>
      <c r="O29" s="1">
        <v>5.0526315789473685E-3</v>
      </c>
      <c r="P29" s="1">
        <v>8.0994881980608327E-4</v>
      </c>
      <c r="T29" s="1"/>
    </row>
    <row r="30" spans="1:29" x14ac:dyDescent="0.2">
      <c r="K30" s="1"/>
      <c r="M30" s="2">
        <v>0.48</v>
      </c>
      <c r="N30" s="2">
        <v>4.1307389810110243E-2</v>
      </c>
      <c r="O30" s="1">
        <v>4.7999999999999996E-3</v>
      </c>
      <c r="P30" s="1">
        <v>8.0994881980608327E-4</v>
      </c>
      <c r="T30" s="1"/>
    </row>
    <row r="31" spans="1:29" x14ac:dyDescent="0.2">
      <c r="A31" s="8"/>
      <c r="B31" s="9" t="s">
        <v>83</v>
      </c>
      <c r="C31" s="8"/>
      <c r="D31" s="8"/>
      <c r="E31" s="8"/>
      <c r="F31" s="8"/>
      <c r="G31" s="8"/>
      <c r="M31" s="2">
        <v>1</v>
      </c>
      <c r="N31" s="2">
        <v>3.2397952792243327E-2</v>
      </c>
      <c r="O31" s="1">
        <v>0.01</v>
      </c>
      <c r="P31" s="1">
        <v>8.0994881980608327E-4</v>
      </c>
      <c r="T31" s="1"/>
    </row>
    <row r="32" spans="1:29" x14ac:dyDescent="0.2">
      <c r="M32" s="2">
        <v>0.87272727272727268</v>
      </c>
      <c r="N32" s="2">
        <v>3.3207901612049409E-2</v>
      </c>
      <c r="O32" s="1">
        <v>8.7272727272727259E-3</v>
      </c>
      <c r="P32" s="1">
        <v>8.0994881980608327E-4</v>
      </c>
      <c r="T32" s="1"/>
    </row>
    <row r="33" spans="2:23" x14ac:dyDescent="0.2">
      <c r="B33" s="2" t="s">
        <v>36</v>
      </c>
      <c r="C33" s="2" t="s">
        <v>74</v>
      </c>
      <c r="D33" s="2" t="s">
        <v>75</v>
      </c>
      <c r="E33" s="2" t="s">
        <v>76</v>
      </c>
      <c r="F33" s="2" t="s">
        <v>40</v>
      </c>
      <c r="G33" s="2" t="s">
        <v>81</v>
      </c>
      <c r="H33" s="2" t="s">
        <v>86</v>
      </c>
      <c r="I33" s="2" t="s">
        <v>87</v>
      </c>
      <c r="J33" s="2" t="s">
        <v>79</v>
      </c>
      <c r="K33" s="2" t="s">
        <v>80</v>
      </c>
      <c r="M33" s="2">
        <v>0.8</v>
      </c>
      <c r="N33" s="2">
        <v>3.482779925166158E-2</v>
      </c>
      <c r="O33" s="1">
        <v>8.0000000000000002E-3</v>
      </c>
      <c r="P33" s="1">
        <v>8.0994881980608327E-4</v>
      </c>
      <c r="T33" s="1"/>
    </row>
    <row r="34" spans="2:23" x14ac:dyDescent="0.2">
      <c r="B34" s="2">
        <v>0</v>
      </c>
      <c r="C34" s="2">
        <v>0</v>
      </c>
      <c r="D34" s="2">
        <v>200</v>
      </c>
      <c r="E34" s="2">
        <v>192</v>
      </c>
      <c r="F34" s="2">
        <f>C34+E34</f>
        <v>192</v>
      </c>
      <c r="G34" s="2">
        <v>4</v>
      </c>
      <c r="H34" s="2">
        <f>(E34/F34)</f>
        <v>1</v>
      </c>
      <c r="I34" s="2">
        <f>0.96*(((C34/((D34+C34)^2))*$D$25) ) + ((D34/((C34+D34)^2))*$C$25)</f>
        <v>0.01</v>
      </c>
      <c r="J34" s="2">
        <f>G34/(4*PI()*$D$6)</f>
        <v>3.2397952792243327E-2</v>
      </c>
      <c r="K34" s="2">
        <f>(1/(4*PI()*$D$6))*$G$25</f>
        <v>8.0994881980608327E-4</v>
      </c>
      <c r="M34" s="2">
        <v>0.7384615384615385</v>
      </c>
      <c r="N34" s="2">
        <v>3.6447696891273744E-2</v>
      </c>
      <c r="O34" s="1">
        <v>7.3846153846153836E-3</v>
      </c>
      <c r="P34" s="1">
        <v>8.0994881980608327E-4</v>
      </c>
      <c r="T34" s="1"/>
    </row>
    <row r="35" spans="2:23" x14ac:dyDescent="0.2">
      <c r="B35" s="2">
        <v>1</v>
      </c>
      <c r="C35" s="2">
        <v>20</v>
      </c>
      <c r="D35" s="2">
        <v>200</v>
      </c>
      <c r="E35" s="2">
        <f t="shared" ref="E35:E44" si="6">D35*0.96</f>
        <v>192</v>
      </c>
      <c r="F35" s="2">
        <f t="shared" ref="F35:F44" si="7">C35+D35</f>
        <v>220</v>
      </c>
      <c r="G35" s="2">
        <v>4.0999999999999996</v>
      </c>
      <c r="H35" s="2">
        <f>(E35/F35)</f>
        <v>0.87272727272727268</v>
      </c>
      <c r="I35" s="2">
        <f>0.96*(((C35/((D35+C35)^2))*$D$25) + ((D35/((C35+D35)^2))*$C$25) )</f>
        <v>8.7272727272727259E-3</v>
      </c>
      <c r="J35" s="2">
        <f>G35/(4*PI()*$D$6)</f>
        <v>3.3207901612049409E-2</v>
      </c>
      <c r="K35" s="2">
        <f t="shared" ref="K35:K44" si="8">(1/(4*PI()*$D$6))*$G$25</f>
        <v>8.0994881980608327E-4</v>
      </c>
      <c r="M35" s="2">
        <v>0.68571428571428572</v>
      </c>
      <c r="N35" s="2">
        <v>3.7257645711079826E-2</v>
      </c>
      <c r="O35" s="1">
        <v>6.8571428571428568E-3</v>
      </c>
      <c r="P35" s="1">
        <v>8.0994881980608327E-4</v>
      </c>
    </row>
    <row r="36" spans="2:23" x14ac:dyDescent="0.2">
      <c r="B36" s="2">
        <v>2</v>
      </c>
      <c r="C36" s="2">
        <v>40</v>
      </c>
      <c r="D36" s="2">
        <v>200</v>
      </c>
      <c r="E36" s="2">
        <f t="shared" si="6"/>
        <v>192</v>
      </c>
      <c r="F36" s="2">
        <f t="shared" si="7"/>
        <v>240</v>
      </c>
      <c r="G36" s="2">
        <v>4.3</v>
      </c>
      <c r="H36" s="2">
        <f t="shared" ref="H36:H44" si="9">(E36/F36)</f>
        <v>0.8</v>
      </c>
      <c r="I36" s="2">
        <f t="shared" ref="I36:I44" si="10">0.96*(((C36/((D36+C36)^2))*$D$25) + ((D36/((C36+D36)^2))*$C$25) )</f>
        <v>8.0000000000000002E-3</v>
      </c>
      <c r="J36" s="2">
        <f t="shared" ref="J34:J44" si="11">G36/(4*PI()*$D$6)</f>
        <v>3.482779925166158E-2</v>
      </c>
      <c r="K36" s="2">
        <f t="shared" si="8"/>
        <v>8.0994881980608327E-4</v>
      </c>
      <c r="M36" s="2">
        <v>0.64</v>
      </c>
      <c r="N36" s="2">
        <v>4.2117338629916332E-2</v>
      </c>
      <c r="O36" s="1">
        <v>6.3999999999999994E-3</v>
      </c>
      <c r="P36" s="1">
        <v>8.0994881980608327E-4</v>
      </c>
    </row>
    <row r="37" spans="2:23" x14ac:dyDescent="0.2">
      <c r="B37" s="2">
        <v>3</v>
      </c>
      <c r="C37" s="2">
        <f>B37*20</f>
        <v>60</v>
      </c>
      <c r="D37" s="2">
        <v>200</v>
      </c>
      <c r="E37" s="2">
        <f t="shared" si="6"/>
        <v>192</v>
      </c>
      <c r="F37" s="2">
        <f t="shared" si="7"/>
        <v>260</v>
      </c>
      <c r="G37" s="2">
        <v>4.5</v>
      </c>
      <c r="H37" s="2">
        <f t="shared" si="9"/>
        <v>0.7384615384615385</v>
      </c>
      <c r="I37" s="2">
        <f t="shared" si="10"/>
        <v>7.3846153846153836E-3</v>
      </c>
      <c r="J37" s="2">
        <f t="shared" si="11"/>
        <v>3.6447696891273744E-2</v>
      </c>
      <c r="K37" s="2">
        <f t="shared" si="8"/>
        <v>8.0994881980608327E-4</v>
      </c>
      <c r="M37" s="2">
        <v>0.6</v>
      </c>
      <c r="N37" s="2">
        <v>4.2927287449722414E-2</v>
      </c>
      <c r="O37" s="1">
        <v>6.0000000000000001E-3</v>
      </c>
      <c r="P37" s="1">
        <v>8.0994881980608327E-4</v>
      </c>
    </row>
    <row r="38" spans="2:23" x14ac:dyDescent="0.2">
      <c r="B38" s="2">
        <v>4</v>
      </c>
      <c r="C38" s="2">
        <f t="shared" ref="C38:C44" si="12">B38*20</f>
        <v>80</v>
      </c>
      <c r="D38" s="2">
        <v>200</v>
      </c>
      <c r="E38" s="2">
        <f t="shared" si="6"/>
        <v>192</v>
      </c>
      <c r="F38" s="2">
        <f t="shared" si="7"/>
        <v>280</v>
      </c>
      <c r="G38" s="2">
        <v>4.5999999999999996</v>
      </c>
      <c r="H38" s="2">
        <f t="shared" si="9"/>
        <v>0.68571428571428572</v>
      </c>
      <c r="I38" s="2">
        <f t="shared" si="10"/>
        <v>6.8571428571428568E-3</v>
      </c>
      <c r="J38" s="2">
        <f t="shared" si="11"/>
        <v>3.7257645711079826E-2</v>
      </c>
      <c r="K38" s="2">
        <f t="shared" si="8"/>
        <v>8.0994881980608327E-4</v>
      </c>
      <c r="M38" s="2">
        <v>0.56470588235294117</v>
      </c>
      <c r="N38" s="2">
        <v>3.9687492170498079E-2</v>
      </c>
      <c r="O38" s="1">
        <v>5.6470588235294113E-3</v>
      </c>
      <c r="P38" s="1">
        <v>8.0994881980608327E-4</v>
      </c>
    </row>
    <row r="39" spans="2:23" x14ac:dyDescent="0.2">
      <c r="B39" s="2">
        <v>5</v>
      </c>
      <c r="C39" s="2">
        <f t="shared" si="12"/>
        <v>100</v>
      </c>
      <c r="D39" s="2">
        <v>200</v>
      </c>
      <c r="E39" s="2">
        <f t="shared" si="6"/>
        <v>192</v>
      </c>
      <c r="F39" s="2">
        <f t="shared" si="7"/>
        <v>300</v>
      </c>
      <c r="G39" s="2">
        <v>5.2</v>
      </c>
      <c r="H39" s="2">
        <f t="shared" si="9"/>
        <v>0.64</v>
      </c>
      <c r="I39" s="2">
        <f t="shared" si="10"/>
        <v>6.3999999999999994E-3</v>
      </c>
      <c r="J39" s="2">
        <f t="shared" si="11"/>
        <v>4.2117338629916332E-2</v>
      </c>
      <c r="K39" s="2">
        <f t="shared" si="8"/>
        <v>8.0994881980608327E-4</v>
      </c>
      <c r="M39" s="2">
        <v>0.53333333333333333</v>
      </c>
      <c r="N39" s="2">
        <v>4.0497440990304161E-2</v>
      </c>
      <c r="O39" s="1">
        <v>5.3333333333333323E-3</v>
      </c>
      <c r="P39" s="1">
        <v>8.0994881980608327E-4</v>
      </c>
      <c r="R39" t="s">
        <v>91</v>
      </c>
    </row>
    <row r="40" spans="2:23" x14ac:dyDescent="0.2">
      <c r="B40" s="2">
        <v>6</v>
      </c>
      <c r="C40" s="2">
        <f t="shared" si="12"/>
        <v>120</v>
      </c>
      <c r="D40" s="2">
        <v>200</v>
      </c>
      <c r="E40" s="2">
        <f t="shared" si="6"/>
        <v>192</v>
      </c>
      <c r="F40" s="2">
        <f t="shared" si="7"/>
        <v>320</v>
      </c>
      <c r="G40" s="2">
        <v>5.3</v>
      </c>
      <c r="H40" s="2">
        <f t="shared" si="9"/>
        <v>0.6</v>
      </c>
      <c r="I40" s="2">
        <f t="shared" si="10"/>
        <v>6.0000000000000001E-3</v>
      </c>
      <c r="J40" s="2">
        <f t="shared" si="11"/>
        <v>4.2927287449722414E-2</v>
      </c>
      <c r="K40" s="2">
        <f t="shared" si="8"/>
        <v>8.0994881980608327E-4</v>
      </c>
      <c r="M40" s="2">
        <v>0.50526315789473686</v>
      </c>
      <c r="N40" s="2">
        <v>4.1307389810110243E-2</v>
      </c>
      <c r="O40" s="1">
        <v>5.0526315789473685E-3</v>
      </c>
      <c r="P40" s="1">
        <v>8.0994881980608327E-4</v>
      </c>
    </row>
    <row r="41" spans="2:23" x14ac:dyDescent="0.2">
      <c r="B41" s="2">
        <v>7</v>
      </c>
      <c r="C41" s="2">
        <f t="shared" si="12"/>
        <v>140</v>
      </c>
      <c r="D41" s="2">
        <v>200</v>
      </c>
      <c r="E41" s="2">
        <f t="shared" si="6"/>
        <v>192</v>
      </c>
      <c r="F41" s="2">
        <f t="shared" si="7"/>
        <v>340</v>
      </c>
      <c r="G41" s="2">
        <v>4.9000000000000004</v>
      </c>
      <c r="H41" s="2">
        <f t="shared" si="9"/>
        <v>0.56470588235294117</v>
      </c>
      <c r="I41" s="2">
        <f t="shared" si="10"/>
        <v>5.6470588235294113E-3</v>
      </c>
      <c r="J41" s="2">
        <f t="shared" si="11"/>
        <v>3.9687492170498079E-2</v>
      </c>
      <c r="K41" s="2">
        <f t="shared" si="8"/>
        <v>8.0994881980608327E-4</v>
      </c>
      <c r="M41" s="2">
        <v>0.48</v>
      </c>
      <c r="N41" s="2">
        <v>4.2117338629916332E-2</v>
      </c>
      <c r="O41" s="1">
        <v>4.7999999999999996E-3</v>
      </c>
      <c r="P41" s="1">
        <v>8.0994881980608327E-4</v>
      </c>
    </row>
    <row r="42" spans="2:23" x14ac:dyDescent="0.2">
      <c r="B42" s="2">
        <v>8</v>
      </c>
      <c r="C42" s="2">
        <f t="shared" si="12"/>
        <v>160</v>
      </c>
      <c r="D42" s="2">
        <v>200</v>
      </c>
      <c r="E42" s="2">
        <f t="shared" si="6"/>
        <v>192</v>
      </c>
      <c r="F42" s="2">
        <f t="shared" si="7"/>
        <v>360</v>
      </c>
      <c r="G42" s="2">
        <v>5</v>
      </c>
      <c r="H42" s="2">
        <f t="shared" si="9"/>
        <v>0.53333333333333333</v>
      </c>
      <c r="I42" s="2">
        <f t="shared" si="10"/>
        <v>5.3333333333333323E-3</v>
      </c>
      <c r="J42" s="2">
        <f t="shared" si="11"/>
        <v>4.0497440990304161E-2</v>
      </c>
      <c r="K42" s="2">
        <f t="shared" si="8"/>
        <v>8.0994881980608327E-4</v>
      </c>
      <c r="M42" s="1"/>
      <c r="N42" s="1"/>
      <c r="R42" s="14" t="s">
        <v>92</v>
      </c>
      <c r="S42" s="14"/>
      <c r="T42" s="14"/>
      <c r="U42" s="14"/>
      <c r="V42" s="14"/>
      <c r="W42" s="14"/>
    </row>
    <row r="43" spans="2:23" x14ac:dyDescent="0.2">
      <c r="B43" s="2">
        <v>9</v>
      </c>
      <c r="C43" s="2">
        <f t="shared" si="12"/>
        <v>180</v>
      </c>
      <c r="D43" s="2">
        <v>200</v>
      </c>
      <c r="E43" s="2">
        <f t="shared" si="6"/>
        <v>192</v>
      </c>
      <c r="F43" s="2">
        <f t="shared" si="7"/>
        <v>380</v>
      </c>
      <c r="G43" s="2">
        <v>5.0999999999999996</v>
      </c>
      <c r="H43" s="2">
        <f t="shared" si="9"/>
        <v>0.50526315789473686</v>
      </c>
      <c r="I43" s="2">
        <f t="shared" si="10"/>
        <v>5.0526315789473685E-3</v>
      </c>
      <c r="J43" s="2">
        <f t="shared" si="11"/>
        <v>4.1307389810110243E-2</v>
      </c>
      <c r="K43" s="2">
        <f t="shared" si="8"/>
        <v>8.0994881980608327E-4</v>
      </c>
      <c r="M43" s="1"/>
      <c r="N43" s="1"/>
    </row>
    <row r="44" spans="2:23" x14ac:dyDescent="0.2">
      <c r="B44" s="2">
        <v>10</v>
      </c>
      <c r="C44" s="2">
        <f t="shared" si="12"/>
        <v>200</v>
      </c>
      <c r="D44" s="2">
        <v>200</v>
      </c>
      <c r="E44" s="2">
        <f t="shared" si="6"/>
        <v>192</v>
      </c>
      <c r="F44" s="2">
        <f t="shared" si="7"/>
        <v>400</v>
      </c>
      <c r="G44" s="2">
        <v>5.2</v>
      </c>
      <c r="H44" s="2">
        <f t="shared" si="9"/>
        <v>0.48</v>
      </c>
      <c r="I44" s="2">
        <f t="shared" si="10"/>
        <v>4.7999999999999996E-3</v>
      </c>
      <c r="J44" s="2">
        <f t="shared" si="11"/>
        <v>4.2117338629916332E-2</v>
      </c>
      <c r="K44" s="2">
        <f t="shared" si="8"/>
        <v>8.0994881980608327E-4</v>
      </c>
      <c r="M44" s="1"/>
      <c r="N44" s="1"/>
      <c r="R44" s="2" t="s">
        <v>93</v>
      </c>
      <c r="S44" s="2" t="s">
        <v>94</v>
      </c>
      <c r="T44" s="2" t="s">
        <v>95</v>
      </c>
      <c r="U44" s="2" t="s">
        <v>96</v>
      </c>
      <c r="V44" s="2" t="s">
        <v>97</v>
      </c>
      <c r="W44" s="2" t="s">
        <v>98</v>
      </c>
    </row>
    <row r="45" spans="2:23" x14ac:dyDescent="0.2">
      <c r="I45" s="1"/>
      <c r="J45" s="1"/>
      <c r="K45" s="1"/>
      <c r="M45" t="s">
        <v>114</v>
      </c>
      <c r="R45" s="7">
        <v>6.6100000000000006E-2</v>
      </c>
      <c r="S45" s="7">
        <v>8.0000000000000004E-4</v>
      </c>
      <c r="T45" s="7">
        <v>1.26E-2</v>
      </c>
      <c r="U45" s="7">
        <v>8.0000000000000004E-4</v>
      </c>
      <c r="V45" s="7">
        <v>12.7</v>
      </c>
      <c r="W45" s="7">
        <v>2.2999999999999998</v>
      </c>
    </row>
    <row r="46" spans="2:23" ht="19" x14ac:dyDescent="0.25">
      <c r="C46" s="7" t="s">
        <v>77</v>
      </c>
      <c r="D46" s="7" t="s">
        <v>78</v>
      </c>
      <c r="G46" s="7" t="s">
        <v>82</v>
      </c>
      <c r="I46" s="1"/>
      <c r="J46" s="1"/>
      <c r="M46" s="19" t="s">
        <v>115</v>
      </c>
      <c r="N46" s="19" t="s">
        <v>86</v>
      </c>
      <c r="O46" s="19" t="s">
        <v>81</v>
      </c>
      <c r="P46" s="19" t="s">
        <v>110</v>
      </c>
      <c r="R46" s="15"/>
      <c r="S46" s="15"/>
      <c r="T46" s="15"/>
      <c r="U46" s="15"/>
      <c r="V46" s="15"/>
      <c r="W46" s="15"/>
    </row>
    <row r="47" spans="2:23" x14ac:dyDescent="0.2">
      <c r="C47" s="2">
        <v>2</v>
      </c>
      <c r="D47" s="7">
        <v>2</v>
      </c>
      <c r="G47" s="7">
        <v>0.1</v>
      </c>
      <c r="I47" s="1"/>
      <c r="J47" s="1"/>
      <c r="K47" s="1"/>
      <c r="M47" s="2">
        <v>0</v>
      </c>
      <c r="N47" s="19" t="s">
        <v>116</v>
      </c>
      <c r="O47" s="2">
        <v>4</v>
      </c>
      <c r="P47" s="2">
        <v>32.4</v>
      </c>
    </row>
    <row r="48" spans="2:23" x14ac:dyDescent="0.2">
      <c r="I48" s="1"/>
      <c r="J48" s="1"/>
      <c r="K48" s="1"/>
      <c r="M48" s="2">
        <v>20</v>
      </c>
      <c r="N48" s="19" t="s">
        <v>117</v>
      </c>
      <c r="O48" s="2">
        <v>4.0999999999999996</v>
      </c>
      <c r="P48" s="2">
        <v>33.200000000000003</v>
      </c>
    </row>
    <row r="49" spans="4:25" x14ac:dyDescent="0.2">
      <c r="M49" s="2">
        <v>40</v>
      </c>
      <c r="N49" s="19" t="s">
        <v>118</v>
      </c>
      <c r="O49" s="2">
        <v>4.3</v>
      </c>
      <c r="P49" s="2">
        <v>34.799999999999997</v>
      </c>
    </row>
    <row r="50" spans="4:25" x14ac:dyDescent="0.2">
      <c r="M50" s="2">
        <v>60</v>
      </c>
      <c r="N50" s="19" t="s">
        <v>119</v>
      </c>
      <c r="O50" s="2">
        <v>4.5</v>
      </c>
      <c r="P50" s="2">
        <v>36.4</v>
      </c>
    </row>
    <row r="51" spans="4:25" x14ac:dyDescent="0.2">
      <c r="M51" s="2">
        <v>80</v>
      </c>
      <c r="N51" s="19" t="s">
        <v>120</v>
      </c>
      <c r="O51" s="2">
        <v>4.5999999999999996</v>
      </c>
      <c r="P51" s="2">
        <v>37.299999999999997</v>
      </c>
    </row>
    <row r="52" spans="4:25" x14ac:dyDescent="0.2">
      <c r="M52" s="2">
        <v>100</v>
      </c>
      <c r="N52" s="19" t="s">
        <v>121</v>
      </c>
      <c r="O52" s="2">
        <v>5.2</v>
      </c>
      <c r="P52" s="2">
        <v>42.1</v>
      </c>
    </row>
    <row r="53" spans="4:25" x14ac:dyDescent="0.2">
      <c r="M53" s="2">
        <v>120</v>
      </c>
      <c r="N53" s="19" t="s">
        <v>122</v>
      </c>
      <c r="O53" s="2">
        <v>5.3</v>
      </c>
      <c r="P53" s="2">
        <v>42.9</v>
      </c>
    </row>
    <row r="54" spans="4:25" x14ac:dyDescent="0.2">
      <c r="M54" s="2">
        <v>140</v>
      </c>
      <c r="N54" s="19" t="s">
        <v>123</v>
      </c>
      <c r="O54" s="2">
        <v>4.9000000000000004</v>
      </c>
      <c r="P54" s="2">
        <v>39.700000000000003</v>
      </c>
    </row>
    <row r="55" spans="4:25" x14ac:dyDescent="0.2">
      <c r="M55" s="2">
        <v>160</v>
      </c>
      <c r="N55" s="19" t="s">
        <v>124</v>
      </c>
      <c r="O55" s="2">
        <v>5</v>
      </c>
      <c r="P55" s="2">
        <v>40.5</v>
      </c>
    </row>
    <row r="56" spans="4:25" x14ac:dyDescent="0.2">
      <c r="M56" s="2">
        <v>180</v>
      </c>
      <c r="N56" s="19" t="s">
        <v>125</v>
      </c>
      <c r="O56" s="2">
        <v>5.0999999999999996</v>
      </c>
      <c r="P56" s="2">
        <v>41.3</v>
      </c>
    </row>
    <row r="57" spans="4:25" x14ac:dyDescent="0.2">
      <c r="M57" s="2">
        <v>200</v>
      </c>
      <c r="N57" s="19" t="s">
        <v>109</v>
      </c>
      <c r="O57" s="2">
        <v>5.2</v>
      </c>
      <c r="P57" s="2">
        <v>42.1</v>
      </c>
    </row>
    <row r="59" spans="4:25" x14ac:dyDescent="0.2">
      <c r="I59" s="5"/>
    </row>
    <row r="60" spans="4:25" x14ac:dyDescent="0.2">
      <c r="P60" s="1"/>
    </row>
    <row r="61" spans="4:25" x14ac:dyDescent="0.2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R61" s="1"/>
      <c r="U61" s="1"/>
      <c r="V61" s="1"/>
      <c r="X61" s="1"/>
      <c r="Y61" s="10"/>
    </row>
    <row r="62" spans="4:25" x14ac:dyDescent="0.2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R62" s="1"/>
      <c r="S62" s="1"/>
      <c r="U62" s="1"/>
      <c r="V62" s="1"/>
      <c r="X62" s="1"/>
      <c r="Y62" s="1"/>
    </row>
    <row r="63" spans="4:25" x14ac:dyDescent="0.2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R63" s="1"/>
      <c r="S63" s="1"/>
      <c r="U63" s="1"/>
      <c r="V63" s="1"/>
      <c r="Y63" s="1"/>
    </row>
    <row r="64" spans="4:25" x14ac:dyDescent="0.2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R64" s="1"/>
      <c r="S64" s="1"/>
      <c r="U64" s="1"/>
      <c r="V64" s="1"/>
      <c r="Y64" s="1"/>
    </row>
    <row r="65" spans="4:25" x14ac:dyDescent="0.2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R65" s="1"/>
      <c r="S65" s="1"/>
      <c r="U65" s="1"/>
      <c r="V65" s="1"/>
      <c r="Y65" s="1"/>
    </row>
    <row r="66" spans="4:25" x14ac:dyDescent="0.2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R66" s="1"/>
      <c r="S66" s="1"/>
      <c r="U66" s="1"/>
      <c r="V66" s="1"/>
      <c r="Y66" s="1"/>
    </row>
    <row r="67" spans="4:25" x14ac:dyDescent="0.2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R67" s="1"/>
      <c r="S67" s="1"/>
      <c r="U67" s="1"/>
      <c r="V67" s="1"/>
      <c r="Y67" s="1"/>
    </row>
    <row r="68" spans="4:25" x14ac:dyDescent="0.2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R68" s="1"/>
      <c r="S68" s="1"/>
      <c r="U68" s="1"/>
      <c r="V68" s="1"/>
      <c r="Y68" s="1"/>
    </row>
    <row r="69" spans="4:25" x14ac:dyDescent="0.2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R69" s="1"/>
      <c r="S69" s="1"/>
      <c r="U69" s="1"/>
      <c r="V69" s="1"/>
      <c r="Y69" s="1"/>
    </row>
    <row r="70" spans="4:25" x14ac:dyDescent="0.2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R70" s="1"/>
      <c r="S70" s="1"/>
      <c r="U70" s="1"/>
      <c r="V70" s="1"/>
      <c r="Y70" s="1"/>
    </row>
    <row r="71" spans="4:25" x14ac:dyDescent="0.2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R71" s="1"/>
      <c r="S71" s="1"/>
      <c r="U71" s="1"/>
      <c r="V71" s="1"/>
      <c r="Y71" s="1"/>
    </row>
    <row r="72" spans="4:25" x14ac:dyDescent="0.2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R72" s="1"/>
      <c r="S72" s="1"/>
      <c r="U72" s="1"/>
      <c r="V72" s="1"/>
      <c r="Y72" s="1"/>
    </row>
  </sheetData>
  <mergeCells count="1">
    <mergeCell ref="C3:E3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A7D27-3458-0340-B8CC-835472E9BE07}">
  <dimension ref="A1:D24"/>
  <sheetViews>
    <sheetView workbookViewId="0">
      <selection activeCell="D23" sqref="A1:D23"/>
    </sheetView>
  </sheetViews>
  <sheetFormatPr baseColWidth="10" defaultRowHeight="16" x14ac:dyDescent="0.2"/>
  <cols>
    <col min="1" max="1" width="24.33203125" customWidth="1"/>
    <col min="2" max="2" width="13.83203125" customWidth="1"/>
  </cols>
  <sheetData>
    <row r="1" spans="1:4" ht="17" thickBot="1" x14ac:dyDescent="0.25">
      <c r="A1" s="12" t="s">
        <v>90</v>
      </c>
      <c r="B1" s="13" t="s">
        <v>79</v>
      </c>
      <c r="C1" s="2" t="s">
        <v>88</v>
      </c>
      <c r="D1" s="2" t="s">
        <v>89</v>
      </c>
    </row>
    <row r="2" spans="1:4" x14ac:dyDescent="0.2">
      <c r="A2" s="1">
        <v>0</v>
      </c>
      <c r="B2" s="1">
        <v>6.5605854404292743E-2</v>
      </c>
      <c r="C2" s="1">
        <v>9.5999999999999992E-3</v>
      </c>
      <c r="D2" s="1">
        <v>8.0994881980608327E-4</v>
      </c>
    </row>
    <row r="3" spans="1:4" x14ac:dyDescent="0.2">
      <c r="A3" s="1">
        <v>8.7272727272727266E-2</v>
      </c>
      <c r="B3" s="1">
        <v>5.9126263845844074E-2</v>
      </c>
      <c r="C3" s="1">
        <v>8.7272727272727259E-3</v>
      </c>
      <c r="D3" s="1">
        <v>8.0994881980608327E-4</v>
      </c>
    </row>
    <row r="4" spans="1:4" x14ac:dyDescent="0.2">
      <c r="A4" s="1">
        <v>0.16</v>
      </c>
      <c r="B4" s="1">
        <v>5.1836724467589329E-2</v>
      </c>
      <c r="C4" s="1">
        <v>8.0000000000000002E-3</v>
      </c>
      <c r="D4" s="1">
        <v>8.0994881980608327E-4</v>
      </c>
    </row>
    <row r="5" spans="1:4" x14ac:dyDescent="0.2">
      <c r="A5" s="1">
        <v>0.22153846153846152</v>
      </c>
      <c r="B5" s="1">
        <v>4.8596929188364994E-2</v>
      </c>
      <c r="C5" s="1">
        <v>7.3846153846153836E-3</v>
      </c>
      <c r="D5" s="1">
        <v>8.0994881980608327E-4</v>
      </c>
    </row>
    <row r="6" spans="1:4" x14ac:dyDescent="0.2">
      <c r="A6" s="1">
        <v>0.2742857142857143</v>
      </c>
      <c r="B6" s="1">
        <v>4.697703154875283E-2</v>
      </c>
      <c r="C6" s="1">
        <v>6.8571428571428568E-3</v>
      </c>
      <c r="D6" s="1">
        <v>8.0994881980608327E-4</v>
      </c>
    </row>
    <row r="7" spans="1:4" x14ac:dyDescent="0.2">
      <c r="A7" s="1">
        <v>0.32</v>
      </c>
      <c r="B7" s="1">
        <v>4.5357133909140659E-2</v>
      </c>
      <c r="C7" s="1">
        <v>6.3999999999999994E-3</v>
      </c>
      <c r="D7" s="1">
        <v>8.0994881980608327E-4</v>
      </c>
    </row>
    <row r="8" spans="1:4" x14ac:dyDescent="0.2">
      <c r="A8" s="1">
        <v>0.36</v>
      </c>
      <c r="B8" s="1">
        <v>4.2927287449722414E-2</v>
      </c>
      <c r="C8" s="1">
        <v>6.0000000000000001E-3</v>
      </c>
      <c r="D8" s="1">
        <v>8.0994881980608327E-4</v>
      </c>
    </row>
    <row r="9" spans="1:4" x14ac:dyDescent="0.2">
      <c r="A9" s="1">
        <v>0.39529411764705885</v>
      </c>
      <c r="B9" s="1">
        <v>4.0497440990304161E-2</v>
      </c>
      <c r="C9" s="1">
        <v>5.6470588235294113E-3</v>
      </c>
      <c r="D9" s="1">
        <v>8.0994881980608327E-4</v>
      </c>
    </row>
    <row r="10" spans="1:4" x14ac:dyDescent="0.2">
      <c r="A10" s="1">
        <v>0.42666666666666664</v>
      </c>
      <c r="B10" s="1">
        <v>4.1307389810110243E-2</v>
      </c>
      <c r="C10" s="1">
        <v>5.3333333333333323E-3</v>
      </c>
      <c r="D10" s="1">
        <v>8.0994881980608327E-4</v>
      </c>
    </row>
    <row r="11" spans="1:4" x14ac:dyDescent="0.2">
      <c r="A11" s="1">
        <v>0.45473684210526311</v>
      </c>
      <c r="B11" s="1">
        <v>4.1307389810110243E-2</v>
      </c>
      <c r="C11" s="1">
        <v>5.0526315789473685E-3</v>
      </c>
      <c r="D11" s="1">
        <v>8.0994881980608327E-4</v>
      </c>
    </row>
    <row r="12" spans="1:4" x14ac:dyDescent="0.2">
      <c r="A12" s="1">
        <v>0.48</v>
      </c>
      <c r="B12" s="1">
        <v>4.1307389810110243E-2</v>
      </c>
      <c r="C12" s="1">
        <v>4.7999999999999996E-3</v>
      </c>
      <c r="D12" s="1">
        <v>8.0994881980608327E-4</v>
      </c>
    </row>
    <row r="13" spans="1:4" x14ac:dyDescent="0.2">
      <c r="A13" s="1">
        <v>1</v>
      </c>
      <c r="B13" s="1">
        <v>3.2397952792243327E-2</v>
      </c>
      <c r="C13" s="1">
        <v>0.01</v>
      </c>
      <c r="D13" s="1">
        <v>8.0994881980608327E-4</v>
      </c>
    </row>
    <row r="14" spans="1:4" x14ac:dyDescent="0.2">
      <c r="A14" s="1">
        <v>0.87272727272727268</v>
      </c>
      <c r="B14" s="1">
        <v>3.3207901612049409E-2</v>
      </c>
      <c r="C14" s="1">
        <v>8.7272727272727259E-3</v>
      </c>
      <c r="D14" s="1">
        <v>8.0994881980608327E-4</v>
      </c>
    </row>
    <row r="15" spans="1:4" x14ac:dyDescent="0.2">
      <c r="A15" s="1">
        <v>0.8</v>
      </c>
      <c r="B15" s="1">
        <v>3.482779925166158E-2</v>
      </c>
      <c r="C15" s="1">
        <v>8.0000000000000002E-3</v>
      </c>
      <c r="D15" s="1">
        <v>8.0994881980608327E-4</v>
      </c>
    </row>
    <row r="16" spans="1:4" x14ac:dyDescent="0.2">
      <c r="A16" s="1">
        <v>0.7384615384615385</v>
      </c>
      <c r="B16" s="1">
        <v>3.6447696891273744E-2</v>
      </c>
      <c r="C16" s="1">
        <v>7.3846153846153836E-3</v>
      </c>
      <c r="D16" s="1">
        <v>8.0994881980608327E-4</v>
      </c>
    </row>
    <row r="17" spans="1:4" x14ac:dyDescent="0.2">
      <c r="A17" s="1">
        <v>0.68571428571428572</v>
      </c>
      <c r="B17" s="1">
        <v>3.7257645711079826E-2</v>
      </c>
      <c r="C17" s="1">
        <v>6.8571428571428568E-3</v>
      </c>
      <c r="D17" s="1">
        <v>8.0994881980608327E-4</v>
      </c>
    </row>
    <row r="18" spans="1:4" x14ac:dyDescent="0.2">
      <c r="A18" s="1">
        <v>0.64</v>
      </c>
      <c r="B18" s="1">
        <v>4.2117338629916332E-2</v>
      </c>
      <c r="C18" s="1">
        <v>6.3999999999999994E-3</v>
      </c>
      <c r="D18" s="1">
        <v>8.0994881980608327E-4</v>
      </c>
    </row>
    <row r="19" spans="1:4" x14ac:dyDescent="0.2">
      <c r="A19" s="1">
        <v>0.6</v>
      </c>
      <c r="B19" s="1">
        <v>4.2927287449722414E-2</v>
      </c>
      <c r="C19" s="1">
        <v>6.0000000000000001E-3</v>
      </c>
      <c r="D19" s="1">
        <v>8.0994881980608327E-4</v>
      </c>
    </row>
    <row r="20" spans="1:4" x14ac:dyDescent="0.2">
      <c r="A20" s="1">
        <v>0.56470588235294117</v>
      </c>
      <c r="B20" s="1">
        <v>3.9687492170498079E-2</v>
      </c>
      <c r="C20" s="1">
        <v>5.6470588235294113E-3</v>
      </c>
      <c r="D20" s="1">
        <v>8.0994881980608327E-4</v>
      </c>
    </row>
    <row r="21" spans="1:4" x14ac:dyDescent="0.2">
      <c r="A21" s="1">
        <v>0.53333333333333333</v>
      </c>
      <c r="B21" s="1">
        <v>4.0497440990304161E-2</v>
      </c>
      <c r="C21" s="1">
        <v>5.3333333333333323E-3</v>
      </c>
      <c r="D21" s="1">
        <v>8.0994881980608327E-4</v>
      </c>
    </row>
    <row r="22" spans="1:4" x14ac:dyDescent="0.2">
      <c r="A22" s="1">
        <v>0.50526315789473686</v>
      </c>
      <c r="B22" s="1">
        <v>4.1307389810110243E-2</v>
      </c>
      <c r="C22" s="1">
        <v>5.0526315789473685E-3</v>
      </c>
      <c r="D22" s="1">
        <v>8.0994881980608327E-4</v>
      </c>
    </row>
    <row r="23" spans="1:4" x14ac:dyDescent="0.2">
      <c r="A23" s="1">
        <v>0.48</v>
      </c>
      <c r="B23" s="1">
        <v>4.2117338629916332E-2</v>
      </c>
      <c r="C23" s="1">
        <v>4.7999999999999996E-3</v>
      </c>
      <c r="D23" s="1">
        <v>8.0994881980608327E-4</v>
      </c>
    </row>
    <row r="24" spans="1:4" x14ac:dyDescent="0.2">
      <c r="A24" s="11" t="s">
        <v>84</v>
      </c>
      <c r="B24" s="1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 Ribot Oliver</dc:creator>
  <cp:keywords/>
  <dc:description/>
  <cp:lastModifiedBy>Joan Ribot</cp:lastModifiedBy>
  <cp:revision/>
  <dcterms:created xsi:type="dcterms:W3CDTF">2023-04-19T21:26:12Z</dcterms:created>
  <dcterms:modified xsi:type="dcterms:W3CDTF">2023-06-10T07:54:07Z</dcterms:modified>
  <cp:category/>
  <cp:contentStatus/>
</cp:coreProperties>
</file>