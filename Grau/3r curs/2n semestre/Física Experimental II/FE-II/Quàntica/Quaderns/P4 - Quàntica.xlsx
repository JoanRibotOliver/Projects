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eu/Documents/"/>
    </mc:Choice>
  </mc:AlternateContent>
  <xr:revisionPtr revIDLastSave="844" documentId="8_{8FF28A38-24A2-6948-BD26-808FE568C260}" xr6:coauthVersionLast="47" xr6:coauthVersionMax="47" xr10:uidLastSave="{8B713D8E-D3C9-6248-A5A2-363AADA91792}"/>
  <bookViews>
    <workbookView xWindow="0" yWindow="1360" windowWidth="28800" windowHeight="16100" activeTab="1" xr2:uid="{DC3D433D-78CE-6740-A010-C1036140AFFE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4" i="2" l="1"/>
  <c r="C72" i="2"/>
  <c r="X76" i="2"/>
  <c r="N77" i="2"/>
  <c r="D72" i="2"/>
  <c r="M77" i="2"/>
  <c r="W76" i="2"/>
  <c r="AA73" i="2"/>
  <c r="X73" i="2"/>
  <c r="W73" i="2"/>
  <c r="Z73" i="2"/>
  <c r="Q74" i="2"/>
  <c r="O74" i="2"/>
  <c r="N74" i="2"/>
  <c r="M74" i="2"/>
  <c r="E69" i="2"/>
  <c r="G69" i="2"/>
  <c r="F69" i="2"/>
  <c r="A10" i="2"/>
  <c r="G55" i="1"/>
  <c r="E56" i="1"/>
  <c r="E55" i="1"/>
  <c r="E54" i="1"/>
  <c r="E53" i="1"/>
  <c r="T48" i="1"/>
  <c r="U48" i="1"/>
  <c r="T49" i="1"/>
  <c r="U49" i="1" s="1"/>
  <c r="K48" i="1"/>
  <c r="L48" i="1"/>
  <c r="K49" i="1"/>
  <c r="L49" i="1" s="1"/>
  <c r="K50" i="1"/>
  <c r="L50" i="1"/>
  <c r="K51" i="1"/>
  <c r="L51" i="1"/>
  <c r="K41" i="1"/>
  <c r="L41" i="1"/>
  <c r="K42" i="1"/>
  <c r="L42" i="1" s="1"/>
  <c r="K43" i="1"/>
  <c r="L43" i="1" s="1"/>
  <c r="K44" i="1"/>
  <c r="L44" i="1"/>
  <c r="K45" i="1"/>
  <c r="L45" i="1"/>
  <c r="K46" i="1"/>
  <c r="L46" i="1"/>
  <c r="K47" i="1"/>
  <c r="L47" i="1"/>
  <c r="T41" i="1"/>
  <c r="U41" i="1" s="1"/>
  <c r="T42" i="1"/>
  <c r="U42" i="1" s="1"/>
  <c r="T43" i="1"/>
  <c r="U43" i="1"/>
  <c r="T44" i="1"/>
  <c r="U44" i="1"/>
  <c r="T45" i="1"/>
  <c r="U45" i="1" s="1"/>
  <c r="T46" i="1"/>
  <c r="U46" i="1" s="1"/>
  <c r="T47" i="1"/>
  <c r="U47" i="1"/>
  <c r="C42" i="1"/>
  <c r="D42" i="1"/>
  <c r="C43" i="1"/>
  <c r="D43" i="1" s="1"/>
  <c r="C44" i="1"/>
  <c r="D44" i="1"/>
  <c r="C45" i="1"/>
  <c r="D45" i="1"/>
  <c r="C46" i="1"/>
  <c r="D46" i="1"/>
  <c r="C47" i="1"/>
  <c r="D47" i="1"/>
  <c r="C41" i="1"/>
  <c r="D41" i="1"/>
  <c r="T28" i="1"/>
  <c r="U28" i="1"/>
  <c r="T29" i="1"/>
  <c r="U29" i="1" s="1"/>
  <c r="T30" i="1"/>
  <c r="U30" i="1"/>
  <c r="T31" i="1"/>
  <c r="U31" i="1" s="1"/>
  <c r="T32" i="1"/>
  <c r="U32" i="1"/>
  <c r="T33" i="1"/>
  <c r="U33" i="1" s="1"/>
  <c r="T34" i="1"/>
  <c r="U34" i="1" s="1"/>
  <c r="T35" i="1"/>
  <c r="U35" i="1" s="1"/>
  <c r="T36" i="1"/>
  <c r="U36" i="1"/>
  <c r="T37" i="1"/>
  <c r="U37" i="1" s="1"/>
  <c r="T38" i="1"/>
  <c r="U38" i="1"/>
  <c r="T39" i="1"/>
  <c r="U39" i="1" s="1"/>
  <c r="T40" i="1"/>
  <c r="U40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 s="1"/>
  <c r="C35" i="1"/>
  <c r="D35" i="1"/>
  <c r="C36" i="1"/>
  <c r="D36" i="1"/>
  <c r="C37" i="1"/>
  <c r="D37" i="1" s="1"/>
  <c r="C38" i="1"/>
  <c r="D38" i="1"/>
  <c r="C39" i="1"/>
  <c r="D39" i="1"/>
  <c r="C40" i="1"/>
  <c r="D40" i="1"/>
  <c r="T27" i="1"/>
  <c r="U27" i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T19" i="1"/>
  <c r="U19" i="1" s="1"/>
  <c r="T18" i="1"/>
  <c r="U18" i="1" s="1"/>
  <c r="T17" i="1"/>
  <c r="U17" i="1" s="1"/>
  <c r="T16" i="1"/>
  <c r="U16" i="1" s="1"/>
  <c r="T15" i="1"/>
  <c r="U15" i="1" s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T14" i="1"/>
  <c r="T13" i="1"/>
  <c r="T12" i="1"/>
  <c r="T11" i="1"/>
  <c r="T10" i="1"/>
  <c r="T9" i="1"/>
  <c r="U9" i="1" s="1"/>
  <c r="K14" i="1"/>
  <c r="L14" i="1" s="1"/>
  <c r="K13" i="1"/>
  <c r="L13" i="1" s="1"/>
  <c r="K12" i="1"/>
  <c r="K11" i="1"/>
  <c r="K10" i="1"/>
  <c r="K9" i="1"/>
  <c r="C10" i="1"/>
  <c r="D10" i="1" s="1"/>
  <c r="C11" i="1"/>
  <c r="D11" i="1" s="1"/>
  <c r="C12" i="1"/>
  <c r="D12" i="1" s="1"/>
  <c r="C13" i="1"/>
  <c r="D13" i="1" s="1"/>
  <c r="C14" i="1"/>
  <c r="C9" i="1"/>
  <c r="D9" i="1" s="1"/>
  <c r="H3" i="1"/>
  <c r="U14" i="1"/>
  <c r="U13" i="1"/>
  <c r="U12" i="1"/>
  <c r="U11" i="1"/>
  <c r="U10" i="1"/>
  <c r="L12" i="1"/>
  <c r="L11" i="1"/>
  <c r="L10" i="1"/>
  <c r="L9" i="1"/>
  <c r="D14" i="1"/>
  <c r="Y73" i="2" l="1"/>
</calcChain>
</file>

<file path=xl/sharedStrings.xml><?xml version="1.0" encoding="utf-8"?>
<sst xmlns="http://schemas.openxmlformats.org/spreadsheetml/2006/main" count="94" uniqueCount="51">
  <si>
    <t>resta 4 cm</t>
  </si>
  <si>
    <t>b (cm)</t>
  </si>
  <si>
    <t>distànca (cm)</t>
  </si>
  <si>
    <t>ESCLETXA 1</t>
  </si>
  <si>
    <t>d (mm)</t>
  </si>
  <si>
    <t>0,1 mm</t>
  </si>
  <si>
    <t>ESCLETXA 2</t>
  </si>
  <si>
    <t>ESCLETXA 3</t>
  </si>
  <si>
    <t>0,2 mm</t>
  </si>
  <si>
    <t>0,4 mm</t>
  </si>
  <si>
    <t>λ = 633 nm</t>
  </si>
  <si>
    <t>λ (m)</t>
  </si>
  <si>
    <t>font làser He-Ne</t>
  </si>
  <si>
    <t>incerteses</t>
  </si>
  <si>
    <t>x (±0,001 m)</t>
  </si>
  <si>
    <t>màx en I = 0</t>
  </si>
  <si>
    <t>cada volta són 0,5 mm de desplaçament</t>
  </si>
  <si>
    <t>b (±0,002 m)</t>
  </si>
  <si>
    <t xml:space="preserve">76 + 45, 8 </t>
  </si>
  <si>
    <t>V (±0,01v)</t>
  </si>
  <si>
    <t>V (±0,01 v)</t>
  </si>
  <si>
    <t>x (mm)</t>
  </si>
  <si>
    <t>descartar???</t>
  </si>
  <si>
    <t>0,1 v ara de incertesa</t>
  </si>
  <si>
    <t>oscil·la molt</t>
  </si>
  <si>
    <t>0,01 v otra vez</t>
  </si>
  <si>
    <t>ara més precís</t>
  </si>
  <si>
    <t>0,1 v incertesa</t>
  </si>
  <si>
    <t>0,01 v</t>
  </si>
  <si>
    <t>separació menos simètrica… no se pot fer més</t>
  </si>
  <si>
    <t>lambda</t>
  </si>
  <si>
    <t>(m)</t>
  </si>
  <si>
    <t>a (mm)</t>
  </si>
  <si>
    <t>aprox de 1</t>
  </si>
  <si>
    <t>Medidas y valores relevantes</t>
  </si>
  <si>
    <t>distànca (±0,001m)</t>
  </si>
  <si>
    <t>b (m)</t>
  </si>
  <si>
    <t>Error b (m)</t>
  </si>
  <si>
    <t>Rendija 1</t>
  </si>
  <si>
    <t>Error V (V)</t>
  </si>
  <si>
    <t>V (V)</t>
  </si>
  <si>
    <t>Error x (mm)</t>
  </si>
  <si>
    <t>Rendija 2</t>
  </si>
  <si>
    <t>Rendija 3</t>
  </si>
  <si>
    <t>error a prop. (mm)</t>
  </si>
  <si>
    <t>error a desviacion (mm)</t>
  </si>
  <si>
    <t>a_r (mm)</t>
  </si>
  <si>
    <t>a_l (mm)</t>
  </si>
  <si>
    <t>ecuacion 6 (rad)</t>
  </si>
  <si>
    <t>d (m)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</si>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</sst>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333333"/>
      <name val="Helvetica Neue"/>
      <family val="2"/>
    </font>
    <font>
      <sz val="12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/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6" borderId="1" xfId="0" applyFill="1" applyBorder="1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Sheet1!$H$8</c:f>
              <c:strCache>
                <c:ptCount val="1"/>
                <c:pt idx="0">
                  <c:v>V (±0,01v)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Sheet1!$G$10:$G$48</c:f>
              <c:numCache>
                <c:formatCode>General</c:formatCode>
                <c:ptCount val="39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</c:numCache>
            </c:numRef>
          </c:xVal>
          <c:yVal>
            <c:numRef>
              <c:f>Sheet1!$H$10:$H$48</c:f>
              <c:numCache>
                <c:formatCode>General</c:formatCode>
                <c:ptCount val="39"/>
                <c:pt idx="0">
                  <c:v>0.14000000000000001</c:v>
                </c:pt>
                <c:pt idx="1">
                  <c:v>0.13</c:v>
                </c:pt>
                <c:pt idx="2">
                  <c:v>0.15</c:v>
                </c:pt>
                <c:pt idx="3">
                  <c:v>0.19</c:v>
                </c:pt>
                <c:pt idx="4">
                  <c:v>0.28999999999999998</c:v>
                </c:pt>
                <c:pt idx="5">
                  <c:v>0.41</c:v>
                </c:pt>
                <c:pt idx="6">
                  <c:v>0.61</c:v>
                </c:pt>
                <c:pt idx="7">
                  <c:v>0.94</c:v>
                </c:pt>
                <c:pt idx="8">
                  <c:v>1.19</c:v>
                </c:pt>
                <c:pt idx="9">
                  <c:v>1.58</c:v>
                </c:pt>
                <c:pt idx="10">
                  <c:v>2.0099999999999998</c:v>
                </c:pt>
                <c:pt idx="11">
                  <c:v>2.46</c:v>
                </c:pt>
                <c:pt idx="12">
                  <c:v>2.92</c:v>
                </c:pt>
                <c:pt idx="13">
                  <c:v>3.37</c:v>
                </c:pt>
                <c:pt idx="14">
                  <c:v>3.78</c:v>
                </c:pt>
                <c:pt idx="15">
                  <c:v>4.1500000000000004</c:v>
                </c:pt>
                <c:pt idx="16">
                  <c:v>4.4000000000000004</c:v>
                </c:pt>
                <c:pt idx="17">
                  <c:v>4.55</c:v>
                </c:pt>
                <c:pt idx="18">
                  <c:v>4.57</c:v>
                </c:pt>
                <c:pt idx="19">
                  <c:v>4.5</c:v>
                </c:pt>
                <c:pt idx="20">
                  <c:v>4.29</c:v>
                </c:pt>
                <c:pt idx="21">
                  <c:v>3.99</c:v>
                </c:pt>
                <c:pt idx="22">
                  <c:v>3.62</c:v>
                </c:pt>
                <c:pt idx="23">
                  <c:v>3.48</c:v>
                </c:pt>
                <c:pt idx="24">
                  <c:v>2.7</c:v>
                </c:pt>
                <c:pt idx="25">
                  <c:v>2.2400000000000002</c:v>
                </c:pt>
                <c:pt idx="26">
                  <c:v>1.82</c:v>
                </c:pt>
                <c:pt idx="27">
                  <c:v>1.4</c:v>
                </c:pt>
                <c:pt idx="28">
                  <c:v>1.03</c:v>
                </c:pt>
                <c:pt idx="29">
                  <c:v>0.71</c:v>
                </c:pt>
                <c:pt idx="30">
                  <c:v>0.52</c:v>
                </c:pt>
                <c:pt idx="31">
                  <c:v>0.32</c:v>
                </c:pt>
                <c:pt idx="32">
                  <c:v>0.21</c:v>
                </c:pt>
                <c:pt idx="33">
                  <c:v>0.16</c:v>
                </c:pt>
                <c:pt idx="34">
                  <c:v>0.14000000000000001</c:v>
                </c:pt>
                <c:pt idx="35">
                  <c:v>0.15</c:v>
                </c:pt>
                <c:pt idx="36">
                  <c:v>0.17</c:v>
                </c:pt>
                <c:pt idx="37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96-0A4E-8C35-3DD29BF33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354255"/>
        <c:axId val="436138191"/>
      </c:scatterChart>
      <c:valAx>
        <c:axId val="43535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138191"/>
        <c:crosses val="autoZero"/>
        <c:crossBetween val="midCat"/>
      </c:valAx>
      <c:valAx>
        <c:axId val="43613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535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Sheet1!$P$8</c:f>
              <c:strCache>
                <c:ptCount val="1"/>
                <c:pt idx="0">
                  <c:v>V (±0,01v)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Sheet1!$O$9:$O$51</c:f>
              <c:numCache>
                <c:formatCode>General</c:formatCode>
                <c:ptCount val="4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</c:numCache>
            </c:numRef>
          </c:xVal>
          <c:yVal>
            <c:numRef>
              <c:f>Sheet1!$P$9:$P$51</c:f>
              <c:numCache>
                <c:formatCode>General</c:formatCode>
                <c:ptCount val="43"/>
                <c:pt idx="0">
                  <c:v>0.19</c:v>
                </c:pt>
                <c:pt idx="1">
                  <c:v>0.18</c:v>
                </c:pt>
                <c:pt idx="2">
                  <c:v>0.16</c:v>
                </c:pt>
                <c:pt idx="3">
                  <c:v>0.13</c:v>
                </c:pt>
                <c:pt idx="4">
                  <c:v>0.09</c:v>
                </c:pt>
                <c:pt idx="5">
                  <c:v>0.06</c:v>
                </c:pt>
                <c:pt idx="6">
                  <c:v>0.05</c:v>
                </c:pt>
                <c:pt idx="7">
                  <c:v>0.08</c:v>
                </c:pt>
                <c:pt idx="8">
                  <c:v>0.17</c:v>
                </c:pt>
                <c:pt idx="9">
                  <c:v>0.31</c:v>
                </c:pt>
                <c:pt idx="10">
                  <c:v>0.56000000000000005</c:v>
                </c:pt>
                <c:pt idx="11">
                  <c:v>0.82</c:v>
                </c:pt>
                <c:pt idx="12">
                  <c:v>1.26</c:v>
                </c:pt>
                <c:pt idx="13">
                  <c:v>1.7</c:v>
                </c:pt>
                <c:pt idx="14">
                  <c:v>2.2999999999999998</c:v>
                </c:pt>
                <c:pt idx="15">
                  <c:v>2.87</c:v>
                </c:pt>
                <c:pt idx="16">
                  <c:v>3.55</c:v>
                </c:pt>
                <c:pt idx="17">
                  <c:v>4.13</c:v>
                </c:pt>
                <c:pt idx="18">
                  <c:v>4.8</c:v>
                </c:pt>
                <c:pt idx="19">
                  <c:v>5.3</c:v>
                </c:pt>
                <c:pt idx="20">
                  <c:v>5.7</c:v>
                </c:pt>
                <c:pt idx="21">
                  <c:v>6</c:v>
                </c:pt>
                <c:pt idx="22">
                  <c:v>6.2</c:v>
                </c:pt>
                <c:pt idx="23">
                  <c:v>6.3</c:v>
                </c:pt>
                <c:pt idx="24">
                  <c:v>6.2</c:v>
                </c:pt>
                <c:pt idx="25">
                  <c:v>5.9</c:v>
                </c:pt>
                <c:pt idx="26">
                  <c:v>5.7</c:v>
                </c:pt>
                <c:pt idx="27">
                  <c:v>5.2</c:v>
                </c:pt>
                <c:pt idx="28">
                  <c:v>4.3</c:v>
                </c:pt>
                <c:pt idx="29">
                  <c:v>3.7</c:v>
                </c:pt>
                <c:pt idx="30">
                  <c:v>3</c:v>
                </c:pt>
                <c:pt idx="31">
                  <c:v>2.39</c:v>
                </c:pt>
                <c:pt idx="32">
                  <c:v>1.81</c:v>
                </c:pt>
                <c:pt idx="33">
                  <c:v>1.28</c:v>
                </c:pt>
                <c:pt idx="34">
                  <c:v>0.83</c:v>
                </c:pt>
                <c:pt idx="35">
                  <c:v>0.54</c:v>
                </c:pt>
                <c:pt idx="36">
                  <c:v>0.28999999999999998</c:v>
                </c:pt>
                <c:pt idx="37">
                  <c:v>0.16</c:v>
                </c:pt>
                <c:pt idx="38">
                  <c:v>7.0000000000000007E-2</c:v>
                </c:pt>
                <c:pt idx="39">
                  <c:v>0.04</c:v>
                </c:pt>
                <c:pt idx="40">
                  <c:v>0.05</c:v>
                </c:pt>
                <c:pt idx="41">
                  <c:v>7.0000000000000007E-2</c:v>
                </c:pt>
                <c:pt idx="42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0-0A4B-899F-DB783E9AC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81295"/>
        <c:axId val="458689295"/>
      </c:scatterChart>
      <c:valAx>
        <c:axId val="45868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8689295"/>
        <c:crosses val="autoZero"/>
        <c:crossBetween val="midCat"/>
      </c:valAx>
      <c:valAx>
        <c:axId val="45868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868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Sheet1!$Y$8</c:f>
              <c:strCache>
                <c:ptCount val="1"/>
                <c:pt idx="0">
                  <c:v>V (±0,01v)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Sheet1!$X$9:$X$49</c:f>
              <c:numCache>
                <c:formatCode>General</c:formatCode>
                <c:ptCount val="41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1.125</c:v>
                </c:pt>
                <c:pt idx="10">
                  <c:v>1.25</c:v>
                </c:pt>
                <c:pt idx="11">
                  <c:v>1.375</c:v>
                </c:pt>
                <c:pt idx="12">
                  <c:v>1.5</c:v>
                </c:pt>
                <c:pt idx="13">
                  <c:v>1.625</c:v>
                </c:pt>
                <c:pt idx="14">
                  <c:v>1.75</c:v>
                </c:pt>
                <c:pt idx="15">
                  <c:v>1.875</c:v>
                </c:pt>
                <c:pt idx="16">
                  <c:v>2</c:v>
                </c:pt>
                <c:pt idx="17">
                  <c:v>2.125</c:v>
                </c:pt>
                <c:pt idx="18">
                  <c:v>2.25</c:v>
                </c:pt>
                <c:pt idx="19">
                  <c:v>2.375</c:v>
                </c:pt>
                <c:pt idx="20">
                  <c:v>2.5</c:v>
                </c:pt>
                <c:pt idx="21">
                  <c:v>2.625</c:v>
                </c:pt>
                <c:pt idx="22">
                  <c:v>2.75</c:v>
                </c:pt>
                <c:pt idx="23">
                  <c:v>2.875</c:v>
                </c:pt>
                <c:pt idx="24">
                  <c:v>3</c:v>
                </c:pt>
                <c:pt idx="25">
                  <c:v>3.125</c:v>
                </c:pt>
                <c:pt idx="26">
                  <c:v>3.25</c:v>
                </c:pt>
                <c:pt idx="27">
                  <c:v>3.375</c:v>
                </c:pt>
                <c:pt idx="28">
                  <c:v>3.5</c:v>
                </c:pt>
                <c:pt idx="29">
                  <c:v>3.625</c:v>
                </c:pt>
                <c:pt idx="30">
                  <c:v>3.75</c:v>
                </c:pt>
                <c:pt idx="31">
                  <c:v>3.875</c:v>
                </c:pt>
                <c:pt idx="32">
                  <c:v>4</c:v>
                </c:pt>
                <c:pt idx="33">
                  <c:v>4.125</c:v>
                </c:pt>
                <c:pt idx="34">
                  <c:v>4.25</c:v>
                </c:pt>
                <c:pt idx="35">
                  <c:v>4.375</c:v>
                </c:pt>
                <c:pt idx="36">
                  <c:v>4.5</c:v>
                </c:pt>
                <c:pt idx="37">
                  <c:v>4.625</c:v>
                </c:pt>
                <c:pt idx="38">
                  <c:v>4.75</c:v>
                </c:pt>
                <c:pt idx="39">
                  <c:v>4.875</c:v>
                </c:pt>
                <c:pt idx="40">
                  <c:v>5</c:v>
                </c:pt>
              </c:numCache>
            </c:numRef>
          </c:xVal>
          <c:yVal>
            <c:numRef>
              <c:f>Sheet1!$Y$9:$Y$49</c:f>
              <c:numCache>
                <c:formatCode>General</c:formatCode>
                <c:ptCount val="41"/>
                <c:pt idx="0">
                  <c:v>0.18</c:v>
                </c:pt>
                <c:pt idx="1">
                  <c:v>0.18</c:v>
                </c:pt>
                <c:pt idx="2">
                  <c:v>0.18</c:v>
                </c:pt>
                <c:pt idx="3">
                  <c:v>0.13</c:v>
                </c:pt>
                <c:pt idx="4">
                  <c:v>0.08</c:v>
                </c:pt>
                <c:pt idx="5">
                  <c:v>0.04</c:v>
                </c:pt>
                <c:pt idx="6">
                  <c:v>0.03</c:v>
                </c:pt>
                <c:pt idx="7">
                  <c:v>7.0000000000000007E-2</c:v>
                </c:pt>
                <c:pt idx="8">
                  <c:v>0.15</c:v>
                </c:pt>
                <c:pt idx="9">
                  <c:v>0.28000000000000003</c:v>
                </c:pt>
                <c:pt idx="10">
                  <c:v>0.47</c:v>
                </c:pt>
                <c:pt idx="11">
                  <c:v>0.82</c:v>
                </c:pt>
                <c:pt idx="12">
                  <c:v>1.26</c:v>
                </c:pt>
                <c:pt idx="13">
                  <c:v>1.77</c:v>
                </c:pt>
                <c:pt idx="14">
                  <c:v>2.2999999999999998</c:v>
                </c:pt>
                <c:pt idx="15">
                  <c:v>2.9</c:v>
                </c:pt>
                <c:pt idx="16">
                  <c:v>3.6</c:v>
                </c:pt>
                <c:pt idx="17">
                  <c:v>4.3</c:v>
                </c:pt>
                <c:pt idx="18">
                  <c:v>4.9000000000000004</c:v>
                </c:pt>
                <c:pt idx="19">
                  <c:v>5.5</c:v>
                </c:pt>
                <c:pt idx="20">
                  <c:v>6.2</c:v>
                </c:pt>
                <c:pt idx="21">
                  <c:v>6.5</c:v>
                </c:pt>
                <c:pt idx="22">
                  <c:v>6.7</c:v>
                </c:pt>
                <c:pt idx="23">
                  <c:v>6.8</c:v>
                </c:pt>
                <c:pt idx="24">
                  <c:v>6.7</c:v>
                </c:pt>
                <c:pt idx="25">
                  <c:v>6.3</c:v>
                </c:pt>
                <c:pt idx="26">
                  <c:v>5.8</c:v>
                </c:pt>
                <c:pt idx="27">
                  <c:v>5.3</c:v>
                </c:pt>
                <c:pt idx="28">
                  <c:v>4.5999999999999996</c:v>
                </c:pt>
                <c:pt idx="29">
                  <c:v>4</c:v>
                </c:pt>
                <c:pt idx="30">
                  <c:v>3.5</c:v>
                </c:pt>
                <c:pt idx="31">
                  <c:v>2.8</c:v>
                </c:pt>
                <c:pt idx="32">
                  <c:v>2.2000000000000002</c:v>
                </c:pt>
                <c:pt idx="33">
                  <c:v>1.7</c:v>
                </c:pt>
                <c:pt idx="34">
                  <c:v>1.3</c:v>
                </c:pt>
                <c:pt idx="35">
                  <c:v>0.95</c:v>
                </c:pt>
                <c:pt idx="36">
                  <c:v>0.65</c:v>
                </c:pt>
                <c:pt idx="37">
                  <c:v>0.35</c:v>
                </c:pt>
                <c:pt idx="38">
                  <c:v>0.32</c:v>
                </c:pt>
                <c:pt idx="39">
                  <c:v>0.33</c:v>
                </c:pt>
                <c:pt idx="40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FF-5E41-9ACC-0943A30E3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477551"/>
        <c:axId val="476792431"/>
      </c:scatterChart>
      <c:valAx>
        <c:axId val="45747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6792431"/>
        <c:crosses val="autoZero"/>
        <c:crossBetween val="midCat"/>
      </c:valAx>
      <c:valAx>
        <c:axId val="47679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747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Voltaje vs x</a:t>
            </a:r>
          </a:p>
          <a:p>
            <a:pPr>
              <a:defRPr/>
            </a:pPr>
            <a:r>
              <a:rPr lang="en-US"/>
              <a:t>(d</a:t>
            </a:r>
            <a:r>
              <a:rPr lang="en-US" baseline="0"/>
              <a:t> = 0,1 mm)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Voltaje vs 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.2500000000000001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Hoja1!$I$7:$I$45</c:f>
                <c:numCache>
                  <c:formatCode>General</c:formatCode>
                  <c:ptCount val="39"/>
                  <c:pt idx="0">
                    <c:v>0.01</c:v>
                  </c:pt>
                  <c:pt idx="1">
                    <c:v>0.01</c:v>
                  </c:pt>
                  <c:pt idx="2">
                    <c:v>0.01</c:v>
                  </c:pt>
                  <c:pt idx="3">
                    <c:v>0.01</c:v>
                  </c:pt>
                  <c:pt idx="4">
                    <c:v>0.01</c:v>
                  </c:pt>
                  <c:pt idx="5">
                    <c:v>0.01</c:v>
                  </c:pt>
                  <c:pt idx="6">
                    <c:v>0.01</c:v>
                  </c:pt>
                  <c:pt idx="7">
                    <c:v>0.01</c:v>
                  </c:pt>
                  <c:pt idx="8">
                    <c:v>0.01</c:v>
                  </c:pt>
                  <c:pt idx="9">
                    <c:v>0.01</c:v>
                  </c:pt>
                  <c:pt idx="10">
                    <c:v>0.01</c:v>
                  </c:pt>
                  <c:pt idx="11">
                    <c:v>0.01</c:v>
                  </c:pt>
                  <c:pt idx="12">
                    <c:v>0.01</c:v>
                  </c:pt>
                  <c:pt idx="13">
                    <c:v>0.01</c:v>
                  </c:pt>
                  <c:pt idx="14">
                    <c:v>0.01</c:v>
                  </c:pt>
                  <c:pt idx="15">
                    <c:v>0.01</c:v>
                  </c:pt>
                  <c:pt idx="16">
                    <c:v>0.01</c:v>
                  </c:pt>
                  <c:pt idx="17">
                    <c:v>0.01</c:v>
                  </c:pt>
                  <c:pt idx="18">
                    <c:v>0.01</c:v>
                  </c:pt>
                  <c:pt idx="19">
                    <c:v>0.01</c:v>
                  </c:pt>
                  <c:pt idx="20">
                    <c:v>0.01</c:v>
                  </c:pt>
                  <c:pt idx="21">
                    <c:v>0.01</c:v>
                  </c:pt>
                  <c:pt idx="22">
                    <c:v>0.01</c:v>
                  </c:pt>
                  <c:pt idx="23">
                    <c:v>0.01</c:v>
                  </c:pt>
                  <c:pt idx="24">
                    <c:v>0.01</c:v>
                  </c:pt>
                  <c:pt idx="25">
                    <c:v>0.01</c:v>
                  </c:pt>
                  <c:pt idx="26">
                    <c:v>0.01</c:v>
                  </c:pt>
                  <c:pt idx="27">
                    <c:v>0.01</c:v>
                  </c:pt>
                  <c:pt idx="28">
                    <c:v>0.01</c:v>
                  </c:pt>
                  <c:pt idx="29">
                    <c:v>0.01</c:v>
                  </c:pt>
                  <c:pt idx="30">
                    <c:v>0.01</c:v>
                  </c:pt>
                  <c:pt idx="31">
                    <c:v>0.01</c:v>
                  </c:pt>
                  <c:pt idx="32">
                    <c:v>0.01</c:v>
                  </c:pt>
                  <c:pt idx="33">
                    <c:v>0.01</c:v>
                  </c:pt>
                  <c:pt idx="34">
                    <c:v>0.01</c:v>
                  </c:pt>
                  <c:pt idx="35">
                    <c:v>0.01</c:v>
                  </c:pt>
                  <c:pt idx="36">
                    <c:v>0.01</c:v>
                  </c:pt>
                  <c:pt idx="37">
                    <c:v>0.01</c:v>
                  </c:pt>
                  <c:pt idx="38">
                    <c:v>0.01</c:v>
                  </c:pt>
                </c:numCache>
              </c:numRef>
            </c:plus>
            <c:minus>
              <c:numRef>
                <c:f>Hoja1!$I$7:$I$45</c:f>
                <c:numCache>
                  <c:formatCode>General</c:formatCode>
                  <c:ptCount val="39"/>
                  <c:pt idx="0">
                    <c:v>0.01</c:v>
                  </c:pt>
                  <c:pt idx="1">
                    <c:v>0.01</c:v>
                  </c:pt>
                  <c:pt idx="2">
                    <c:v>0.01</c:v>
                  </c:pt>
                  <c:pt idx="3">
                    <c:v>0.01</c:v>
                  </c:pt>
                  <c:pt idx="4">
                    <c:v>0.01</c:v>
                  </c:pt>
                  <c:pt idx="5">
                    <c:v>0.01</c:v>
                  </c:pt>
                  <c:pt idx="6">
                    <c:v>0.01</c:v>
                  </c:pt>
                  <c:pt idx="7">
                    <c:v>0.01</c:v>
                  </c:pt>
                  <c:pt idx="8">
                    <c:v>0.01</c:v>
                  </c:pt>
                  <c:pt idx="9">
                    <c:v>0.01</c:v>
                  </c:pt>
                  <c:pt idx="10">
                    <c:v>0.01</c:v>
                  </c:pt>
                  <c:pt idx="11">
                    <c:v>0.01</c:v>
                  </c:pt>
                  <c:pt idx="12">
                    <c:v>0.01</c:v>
                  </c:pt>
                  <c:pt idx="13">
                    <c:v>0.01</c:v>
                  </c:pt>
                  <c:pt idx="14">
                    <c:v>0.01</c:v>
                  </c:pt>
                  <c:pt idx="15">
                    <c:v>0.01</c:v>
                  </c:pt>
                  <c:pt idx="16">
                    <c:v>0.01</c:v>
                  </c:pt>
                  <c:pt idx="17">
                    <c:v>0.01</c:v>
                  </c:pt>
                  <c:pt idx="18">
                    <c:v>0.01</c:v>
                  </c:pt>
                  <c:pt idx="19">
                    <c:v>0.01</c:v>
                  </c:pt>
                  <c:pt idx="20">
                    <c:v>0.01</c:v>
                  </c:pt>
                  <c:pt idx="21">
                    <c:v>0.01</c:v>
                  </c:pt>
                  <c:pt idx="22">
                    <c:v>0.01</c:v>
                  </c:pt>
                  <c:pt idx="23">
                    <c:v>0.01</c:v>
                  </c:pt>
                  <c:pt idx="24">
                    <c:v>0.01</c:v>
                  </c:pt>
                  <c:pt idx="25">
                    <c:v>0.01</c:v>
                  </c:pt>
                  <c:pt idx="26">
                    <c:v>0.01</c:v>
                  </c:pt>
                  <c:pt idx="27">
                    <c:v>0.01</c:v>
                  </c:pt>
                  <c:pt idx="28">
                    <c:v>0.01</c:v>
                  </c:pt>
                  <c:pt idx="29">
                    <c:v>0.01</c:v>
                  </c:pt>
                  <c:pt idx="30">
                    <c:v>0.01</c:v>
                  </c:pt>
                  <c:pt idx="31">
                    <c:v>0.01</c:v>
                  </c:pt>
                  <c:pt idx="32">
                    <c:v>0.01</c:v>
                  </c:pt>
                  <c:pt idx="33">
                    <c:v>0.01</c:v>
                  </c:pt>
                  <c:pt idx="34">
                    <c:v>0.01</c:v>
                  </c:pt>
                  <c:pt idx="35">
                    <c:v>0.01</c:v>
                  </c:pt>
                  <c:pt idx="36">
                    <c:v>0.01</c:v>
                  </c:pt>
                  <c:pt idx="37">
                    <c:v>0.01</c:v>
                  </c:pt>
                  <c:pt idx="38">
                    <c:v>0.01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Hoja1!$G$7:$G$45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</c:numCache>
            </c:numRef>
          </c:xVal>
          <c:yVal>
            <c:numRef>
              <c:f>Hoja1!$H$7:$H$45</c:f>
              <c:numCache>
                <c:formatCode>General</c:formatCode>
                <c:ptCount val="39"/>
                <c:pt idx="0">
                  <c:v>0.15</c:v>
                </c:pt>
                <c:pt idx="1">
                  <c:v>0.14000000000000001</c:v>
                </c:pt>
                <c:pt idx="2">
                  <c:v>0.13</c:v>
                </c:pt>
                <c:pt idx="3">
                  <c:v>0.15</c:v>
                </c:pt>
                <c:pt idx="4">
                  <c:v>0.19</c:v>
                </c:pt>
                <c:pt idx="5">
                  <c:v>0.28999999999999998</c:v>
                </c:pt>
                <c:pt idx="6">
                  <c:v>0.41</c:v>
                </c:pt>
                <c:pt idx="7">
                  <c:v>0.61</c:v>
                </c:pt>
                <c:pt idx="8">
                  <c:v>0.94</c:v>
                </c:pt>
                <c:pt idx="9">
                  <c:v>1.19</c:v>
                </c:pt>
                <c:pt idx="10">
                  <c:v>1.58</c:v>
                </c:pt>
                <c:pt idx="11">
                  <c:v>2.0099999999999998</c:v>
                </c:pt>
                <c:pt idx="12">
                  <c:v>2.46</c:v>
                </c:pt>
                <c:pt idx="13">
                  <c:v>2.92</c:v>
                </c:pt>
                <c:pt idx="14">
                  <c:v>3.37</c:v>
                </c:pt>
                <c:pt idx="15">
                  <c:v>3.78</c:v>
                </c:pt>
                <c:pt idx="16">
                  <c:v>4.1500000000000004</c:v>
                </c:pt>
                <c:pt idx="17">
                  <c:v>4.4000000000000004</c:v>
                </c:pt>
                <c:pt idx="18">
                  <c:v>4.55</c:v>
                </c:pt>
                <c:pt idx="19">
                  <c:v>4.57</c:v>
                </c:pt>
                <c:pt idx="20">
                  <c:v>4.5</c:v>
                </c:pt>
                <c:pt idx="21">
                  <c:v>4.29</c:v>
                </c:pt>
                <c:pt idx="22">
                  <c:v>3.99</c:v>
                </c:pt>
                <c:pt idx="23">
                  <c:v>3.62</c:v>
                </c:pt>
                <c:pt idx="24">
                  <c:v>3.2</c:v>
                </c:pt>
                <c:pt idx="25">
                  <c:v>2.7</c:v>
                </c:pt>
                <c:pt idx="26">
                  <c:v>2.2400000000000002</c:v>
                </c:pt>
                <c:pt idx="27">
                  <c:v>1.82</c:v>
                </c:pt>
                <c:pt idx="28">
                  <c:v>1.4</c:v>
                </c:pt>
                <c:pt idx="29">
                  <c:v>1.03</c:v>
                </c:pt>
                <c:pt idx="30">
                  <c:v>0.71</c:v>
                </c:pt>
                <c:pt idx="31">
                  <c:v>0.52</c:v>
                </c:pt>
                <c:pt idx="32">
                  <c:v>0.32</c:v>
                </c:pt>
                <c:pt idx="33">
                  <c:v>0.21</c:v>
                </c:pt>
                <c:pt idx="34">
                  <c:v>0.16</c:v>
                </c:pt>
                <c:pt idx="35">
                  <c:v>0.14000000000000001</c:v>
                </c:pt>
                <c:pt idx="36">
                  <c:v>0.15</c:v>
                </c:pt>
                <c:pt idx="37">
                  <c:v>0.17</c:v>
                </c:pt>
                <c:pt idx="38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72-2B43-8AAA-13C04DB2F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656447"/>
        <c:axId val="2028532287"/>
      </c:scatterChart>
      <c:valAx>
        <c:axId val="202665644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 sz="1200"/>
                  <a:t>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8532287"/>
        <c:crosses val="autoZero"/>
        <c:crossBetween val="midCat"/>
      </c:valAx>
      <c:valAx>
        <c:axId val="20285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 sz="1200"/>
                  <a:t>Voltaje</a:t>
                </a:r>
                <a:r>
                  <a:rPr lang="es-ES_tradnl" sz="1200" baseline="0"/>
                  <a:t> (V)</a:t>
                </a:r>
                <a:endParaRPr lang="es-ES_tradnl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665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Voltaje vs x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(d</a:t>
            </a:r>
            <a:r>
              <a:rPr lang="en-US" baseline="0"/>
              <a:t> = 0,2 mm)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.2500000000000001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Hoja1!$R$7:$R$49</c:f>
                <c:numCache>
                  <c:formatCode>General</c:formatCode>
                  <c:ptCount val="43"/>
                  <c:pt idx="0">
                    <c:v>0.01</c:v>
                  </c:pt>
                  <c:pt idx="1">
                    <c:v>0.01</c:v>
                  </c:pt>
                  <c:pt idx="2">
                    <c:v>0.01</c:v>
                  </c:pt>
                  <c:pt idx="3">
                    <c:v>0.01</c:v>
                  </c:pt>
                  <c:pt idx="4">
                    <c:v>0.01</c:v>
                  </c:pt>
                  <c:pt idx="5">
                    <c:v>0.01</c:v>
                  </c:pt>
                  <c:pt idx="6">
                    <c:v>0.01</c:v>
                  </c:pt>
                  <c:pt idx="7">
                    <c:v>0.01</c:v>
                  </c:pt>
                  <c:pt idx="8">
                    <c:v>0.01</c:v>
                  </c:pt>
                  <c:pt idx="9">
                    <c:v>0.01</c:v>
                  </c:pt>
                  <c:pt idx="10">
                    <c:v>0.01</c:v>
                  </c:pt>
                  <c:pt idx="11">
                    <c:v>0.01</c:v>
                  </c:pt>
                  <c:pt idx="12">
                    <c:v>0.01</c:v>
                  </c:pt>
                  <c:pt idx="13">
                    <c:v>0.01</c:v>
                  </c:pt>
                  <c:pt idx="14">
                    <c:v>0.01</c:v>
                  </c:pt>
                  <c:pt idx="15">
                    <c:v>0.01</c:v>
                  </c:pt>
                  <c:pt idx="16">
                    <c:v>0.01</c:v>
                  </c:pt>
                  <c:pt idx="17">
                    <c:v>0.1</c:v>
                  </c:pt>
                  <c:pt idx="18">
                    <c:v>0.1</c:v>
                  </c:pt>
                  <c:pt idx="19">
                    <c:v>0.1</c:v>
                  </c:pt>
                  <c:pt idx="20">
                    <c:v>0.1</c:v>
                  </c:pt>
                  <c:pt idx="21">
                    <c:v>0.1</c:v>
                  </c:pt>
                  <c:pt idx="22">
                    <c:v>0.1</c:v>
                  </c:pt>
                  <c:pt idx="23">
                    <c:v>0.1</c:v>
                  </c:pt>
                  <c:pt idx="24">
                    <c:v>0.1</c:v>
                  </c:pt>
                  <c:pt idx="25">
                    <c:v>0.1</c:v>
                  </c:pt>
                  <c:pt idx="26">
                    <c:v>0.1</c:v>
                  </c:pt>
                  <c:pt idx="27">
                    <c:v>0.1</c:v>
                  </c:pt>
                  <c:pt idx="28">
                    <c:v>0.1</c:v>
                  </c:pt>
                  <c:pt idx="29">
                    <c:v>0.1</c:v>
                  </c:pt>
                  <c:pt idx="30">
                    <c:v>0.1</c:v>
                  </c:pt>
                  <c:pt idx="31">
                    <c:v>0.1</c:v>
                  </c:pt>
                  <c:pt idx="32">
                    <c:v>0.01</c:v>
                  </c:pt>
                  <c:pt idx="33">
                    <c:v>0.01</c:v>
                  </c:pt>
                  <c:pt idx="34">
                    <c:v>0.01</c:v>
                  </c:pt>
                  <c:pt idx="35">
                    <c:v>0.01</c:v>
                  </c:pt>
                  <c:pt idx="36">
                    <c:v>0.01</c:v>
                  </c:pt>
                  <c:pt idx="37">
                    <c:v>0.01</c:v>
                  </c:pt>
                  <c:pt idx="38">
                    <c:v>0.01</c:v>
                  </c:pt>
                  <c:pt idx="39">
                    <c:v>0.01</c:v>
                  </c:pt>
                  <c:pt idx="40">
                    <c:v>0.01</c:v>
                  </c:pt>
                  <c:pt idx="41">
                    <c:v>0.01</c:v>
                  </c:pt>
                  <c:pt idx="42">
                    <c:v>0.01</c:v>
                  </c:pt>
                </c:numCache>
              </c:numRef>
            </c:plus>
            <c:minus>
              <c:numRef>
                <c:f>Hoja1!$R$7:$R$49</c:f>
                <c:numCache>
                  <c:formatCode>General</c:formatCode>
                  <c:ptCount val="43"/>
                  <c:pt idx="0">
                    <c:v>0.01</c:v>
                  </c:pt>
                  <c:pt idx="1">
                    <c:v>0.01</c:v>
                  </c:pt>
                  <c:pt idx="2">
                    <c:v>0.01</c:v>
                  </c:pt>
                  <c:pt idx="3">
                    <c:v>0.01</c:v>
                  </c:pt>
                  <c:pt idx="4">
                    <c:v>0.01</c:v>
                  </c:pt>
                  <c:pt idx="5">
                    <c:v>0.01</c:v>
                  </c:pt>
                  <c:pt idx="6">
                    <c:v>0.01</c:v>
                  </c:pt>
                  <c:pt idx="7">
                    <c:v>0.01</c:v>
                  </c:pt>
                  <c:pt idx="8">
                    <c:v>0.01</c:v>
                  </c:pt>
                  <c:pt idx="9">
                    <c:v>0.01</c:v>
                  </c:pt>
                  <c:pt idx="10">
                    <c:v>0.01</c:v>
                  </c:pt>
                  <c:pt idx="11">
                    <c:v>0.01</c:v>
                  </c:pt>
                  <c:pt idx="12">
                    <c:v>0.01</c:v>
                  </c:pt>
                  <c:pt idx="13">
                    <c:v>0.01</c:v>
                  </c:pt>
                  <c:pt idx="14">
                    <c:v>0.01</c:v>
                  </c:pt>
                  <c:pt idx="15">
                    <c:v>0.01</c:v>
                  </c:pt>
                  <c:pt idx="16">
                    <c:v>0.01</c:v>
                  </c:pt>
                  <c:pt idx="17">
                    <c:v>0.1</c:v>
                  </c:pt>
                  <c:pt idx="18">
                    <c:v>0.1</c:v>
                  </c:pt>
                  <c:pt idx="19">
                    <c:v>0.1</c:v>
                  </c:pt>
                  <c:pt idx="20">
                    <c:v>0.1</c:v>
                  </c:pt>
                  <c:pt idx="21">
                    <c:v>0.1</c:v>
                  </c:pt>
                  <c:pt idx="22">
                    <c:v>0.1</c:v>
                  </c:pt>
                  <c:pt idx="23">
                    <c:v>0.1</c:v>
                  </c:pt>
                  <c:pt idx="24">
                    <c:v>0.1</c:v>
                  </c:pt>
                  <c:pt idx="25">
                    <c:v>0.1</c:v>
                  </c:pt>
                  <c:pt idx="26">
                    <c:v>0.1</c:v>
                  </c:pt>
                  <c:pt idx="27">
                    <c:v>0.1</c:v>
                  </c:pt>
                  <c:pt idx="28">
                    <c:v>0.1</c:v>
                  </c:pt>
                  <c:pt idx="29">
                    <c:v>0.1</c:v>
                  </c:pt>
                  <c:pt idx="30">
                    <c:v>0.1</c:v>
                  </c:pt>
                  <c:pt idx="31">
                    <c:v>0.1</c:v>
                  </c:pt>
                  <c:pt idx="32">
                    <c:v>0.01</c:v>
                  </c:pt>
                  <c:pt idx="33">
                    <c:v>0.01</c:v>
                  </c:pt>
                  <c:pt idx="34">
                    <c:v>0.01</c:v>
                  </c:pt>
                  <c:pt idx="35">
                    <c:v>0.01</c:v>
                  </c:pt>
                  <c:pt idx="36">
                    <c:v>0.01</c:v>
                  </c:pt>
                  <c:pt idx="37">
                    <c:v>0.01</c:v>
                  </c:pt>
                  <c:pt idx="38">
                    <c:v>0.01</c:v>
                  </c:pt>
                  <c:pt idx="39">
                    <c:v>0.01</c:v>
                  </c:pt>
                  <c:pt idx="40">
                    <c:v>0.01</c:v>
                  </c:pt>
                  <c:pt idx="41">
                    <c:v>0.01</c:v>
                  </c:pt>
                  <c:pt idx="42">
                    <c:v>0.01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Hoja1!$P$7:$P$49</c:f>
              <c:numCache>
                <c:formatCode>General</c:formatCode>
                <c:ptCount val="4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</c:numCache>
            </c:numRef>
          </c:xVal>
          <c:yVal>
            <c:numRef>
              <c:f>Hoja1!$Q$7:$Q$49</c:f>
              <c:numCache>
                <c:formatCode>General</c:formatCode>
                <c:ptCount val="43"/>
                <c:pt idx="0">
                  <c:v>0.19</c:v>
                </c:pt>
                <c:pt idx="1">
                  <c:v>0.18</c:v>
                </c:pt>
                <c:pt idx="2">
                  <c:v>0.16</c:v>
                </c:pt>
                <c:pt idx="3">
                  <c:v>0.13</c:v>
                </c:pt>
                <c:pt idx="4">
                  <c:v>0.09</c:v>
                </c:pt>
                <c:pt idx="5">
                  <c:v>0.06</c:v>
                </c:pt>
                <c:pt idx="6">
                  <c:v>0.05</c:v>
                </c:pt>
                <c:pt idx="7">
                  <c:v>0.08</c:v>
                </c:pt>
                <c:pt idx="8">
                  <c:v>0.17</c:v>
                </c:pt>
                <c:pt idx="9">
                  <c:v>0.31</c:v>
                </c:pt>
                <c:pt idx="10">
                  <c:v>0.56000000000000005</c:v>
                </c:pt>
                <c:pt idx="11">
                  <c:v>0.82</c:v>
                </c:pt>
                <c:pt idx="12">
                  <c:v>1.26</c:v>
                </c:pt>
                <c:pt idx="13">
                  <c:v>1.7</c:v>
                </c:pt>
                <c:pt idx="14">
                  <c:v>2.2999999999999998</c:v>
                </c:pt>
                <c:pt idx="15">
                  <c:v>2.87</c:v>
                </c:pt>
                <c:pt idx="16">
                  <c:v>3.55</c:v>
                </c:pt>
                <c:pt idx="17">
                  <c:v>4.13</c:v>
                </c:pt>
                <c:pt idx="18">
                  <c:v>4.8</c:v>
                </c:pt>
                <c:pt idx="19">
                  <c:v>5.3</c:v>
                </c:pt>
                <c:pt idx="20">
                  <c:v>5.7</c:v>
                </c:pt>
                <c:pt idx="21">
                  <c:v>6</c:v>
                </c:pt>
                <c:pt idx="22">
                  <c:v>6.2</c:v>
                </c:pt>
                <c:pt idx="23">
                  <c:v>6.3</c:v>
                </c:pt>
                <c:pt idx="24">
                  <c:v>6.2</c:v>
                </c:pt>
                <c:pt idx="25">
                  <c:v>5.9</c:v>
                </c:pt>
                <c:pt idx="26">
                  <c:v>5.7</c:v>
                </c:pt>
                <c:pt idx="27">
                  <c:v>5.2</c:v>
                </c:pt>
                <c:pt idx="28">
                  <c:v>4.3</c:v>
                </c:pt>
                <c:pt idx="29">
                  <c:v>3.7</c:v>
                </c:pt>
                <c:pt idx="30">
                  <c:v>3</c:v>
                </c:pt>
                <c:pt idx="31">
                  <c:v>2.39</c:v>
                </c:pt>
                <c:pt idx="32">
                  <c:v>1.81</c:v>
                </c:pt>
                <c:pt idx="33">
                  <c:v>1.28</c:v>
                </c:pt>
                <c:pt idx="34">
                  <c:v>0.83</c:v>
                </c:pt>
                <c:pt idx="35">
                  <c:v>0.54</c:v>
                </c:pt>
                <c:pt idx="36">
                  <c:v>0.28999999999999998</c:v>
                </c:pt>
                <c:pt idx="37">
                  <c:v>0.16</c:v>
                </c:pt>
                <c:pt idx="38">
                  <c:v>7.0000000000000007E-2</c:v>
                </c:pt>
                <c:pt idx="39">
                  <c:v>0.04</c:v>
                </c:pt>
                <c:pt idx="40">
                  <c:v>0.05</c:v>
                </c:pt>
                <c:pt idx="41">
                  <c:v>7.0000000000000007E-2</c:v>
                </c:pt>
                <c:pt idx="42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D0-024B-BF61-EE5E53DD4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656447"/>
        <c:axId val="2028532287"/>
      </c:scatterChart>
      <c:valAx>
        <c:axId val="2026656447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 sz="1200"/>
                  <a:t>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8532287"/>
        <c:crosses val="autoZero"/>
        <c:crossBetween val="midCat"/>
      </c:valAx>
      <c:valAx>
        <c:axId val="20285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 sz="1200"/>
                  <a:t>Voltaje</a:t>
                </a:r>
                <a:r>
                  <a:rPr lang="es-ES_tradnl" sz="1200" baseline="0"/>
                  <a:t> (V)</a:t>
                </a:r>
                <a:endParaRPr lang="es-ES_tradnl" sz="1200"/>
              </a:p>
            </c:rich>
          </c:tx>
          <c:layout>
            <c:manualLayout>
              <c:xMode val="edge"/>
              <c:yMode val="edge"/>
              <c:x val="1.2475245968629176E-2"/>
              <c:y val="0.431551169148407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665644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Voltaje vs x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(d = 0,4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.2500000000000001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Hoja1!$AA$7:$AA$47</c:f>
                <c:numCache>
                  <c:formatCode>General</c:formatCode>
                  <c:ptCount val="41"/>
                  <c:pt idx="0">
                    <c:v>0.01</c:v>
                  </c:pt>
                  <c:pt idx="1">
                    <c:v>0.01</c:v>
                  </c:pt>
                  <c:pt idx="2">
                    <c:v>0.01</c:v>
                  </c:pt>
                  <c:pt idx="3">
                    <c:v>0.01</c:v>
                  </c:pt>
                  <c:pt idx="4">
                    <c:v>0.01</c:v>
                  </c:pt>
                  <c:pt idx="5">
                    <c:v>0.01</c:v>
                  </c:pt>
                  <c:pt idx="6">
                    <c:v>0.01</c:v>
                  </c:pt>
                  <c:pt idx="7">
                    <c:v>0.01</c:v>
                  </c:pt>
                  <c:pt idx="8">
                    <c:v>0.01</c:v>
                  </c:pt>
                  <c:pt idx="9">
                    <c:v>0.01</c:v>
                  </c:pt>
                  <c:pt idx="10">
                    <c:v>0.01</c:v>
                  </c:pt>
                  <c:pt idx="11">
                    <c:v>0.01</c:v>
                  </c:pt>
                  <c:pt idx="12">
                    <c:v>0.01</c:v>
                  </c:pt>
                  <c:pt idx="13">
                    <c:v>0.01</c:v>
                  </c:pt>
                  <c:pt idx="14">
                    <c:v>0.1</c:v>
                  </c:pt>
                  <c:pt idx="15">
                    <c:v>0.1</c:v>
                  </c:pt>
                  <c:pt idx="16">
                    <c:v>0.1</c:v>
                  </c:pt>
                  <c:pt idx="17">
                    <c:v>0.1</c:v>
                  </c:pt>
                  <c:pt idx="18">
                    <c:v>0.1</c:v>
                  </c:pt>
                  <c:pt idx="19">
                    <c:v>0.1</c:v>
                  </c:pt>
                  <c:pt idx="20">
                    <c:v>0.1</c:v>
                  </c:pt>
                  <c:pt idx="21">
                    <c:v>0.1</c:v>
                  </c:pt>
                  <c:pt idx="22">
                    <c:v>0.1</c:v>
                  </c:pt>
                  <c:pt idx="23">
                    <c:v>0.1</c:v>
                  </c:pt>
                  <c:pt idx="24">
                    <c:v>0.1</c:v>
                  </c:pt>
                  <c:pt idx="25">
                    <c:v>0.1</c:v>
                  </c:pt>
                  <c:pt idx="26">
                    <c:v>0.1</c:v>
                  </c:pt>
                  <c:pt idx="27">
                    <c:v>0.1</c:v>
                  </c:pt>
                  <c:pt idx="28">
                    <c:v>0.1</c:v>
                  </c:pt>
                  <c:pt idx="29">
                    <c:v>0.1</c:v>
                  </c:pt>
                  <c:pt idx="30">
                    <c:v>0.1</c:v>
                  </c:pt>
                  <c:pt idx="31">
                    <c:v>0.1</c:v>
                  </c:pt>
                  <c:pt idx="32">
                    <c:v>0.1</c:v>
                  </c:pt>
                  <c:pt idx="33">
                    <c:v>0.1</c:v>
                  </c:pt>
                  <c:pt idx="34">
                    <c:v>0.1</c:v>
                  </c:pt>
                  <c:pt idx="35">
                    <c:v>0.01</c:v>
                  </c:pt>
                  <c:pt idx="36">
                    <c:v>0.01</c:v>
                  </c:pt>
                  <c:pt idx="37">
                    <c:v>0.01</c:v>
                  </c:pt>
                  <c:pt idx="38">
                    <c:v>0.01</c:v>
                  </c:pt>
                  <c:pt idx="39">
                    <c:v>0.01</c:v>
                  </c:pt>
                  <c:pt idx="40">
                    <c:v>0.01</c:v>
                  </c:pt>
                </c:numCache>
              </c:numRef>
            </c:plus>
            <c:minus>
              <c:numRef>
                <c:f>Hoja1!$AA$7:$AA$47</c:f>
                <c:numCache>
                  <c:formatCode>General</c:formatCode>
                  <c:ptCount val="41"/>
                  <c:pt idx="0">
                    <c:v>0.01</c:v>
                  </c:pt>
                  <c:pt idx="1">
                    <c:v>0.01</c:v>
                  </c:pt>
                  <c:pt idx="2">
                    <c:v>0.01</c:v>
                  </c:pt>
                  <c:pt idx="3">
                    <c:v>0.01</c:v>
                  </c:pt>
                  <c:pt idx="4">
                    <c:v>0.01</c:v>
                  </c:pt>
                  <c:pt idx="5">
                    <c:v>0.01</c:v>
                  </c:pt>
                  <c:pt idx="6">
                    <c:v>0.01</c:v>
                  </c:pt>
                  <c:pt idx="7">
                    <c:v>0.01</c:v>
                  </c:pt>
                  <c:pt idx="8">
                    <c:v>0.01</c:v>
                  </c:pt>
                  <c:pt idx="9">
                    <c:v>0.01</c:v>
                  </c:pt>
                  <c:pt idx="10">
                    <c:v>0.01</c:v>
                  </c:pt>
                  <c:pt idx="11">
                    <c:v>0.01</c:v>
                  </c:pt>
                  <c:pt idx="12">
                    <c:v>0.01</c:v>
                  </c:pt>
                  <c:pt idx="13">
                    <c:v>0.01</c:v>
                  </c:pt>
                  <c:pt idx="14">
                    <c:v>0.1</c:v>
                  </c:pt>
                  <c:pt idx="15">
                    <c:v>0.1</c:v>
                  </c:pt>
                  <c:pt idx="16">
                    <c:v>0.1</c:v>
                  </c:pt>
                  <c:pt idx="17">
                    <c:v>0.1</c:v>
                  </c:pt>
                  <c:pt idx="18">
                    <c:v>0.1</c:v>
                  </c:pt>
                  <c:pt idx="19">
                    <c:v>0.1</c:v>
                  </c:pt>
                  <c:pt idx="20">
                    <c:v>0.1</c:v>
                  </c:pt>
                  <c:pt idx="21">
                    <c:v>0.1</c:v>
                  </c:pt>
                  <c:pt idx="22">
                    <c:v>0.1</c:v>
                  </c:pt>
                  <c:pt idx="23">
                    <c:v>0.1</c:v>
                  </c:pt>
                  <c:pt idx="24">
                    <c:v>0.1</c:v>
                  </c:pt>
                  <c:pt idx="25">
                    <c:v>0.1</c:v>
                  </c:pt>
                  <c:pt idx="26">
                    <c:v>0.1</c:v>
                  </c:pt>
                  <c:pt idx="27">
                    <c:v>0.1</c:v>
                  </c:pt>
                  <c:pt idx="28">
                    <c:v>0.1</c:v>
                  </c:pt>
                  <c:pt idx="29">
                    <c:v>0.1</c:v>
                  </c:pt>
                  <c:pt idx="30">
                    <c:v>0.1</c:v>
                  </c:pt>
                  <c:pt idx="31">
                    <c:v>0.1</c:v>
                  </c:pt>
                  <c:pt idx="32">
                    <c:v>0.1</c:v>
                  </c:pt>
                  <c:pt idx="33">
                    <c:v>0.1</c:v>
                  </c:pt>
                  <c:pt idx="34">
                    <c:v>0.1</c:v>
                  </c:pt>
                  <c:pt idx="35">
                    <c:v>0.01</c:v>
                  </c:pt>
                  <c:pt idx="36">
                    <c:v>0.01</c:v>
                  </c:pt>
                  <c:pt idx="37">
                    <c:v>0.01</c:v>
                  </c:pt>
                  <c:pt idx="38">
                    <c:v>0.01</c:v>
                  </c:pt>
                  <c:pt idx="39">
                    <c:v>0.01</c:v>
                  </c:pt>
                  <c:pt idx="40">
                    <c:v>0.01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Hoja1!$Y$7:$Y$47</c:f>
              <c:numCache>
                <c:formatCode>General</c:formatCode>
                <c:ptCount val="41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1.125</c:v>
                </c:pt>
                <c:pt idx="10">
                  <c:v>1.25</c:v>
                </c:pt>
                <c:pt idx="11">
                  <c:v>1.375</c:v>
                </c:pt>
                <c:pt idx="12">
                  <c:v>1.5</c:v>
                </c:pt>
                <c:pt idx="13">
                  <c:v>1.625</c:v>
                </c:pt>
                <c:pt idx="14">
                  <c:v>1.75</c:v>
                </c:pt>
                <c:pt idx="15">
                  <c:v>1.875</c:v>
                </c:pt>
                <c:pt idx="16">
                  <c:v>2</c:v>
                </c:pt>
                <c:pt idx="17">
                  <c:v>2.125</c:v>
                </c:pt>
                <c:pt idx="18">
                  <c:v>2.25</c:v>
                </c:pt>
                <c:pt idx="19">
                  <c:v>2.375</c:v>
                </c:pt>
                <c:pt idx="20">
                  <c:v>2.5</c:v>
                </c:pt>
                <c:pt idx="21">
                  <c:v>2.625</c:v>
                </c:pt>
                <c:pt idx="22">
                  <c:v>2.75</c:v>
                </c:pt>
                <c:pt idx="23">
                  <c:v>2.875</c:v>
                </c:pt>
                <c:pt idx="24">
                  <c:v>3</c:v>
                </c:pt>
                <c:pt idx="25">
                  <c:v>3.125</c:v>
                </c:pt>
                <c:pt idx="26">
                  <c:v>3.25</c:v>
                </c:pt>
                <c:pt idx="27">
                  <c:v>3.375</c:v>
                </c:pt>
                <c:pt idx="28">
                  <c:v>3.5</c:v>
                </c:pt>
                <c:pt idx="29">
                  <c:v>3.625</c:v>
                </c:pt>
                <c:pt idx="30">
                  <c:v>3.75</c:v>
                </c:pt>
                <c:pt idx="31">
                  <c:v>3.875</c:v>
                </c:pt>
                <c:pt idx="32">
                  <c:v>4</c:v>
                </c:pt>
                <c:pt idx="33">
                  <c:v>4.125</c:v>
                </c:pt>
                <c:pt idx="34">
                  <c:v>4.25</c:v>
                </c:pt>
                <c:pt idx="35">
                  <c:v>4.375</c:v>
                </c:pt>
                <c:pt idx="36">
                  <c:v>4.5</c:v>
                </c:pt>
                <c:pt idx="37">
                  <c:v>4.625</c:v>
                </c:pt>
                <c:pt idx="38">
                  <c:v>4.75</c:v>
                </c:pt>
                <c:pt idx="39">
                  <c:v>4.875</c:v>
                </c:pt>
                <c:pt idx="40">
                  <c:v>5</c:v>
                </c:pt>
              </c:numCache>
            </c:numRef>
          </c:xVal>
          <c:yVal>
            <c:numRef>
              <c:f>Hoja1!$Z$7:$Z$47</c:f>
              <c:numCache>
                <c:formatCode>General</c:formatCode>
                <c:ptCount val="41"/>
                <c:pt idx="0">
                  <c:v>0.18</c:v>
                </c:pt>
                <c:pt idx="1">
                  <c:v>0.18</c:v>
                </c:pt>
                <c:pt idx="2">
                  <c:v>0.18</c:v>
                </c:pt>
                <c:pt idx="3">
                  <c:v>0.13</c:v>
                </c:pt>
                <c:pt idx="4">
                  <c:v>0.08</c:v>
                </c:pt>
                <c:pt idx="5">
                  <c:v>0.04</c:v>
                </c:pt>
                <c:pt idx="6">
                  <c:v>0.03</c:v>
                </c:pt>
                <c:pt idx="7">
                  <c:v>7.0000000000000007E-2</c:v>
                </c:pt>
                <c:pt idx="8">
                  <c:v>0.15</c:v>
                </c:pt>
                <c:pt idx="9">
                  <c:v>0.28000000000000003</c:v>
                </c:pt>
                <c:pt idx="10">
                  <c:v>0.47</c:v>
                </c:pt>
                <c:pt idx="11">
                  <c:v>0.82</c:v>
                </c:pt>
                <c:pt idx="12">
                  <c:v>1.26</c:v>
                </c:pt>
                <c:pt idx="13">
                  <c:v>1.77</c:v>
                </c:pt>
                <c:pt idx="14">
                  <c:v>2.2999999999999998</c:v>
                </c:pt>
                <c:pt idx="15">
                  <c:v>2.9</c:v>
                </c:pt>
                <c:pt idx="16">
                  <c:v>3.6</c:v>
                </c:pt>
                <c:pt idx="17">
                  <c:v>4.3</c:v>
                </c:pt>
                <c:pt idx="18">
                  <c:v>4.9000000000000004</c:v>
                </c:pt>
                <c:pt idx="19">
                  <c:v>5.5</c:v>
                </c:pt>
                <c:pt idx="20">
                  <c:v>6.2</c:v>
                </c:pt>
                <c:pt idx="21">
                  <c:v>6.5</c:v>
                </c:pt>
                <c:pt idx="22">
                  <c:v>6.7</c:v>
                </c:pt>
                <c:pt idx="23">
                  <c:v>6.8</c:v>
                </c:pt>
                <c:pt idx="24">
                  <c:v>6.7</c:v>
                </c:pt>
                <c:pt idx="25">
                  <c:v>6.3</c:v>
                </c:pt>
                <c:pt idx="26">
                  <c:v>5.8</c:v>
                </c:pt>
                <c:pt idx="27">
                  <c:v>5.3</c:v>
                </c:pt>
                <c:pt idx="28">
                  <c:v>4.5999999999999996</c:v>
                </c:pt>
                <c:pt idx="29">
                  <c:v>4</c:v>
                </c:pt>
                <c:pt idx="30">
                  <c:v>3.5</c:v>
                </c:pt>
                <c:pt idx="31">
                  <c:v>2.8</c:v>
                </c:pt>
                <c:pt idx="32">
                  <c:v>2.2000000000000002</c:v>
                </c:pt>
                <c:pt idx="33">
                  <c:v>1.7</c:v>
                </c:pt>
                <c:pt idx="34">
                  <c:v>1.3</c:v>
                </c:pt>
                <c:pt idx="35">
                  <c:v>0.95</c:v>
                </c:pt>
                <c:pt idx="36">
                  <c:v>0.65</c:v>
                </c:pt>
                <c:pt idx="37">
                  <c:v>0.35</c:v>
                </c:pt>
                <c:pt idx="38">
                  <c:v>0.32</c:v>
                </c:pt>
                <c:pt idx="39">
                  <c:v>0.33</c:v>
                </c:pt>
                <c:pt idx="40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76-8947-915F-47B66F20E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235055"/>
        <c:axId val="2072080047"/>
      </c:scatterChart>
      <c:valAx>
        <c:axId val="2092235055"/>
        <c:scaling>
          <c:orientation val="minMax"/>
          <c:max val="5.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 sz="1200"/>
                  <a:t>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2080047"/>
        <c:crosses val="autoZero"/>
        <c:crossBetween val="midCat"/>
      </c:valAx>
      <c:valAx>
        <c:axId val="207208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Voltaje (V)</a:t>
                </a:r>
              </a:p>
            </c:rich>
          </c:tx>
          <c:layout>
            <c:manualLayout>
              <c:xMode val="edge"/>
              <c:yMode val="edge"/>
              <c:x val="1.809045168866532E-2"/>
              <c:y val="0.425145081710846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223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738569</xdr:colOff>
      <xdr:row>57</xdr:row>
      <xdr:rowOff>59690</xdr:rowOff>
    </xdr:from>
    <xdr:to>
      <xdr:col>7</xdr:col>
      <xdr:colOff>227440</xdr:colOff>
      <xdr:row>70</xdr:row>
      <xdr:rowOff>161289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3537F2-87DE-24FE-8338-63AB59114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626534</xdr:colOff>
      <xdr:row>51</xdr:row>
      <xdr:rowOff>127000</xdr:rowOff>
    </xdr:from>
    <xdr:to>
      <xdr:col>17</xdr:col>
      <xdr:colOff>220134</xdr:colOff>
      <xdr:row>65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DDE2D-8153-7C02-7DB2-A3362FB7E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571500</xdr:colOff>
      <xdr:row>54</xdr:row>
      <xdr:rowOff>57150</xdr:rowOff>
    </xdr:from>
    <xdr:to>
      <xdr:col>24</xdr:col>
      <xdr:colOff>88900</xdr:colOff>
      <xdr:row>67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754673-6F31-0F48-2EC6-880B2A74D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44348</xdr:colOff>
      <xdr:row>46</xdr:row>
      <xdr:rowOff>15119</xdr:rowOff>
    </xdr:from>
    <xdr:to>
      <xdr:col>11</xdr:col>
      <xdr:colOff>0</xdr:colOff>
      <xdr:row>66</xdr:row>
      <xdr:rowOff>181427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BE704C-3B59-9944-5152-2589C087F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317500</xdr:colOff>
      <xdr:row>50</xdr:row>
      <xdr:rowOff>0</xdr:rowOff>
    </xdr:from>
    <xdr:to>
      <xdr:col>19</xdr:col>
      <xdr:colOff>60476</xdr:colOff>
      <xdr:row>70</xdr:row>
      <xdr:rowOff>181429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752D81-B19B-1643-9307-4240B3369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287262</xdr:colOff>
      <xdr:row>48</xdr:row>
      <xdr:rowOff>15119</xdr:rowOff>
    </xdr:from>
    <xdr:to>
      <xdr:col>27</xdr:col>
      <xdr:colOff>423334</xdr:colOff>
      <xdr:row>69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677DBA2-52A7-C3F4-D7A8-8ECB79341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9A21-F9C1-F94E-B3F9-159A8ABCA314}">
  <dimension ref="B1:Z56"/>
  <sheetViews>
    <sheetView topLeftCell="A2" workbookViewId="0">
      <selection activeCell="D9" sqref="D9"/>
    </sheetView>
  </sheetViews>
  <sheetFormatPr baseColWidth="10" defaultRowHeight="16" x14ac:dyDescent="0.2"/>
  <cols>
    <col min="3" max="3" width="12.6640625" customWidth="1"/>
    <col min="8" max="8" width="12.1640625" bestFit="1" customWidth="1"/>
    <col min="11" max="11" width="12.33203125" customWidth="1"/>
    <col min="20" max="20" width="12.1640625" customWidth="1"/>
  </cols>
  <sheetData>
    <row r="1" spans="2:25" x14ac:dyDescent="0.2">
      <c r="K1" t="s">
        <v>13</v>
      </c>
    </row>
    <row r="2" spans="2:25" x14ac:dyDescent="0.2">
      <c r="E2" t="s">
        <v>12</v>
      </c>
      <c r="G2" s="4" t="s">
        <v>10</v>
      </c>
      <c r="H2" t="s">
        <v>11</v>
      </c>
      <c r="K2" t="s">
        <v>17</v>
      </c>
      <c r="L2" t="s">
        <v>20</v>
      </c>
      <c r="M2" t="s">
        <v>14</v>
      </c>
      <c r="O2" t="s">
        <v>16</v>
      </c>
    </row>
    <row r="3" spans="2:25" ht="19" thickBot="1" x14ac:dyDescent="0.25">
      <c r="G3" s="3"/>
      <c r="H3">
        <f>633*10^-9</f>
        <v>6.3300000000000002E-7</v>
      </c>
    </row>
    <row r="4" spans="2:25" ht="19" thickBot="1" x14ac:dyDescent="0.25">
      <c r="C4" s="16" t="s">
        <v>3</v>
      </c>
      <c r="D4" s="17"/>
      <c r="E4" s="18"/>
      <c r="G4" s="3"/>
      <c r="K4" s="5" t="s">
        <v>6</v>
      </c>
      <c r="L4" s="6"/>
      <c r="M4" s="7"/>
      <c r="T4" s="16" t="s">
        <v>7</v>
      </c>
      <c r="U4" s="17"/>
      <c r="V4" s="18"/>
    </row>
    <row r="5" spans="2:25" x14ac:dyDescent="0.2">
      <c r="D5" s="1" t="s">
        <v>5</v>
      </c>
      <c r="G5" t="s">
        <v>15</v>
      </c>
      <c r="L5" s="1" t="s">
        <v>8</v>
      </c>
      <c r="U5" s="1" t="s">
        <v>9</v>
      </c>
    </row>
    <row r="7" spans="2:25" x14ac:dyDescent="0.2">
      <c r="D7" t="s">
        <v>0</v>
      </c>
      <c r="L7" t="s">
        <v>0</v>
      </c>
      <c r="U7" t="s">
        <v>0</v>
      </c>
    </row>
    <row r="8" spans="2:25" x14ac:dyDescent="0.2">
      <c r="C8" s="2" t="s">
        <v>2</v>
      </c>
      <c r="D8" s="2" t="s">
        <v>1</v>
      </c>
      <c r="E8" s="2" t="s">
        <v>4</v>
      </c>
      <c r="G8" s="2" t="s">
        <v>21</v>
      </c>
      <c r="H8" s="2" t="s">
        <v>19</v>
      </c>
      <c r="K8" s="2" t="s">
        <v>2</v>
      </c>
      <c r="L8" s="2" t="s">
        <v>1</v>
      </c>
      <c r="M8" s="2" t="s">
        <v>4</v>
      </c>
      <c r="O8" s="2" t="s">
        <v>21</v>
      </c>
      <c r="P8" s="2" t="s">
        <v>19</v>
      </c>
      <c r="T8" s="2" t="s">
        <v>2</v>
      </c>
      <c r="U8" s="2" t="s">
        <v>1</v>
      </c>
      <c r="V8" s="2" t="s">
        <v>4</v>
      </c>
      <c r="X8" s="2" t="s">
        <v>21</v>
      </c>
      <c r="Y8" s="2" t="s">
        <v>19</v>
      </c>
    </row>
    <row r="9" spans="2:25" x14ac:dyDescent="0.2">
      <c r="B9" t="s">
        <v>18</v>
      </c>
      <c r="C9" s="2">
        <f>78+45.8</f>
        <v>123.8</v>
      </c>
      <c r="D9" s="2">
        <f>C9-4</f>
        <v>119.8</v>
      </c>
      <c r="E9" s="2">
        <v>0.1</v>
      </c>
      <c r="G9" s="2">
        <v>0</v>
      </c>
      <c r="H9" s="2">
        <v>0.15</v>
      </c>
      <c r="K9" s="2">
        <f>78+45.8</f>
        <v>123.8</v>
      </c>
      <c r="L9" s="2">
        <f t="shared" ref="L9:L47" si="0">K9-4</f>
        <v>119.8</v>
      </c>
      <c r="M9" s="2">
        <v>0.2</v>
      </c>
      <c r="O9" s="2">
        <v>0</v>
      </c>
      <c r="P9" s="2">
        <v>0.19</v>
      </c>
      <c r="T9" s="2">
        <f>78+45.8</f>
        <v>123.8</v>
      </c>
      <c r="U9" s="2">
        <f>T9-4</f>
        <v>119.8</v>
      </c>
      <c r="V9" s="2">
        <v>0.4</v>
      </c>
      <c r="X9" s="2">
        <v>0</v>
      </c>
      <c r="Y9" s="2">
        <v>0.18</v>
      </c>
    </row>
    <row r="10" spans="2:25" x14ac:dyDescent="0.2">
      <c r="C10" s="2">
        <f t="shared" ref="C10:C47" si="1">78+45.8</f>
        <v>123.8</v>
      </c>
      <c r="D10" s="2">
        <f t="shared" ref="D10:D27" si="2">C10-4</f>
        <v>119.8</v>
      </c>
      <c r="E10" s="2">
        <v>0.1</v>
      </c>
      <c r="G10" s="2">
        <v>0.5</v>
      </c>
      <c r="H10" s="2">
        <v>0.14000000000000001</v>
      </c>
      <c r="K10" s="2">
        <f t="shared" ref="K10:K49" si="3">78+45.8</f>
        <v>123.8</v>
      </c>
      <c r="L10" s="2">
        <f t="shared" si="0"/>
        <v>119.8</v>
      </c>
      <c r="M10" s="2">
        <v>0.2</v>
      </c>
      <c r="O10" s="2">
        <v>0.25</v>
      </c>
      <c r="P10" s="2">
        <v>0.18</v>
      </c>
      <c r="T10" s="2">
        <f t="shared" ref="T10:T49" si="4">78+45.8</f>
        <v>123.8</v>
      </c>
      <c r="U10" s="2">
        <f t="shared" ref="U10:U27" si="5">T10-4</f>
        <v>119.8</v>
      </c>
      <c r="V10" s="2">
        <v>0.4</v>
      </c>
      <c r="X10" s="2">
        <v>0.125</v>
      </c>
      <c r="Y10" s="2">
        <v>0.18</v>
      </c>
    </row>
    <row r="11" spans="2:25" x14ac:dyDescent="0.2">
      <c r="C11" s="2">
        <f t="shared" si="1"/>
        <v>123.8</v>
      </c>
      <c r="D11" s="2">
        <f t="shared" si="2"/>
        <v>119.8</v>
      </c>
      <c r="E11" s="2">
        <v>0.1</v>
      </c>
      <c r="G11" s="2">
        <v>1</v>
      </c>
      <c r="H11" s="2">
        <v>0.13</v>
      </c>
      <c r="K11" s="2">
        <f t="shared" si="3"/>
        <v>123.8</v>
      </c>
      <c r="L11" s="2">
        <f t="shared" si="0"/>
        <v>119.8</v>
      </c>
      <c r="M11" s="2">
        <v>0.2</v>
      </c>
      <c r="O11" s="2">
        <v>0.5</v>
      </c>
      <c r="P11" s="2">
        <v>0.16</v>
      </c>
      <c r="T11" s="2">
        <f t="shared" si="4"/>
        <v>123.8</v>
      </c>
      <c r="U11" s="2">
        <f t="shared" si="5"/>
        <v>119.8</v>
      </c>
      <c r="V11" s="2">
        <v>0.4</v>
      </c>
      <c r="X11" s="2">
        <v>0.25</v>
      </c>
      <c r="Y11" s="2">
        <v>0.18</v>
      </c>
    </row>
    <row r="12" spans="2:25" x14ac:dyDescent="0.2">
      <c r="C12" s="2">
        <f t="shared" si="1"/>
        <v>123.8</v>
      </c>
      <c r="D12" s="2">
        <f t="shared" si="2"/>
        <v>119.8</v>
      </c>
      <c r="E12" s="2">
        <v>0.1</v>
      </c>
      <c r="G12" s="2">
        <v>1.5</v>
      </c>
      <c r="H12" s="2">
        <v>0.15</v>
      </c>
      <c r="K12" s="2">
        <f t="shared" si="3"/>
        <v>123.8</v>
      </c>
      <c r="L12" s="2">
        <f t="shared" si="0"/>
        <v>119.8</v>
      </c>
      <c r="M12" s="2">
        <v>0.2</v>
      </c>
      <c r="O12" s="2">
        <v>0.75</v>
      </c>
      <c r="P12" s="2">
        <v>0.13</v>
      </c>
      <c r="T12" s="2">
        <f t="shared" si="4"/>
        <v>123.8</v>
      </c>
      <c r="U12" s="2">
        <f t="shared" si="5"/>
        <v>119.8</v>
      </c>
      <c r="V12" s="2">
        <v>0.4</v>
      </c>
      <c r="X12" s="2">
        <v>0.375</v>
      </c>
      <c r="Y12" s="2">
        <v>0.13</v>
      </c>
    </row>
    <row r="13" spans="2:25" x14ac:dyDescent="0.2">
      <c r="C13" s="2">
        <f t="shared" si="1"/>
        <v>123.8</v>
      </c>
      <c r="D13" s="2">
        <f t="shared" si="2"/>
        <v>119.8</v>
      </c>
      <c r="E13" s="2">
        <v>0.1</v>
      </c>
      <c r="G13" s="2">
        <v>2</v>
      </c>
      <c r="H13" s="2">
        <v>0.19</v>
      </c>
      <c r="K13" s="2">
        <f t="shared" si="3"/>
        <v>123.8</v>
      </c>
      <c r="L13" s="2">
        <f t="shared" si="0"/>
        <v>119.8</v>
      </c>
      <c r="M13" s="2">
        <v>0.2</v>
      </c>
      <c r="O13" s="2">
        <v>1</v>
      </c>
      <c r="P13" s="2">
        <v>0.09</v>
      </c>
      <c r="T13" s="2">
        <f t="shared" si="4"/>
        <v>123.8</v>
      </c>
      <c r="U13" s="2">
        <f t="shared" si="5"/>
        <v>119.8</v>
      </c>
      <c r="V13" s="2">
        <v>0.4</v>
      </c>
      <c r="X13" s="2">
        <v>0.5</v>
      </c>
      <c r="Y13" s="2">
        <v>0.08</v>
      </c>
    </row>
    <row r="14" spans="2:25" x14ac:dyDescent="0.2">
      <c r="C14" s="2">
        <f t="shared" si="1"/>
        <v>123.8</v>
      </c>
      <c r="D14" s="2">
        <f t="shared" si="2"/>
        <v>119.8</v>
      </c>
      <c r="E14" s="2">
        <v>0.1</v>
      </c>
      <c r="G14" s="2">
        <v>2.5</v>
      </c>
      <c r="H14" s="2">
        <v>0.28999999999999998</v>
      </c>
      <c r="K14" s="2">
        <f t="shared" si="3"/>
        <v>123.8</v>
      </c>
      <c r="L14" s="2">
        <f t="shared" si="0"/>
        <v>119.8</v>
      </c>
      <c r="M14" s="2">
        <v>0.2</v>
      </c>
      <c r="O14" s="2">
        <v>1.25</v>
      </c>
      <c r="P14" s="2">
        <v>0.06</v>
      </c>
      <c r="T14" s="2">
        <f t="shared" si="4"/>
        <v>123.8</v>
      </c>
      <c r="U14" s="2">
        <f t="shared" si="5"/>
        <v>119.8</v>
      </c>
      <c r="V14" s="2">
        <v>0.4</v>
      </c>
      <c r="X14" s="2">
        <v>0.625</v>
      </c>
      <c r="Y14" s="2">
        <v>0.04</v>
      </c>
    </row>
    <row r="15" spans="2:25" x14ac:dyDescent="0.2">
      <c r="C15" s="2">
        <f t="shared" si="1"/>
        <v>123.8</v>
      </c>
      <c r="D15" s="2">
        <f t="shared" si="2"/>
        <v>119.8</v>
      </c>
      <c r="E15" s="2">
        <v>0.1</v>
      </c>
      <c r="G15" s="2">
        <v>3</v>
      </c>
      <c r="H15" s="2">
        <v>0.41</v>
      </c>
      <c r="K15" s="2">
        <f t="shared" si="3"/>
        <v>123.8</v>
      </c>
      <c r="L15" s="2">
        <f t="shared" si="0"/>
        <v>119.8</v>
      </c>
      <c r="M15" s="2">
        <v>0.2</v>
      </c>
      <c r="O15" s="2">
        <v>1.5</v>
      </c>
      <c r="P15" s="2">
        <v>0.05</v>
      </c>
      <c r="T15" s="2">
        <f t="shared" si="4"/>
        <v>123.8</v>
      </c>
      <c r="U15" s="2">
        <f t="shared" si="5"/>
        <v>119.8</v>
      </c>
      <c r="V15" s="2">
        <v>0.4</v>
      </c>
      <c r="X15" s="2">
        <v>0.75</v>
      </c>
      <c r="Y15" s="2">
        <v>0.03</v>
      </c>
    </row>
    <row r="16" spans="2:25" x14ac:dyDescent="0.2">
      <c r="C16" s="2">
        <f t="shared" si="1"/>
        <v>123.8</v>
      </c>
      <c r="D16" s="2">
        <f t="shared" si="2"/>
        <v>119.8</v>
      </c>
      <c r="E16" s="2">
        <v>0.1</v>
      </c>
      <c r="G16" s="2">
        <v>3.5</v>
      </c>
      <c r="H16" s="2">
        <v>0.61</v>
      </c>
      <c r="K16" s="2">
        <f t="shared" si="3"/>
        <v>123.8</v>
      </c>
      <c r="L16" s="2">
        <f t="shared" si="0"/>
        <v>119.8</v>
      </c>
      <c r="M16" s="2">
        <v>0.2</v>
      </c>
      <c r="O16" s="2">
        <v>1.75</v>
      </c>
      <c r="P16" s="2">
        <v>0.08</v>
      </c>
      <c r="T16" s="2">
        <f t="shared" si="4"/>
        <v>123.8</v>
      </c>
      <c r="U16" s="2">
        <f t="shared" si="5"/>
        <v>119.8</v>
      </c>
      <c r="V16" s="2">
        <v>0.4</v>
      </c>
      <c r="X16" s="2">
        <v>0.875</v>
      </c>
      <c r="Y16" s="2">
        <v>7.0000000000000007E-2</v>
      </c>
    </row>
    <row r="17" spans="3:26" x14ac:dyDescent="0.2">
      <c r="C17" s="2">
        <f t="shared" si="1"/>
        <v>123.8</v>
      </c>
      <c r="D17" s="2">
        <f t="shared" si="2"/>
        <v>119.8</v>
      </c>
      <c r="E17" s="2">
        <v>0.1</v>
      </c>
      <c r="G17" s="2">
        <v>4</v>
      </c>
      <c r="H17" s="2">
        <v>0.94</v>
      </c>
      <c r="K17" s="2">
        <f t="shared" si="3"/>
        <v>123.8</v>
      </c>
      <c r="L17" s="2">
        <f t="shared" si="0"/>
        <v>119.8</v>
      </c>
      <c r="M17" s="2">
        <v>0.2</v>
      </c>
      <c r="O17" s="2">
        <v>2</v>
      </c>
      <c r="P17" s="2">
        <v>0.17</v>
      </c>
      <c r="T17" s="2">
        <f t="shared" si="4"/>
        <v>123.8</v>
      </c>
      <c r="U17" s="2">
        <f t="shared" si="5"/>
        <v>119.8</v>
      </c>
      <c r="V17" s="2">
        <v>0.4</v>
      </c>
      <c r="X17" s="2">
        <v>1</v>
      </c>
      <c r="Y17" s="2">
        <v>0.15</v>
      </c>
    </row>
    <row r="18" spans="3:26" x14ac:dyDescent="0.2">
      <c r="C18" s="2">
        <f t="shared" si="1"/>
        <v>123.8</v>
      </c>
      <c r="D18" s="2">
        <f t="shared" si="2"/>
        <v>119.8</v>
      </c>
      <c r="E18" s="2">
        <v>0.1</v>
      </c>
      <c r="G18" s="2">
        <v>4.5</v>
      </c>
      <c r="H18" s="2">
        <v>1.19</v>
      </c>
      <c r="K18" s="2">
        <f t="shared" si="3"/>
        <v>123.8</v>
      </c>
      <c r="L18" s="2">
        <f t="shared" si="0"/>
        <v>119.8</v>
      </c>
      <c r="M18" s="2">
        <v>0.2</v>
      </c>
      <c r="O18" s="2">
        <v>2.25</v>
      </c>
      <c r="P18" s="2">
        <v>0.31</v>
      </c>
      <c r="T18" s="2">
        <f t="shared" si="4"/>
        <v>123.8</v>
      </c>
      <c r="U18" s="2">
        <f t="shared" si="5"/>
        <v>119.8</v>
      </c>
      <c r="V18" s="2">
        <v>0.4</v>
      </c>
      <c r="X18" s="2">
        <v>1.125</v>
      </c>
      <c r="Y18" s="2">
        <v>0.28000000000000003</v>
      </c>
    </row>
    <row r="19" spans="3:26" x14ac:dyDescent="0.2">
      <c r="C19" s="2">
        <f t="shared" si="1"/>
        <v>123.8</v>
      </c>
      <c r="D19" s="2">
        <f t="shared" si="2"/>
        <v>119.8</v>
      </c>
      <c r="E19" s="2">
        <v>0.1</v>
      </c>
      <c r="G19" s="2">
        <v>5</v>
      </c>
      <c r="H19" s="2">
        <v>1.58</v>
      </c>
      <c r="K19" s="2">
        <f t="shared" si="3"/>
        <v>123.8</v>
      </c>
      <c r="L19" s="2">
        <f t="shared" si="0"/>
        <v>119.8</v>
      </c>
      <c r="M19" s="2">
        <v>0.2</v>
      </c>
      <c r="O19" s="2">
        <v>2.5</v>
      </c>
      <c r="P19" s="2">
        <v>0.56000000000000005</v>
      </c>
      <c r="T19" s="2">
        <f t="shared" si="4"/>
        <v>123.8</v>
      </c>
      <c r="U19" s="2">
        <f t="shared" si="5"/>
        <v>119.8</v>
      </c>
      <c r="V19" s="2">
        <v>0.4</v>
      </c>
      <c r="X19" s="2">
        <v>1.25</v>
      </c>
      <c r="Y19" s="2">
        <v>0.47</v>
      </c>
    </row>
    <row r="20" spans="3:26" x14ac:dyDescent="0.2">
      <c r="C20" s="2">
        <f t="shared" si="1"/>
        <v>123.8</v>
      </c>
      <c r="D20" s="2">
        <f t="shared" si="2"/>
        <v>119.8</v>
      </c>
      <c r="E20" s="2">
        <v>0.1</v>
      </c>
      <c r="G20" s="2">
        <v>5.5</v>
      </c>
      <c r="H20" s="2">
        <v>2.0099999999999998</v>
      </c>
      <c r="K20" s="2">
        <f t="shared" si="3"/>
        <v>123.8</v>
      </c>
      <c r="L20" s="2">
        <f t="shared" si="0"/>
        <v>119.8</v>
      </c>
      <c r="M20" s="2">
        <v>0.2</v>
      </c>
      <c r="O20" s="2">
        <v>2.75</v>
      </c>
      <c r="P20" s="2">
        <v>0.82</v>
      </c>
      <c r="T20" s="2">
        <f t="shared" si="4"/>
        <v>123.8</v>
      </c>
      <c r="U20" s="2">
        <f t="shared" si="5"/>
        <v>119.8</v>
      </c>
      <c r="V20" s="2">
        <v>0.4</v>
      </c>
      <c r="X20" s="2">
        <v>1.375</v>
      </c>
      <c r="Y20" s="2">
        <v>0.82</v>
      </c>
    </row>
    <row r="21" spans="3:26" x14ac:dyDescent="0.2">
      <c r="C21" s="2">
        <f t="shared" si="1"/>
        <v>123.8</v>
      </c>
      <c r="D21" s="2">
        <f t="shared" si="2"/>
        <v>119.8</v>
      </c>
      <c r="E21" s="2">
        <v>0.1</v>
      </c>
      <c r="G21" s="2">
        <v>6</v>
      </c>
      <c r="H21" s="2">
        <v>2.46</v>
      </c>
      <c r="K21" s="2">
        <f t="shared" si="3"/>
        <v>123.8</v>
      </c>
      <c r="L21" s="2">
        <f t="shared" si="0"/>
        <v>119.8</v>
      </c>
      <c r="M21" s="2">
        <v>0.2</v>
      </c>
      <c r="O21" s="2">
        <v>3</v>
      </c>
      <c r="P21" s="2">
        <v>1.26</v>
      </c>
      <c r="T21" s="2">
        <f t="shared" si="4"/>
        <v>123.8</v>
      </c>
      <c r="U21" s="2">
        <f t="shared" si="5"/>
        <v>119.8</v>
      </c>
      <c r="V21" s="2">
        <v>0.4</v>
      </c>
      <c r="X21" s="2">
        <v>1.5</v>
      </c>
      <c r="Y21" s="2">
        <v>1.26</v>
      </c>
    </row>
    <row r="22" spans="3:26" x14ac:dyDescent="0.2">
      <c r="C22" s="2">
        <f t="shared" si="1"/>
        <v>123.8</v>
      </c>
      <c r="D22" s="2">
        <f t="shared" si="2"/>
        <v>119.8</v>
      </c>
      <c r="E22" s="2">
        <v>0.1</v>
      </c>
      <c r="G22" s="2">
        <v>6.5</v>
      </c>
      <c r="H22" s="2">
        <v>2.92</v>
      </c>
      <c r="K22" s="2">
        <f t="shared" si="3"/>
        <v>123.8</v>
      </c>
      <c r="L22" s="2">
        <f t="shared" si="0"/>
        <v>119.8</v>
      </c>
      <c r="M22" s="2">
        <v>0.2</v>
      </c>
      <c r="O22" s="2">
        <v>3.25</v>
      </c>
      <c r="P22" s="2">
        <v>1.7</v>
      </c>
      <c r="T22" s="2">
        <f t="shared" si="4"/>
        <v>123.8</v>
      </c>
      <c r="U22" s="2">
        <f t="shared" si="5"/>
        <v>119.8</v>
      </c>
      <c r="V22" s="2">
        <v>0.4</v>
      </c>
      <c r="X22" s="2">
        <v>1.625</v>
      </c>
      <c r="Y22" s="2">
        <v>1.77</v>
      </c>
    </row>
    <row r="23" spans="3:26" x14ac:dyDescent="0.2">
      <c r="C23" s="2">
        <f t="shared" si="1"/>
        <v>123.8</v>
      </c>
      <c r="D23" s="2">
        <f t="shared" si="2"/>
        <v>119.8</v>
      </c>
      <c r="E23" s="2">
        <v>0.1</v>
      </c>
      <c r="G23" s="2">
        <v>7</v>
      </c>
      <c r="H23" s="2">
        <v>3.37</v>
      </c>
      <c r="K23" s="2">
        <f t="shared" si="3"/>
        <v>123.8</v>
      </c>
      <c r="L23" s="2">
        <f t="shared" si="0"/>
        <v>119.8</v>
      </c>
      <c r="M23" s="2">
        <v>0.2</v>
      </c>
      <c r="O23" s="2">
        <v>3.5</v>
      </c>
      <c r="P23" s="2">
        <v>2.2999999999999998</v>
      </c>
      <c r="T23" s="2">
        <f t="shared" si="4"/>
        <v>123.8</v>
      </c>
      <c r="U23" s="2">
        <f t="shared" si="5"/>
        <v>119.8</v>
      </c>
      <c r="V23" s="2">
        <v>0.4</v>
      </c>
      <c r="X23" s="2">
        <v>1.75</v>
      </c>
      <c r="Y23" s="2">
        <v>2.2999999999999998</v>
      </c>
      <c r="Z23" t="s">
        <v>27</v>
      </c>
    </row>
    <row r="24" spans="3:26" x14ac:dyDescent="0.2">
      <c r="C24" s="2">
        <f t="shared" si="1"/>
        <v>123.8</v>
      </c>
      <c r="D24" s="2">
        <f t="shared" si="2"/>
        <v>119.8</v>
      </c>
      <c r="E24" s="2">
        <v>0.1</v>
      </c>
      <c r="G24" s="2">
        <v>7.5</v>
      </c>
      <c r="H24" s="2">
        <v>3.78</v>
      </c>
      <c r="K24" s="2">
        <f t="shared" si="3"/>
        <v>123.8</v>
      </c>
      <c r="L24" s="2">
        <f t="shared" si="0"/>
        <v>119.8</v>
      </c>
      <c r="M24" s="2">
        <v>0.2</v>
      </c>
      <c r="O24" s="2">
        <v>3.75</v>
      </c>
      <c r="P24" s="2">
        <v>2.87</v>
      </c>
      <c r="T24" s="2">
        <f t="shared" si="4"/>
        <v>123.8</v>
      </c>
      <c r="U24" s="2">
        <f t="shared" si="5"/>
        <v>119.8</v>
      </c>
      <c r="V24" s="2">
        <v>0.4</v>
      </c>
      <c r="X24" s="2">
        <v>1.875</v>
      </c>
      <c r="Y24" s="2">
        <v>2.9</v>
      </c>
    </row>
    <row r="25" spans="3:26" x14ac:dyDescent="0.2">
      <c r="C25" s="2">
        <f t="shared" si="1"/>
        <v>123.8</v>
      </c>
      <c r="D25" s="2">
        <f t="shared" si="2"/>
        <v>119.8</v>
      </c>
      <c r="E25" s="2">
        <v>0.1</v>
      </c>
      <c r="G25" s="2">
        <v>8</v>
      </c>
      <c r="H25" s="2">
        <v>4.1500000000000004</v>
      </c>
      <c r="K25" s="2">
        <f t="shared" si="3"/>
        <v>123.8</v>
      </c>
      <c r="L25" s="2">
        <f t="shared" si="0"/>
        <v>119.8</v>
      </c>
      <c r="M25" s="2">
        <v>0.2</v>
      </c>
      <c r="O25" s="2">
        <v>4</v>
      </c>
      <c r="P25" s="2">
        <v>3.55</v>
      </c>
      <c r="T25" s="2">
        <f t="shared" si="4"/>
        <v>123.8</v>
      </c>
      <c r="U25" s="2">
        <f t="shared" si="5"/>
        <v>119.8</v>
      </c>
      <c r="V25" s="2">
        <v>0.4</v>
      </c>
      <c r="X25" s="2">
        <v>2</v>
      </c>
      <c r="Y25" s="2">
        <v>3.6</v>
      </c>
    </row>
    <row r="26" spans="3:26" x14ac:dyDescent="0.2">
      <c r="C26" s="2">
        <f t="shared" si="1"/>
        <v>123.8</v>
      </c>
      <c r="D26" s="2">
        <f t="shared" si="2"/>
        <v>119.8</v>
      </c>
      <c r="E26" s="2">
        <v>0.1</v>
      </c>
      <c r="G26" s="2">
        <v>8.5</v>
      </c>
      <c r="H26" s="2">
        <v>4.4000000000000004</v>
      </c>
      <c r="K26" s="2">
        <f t="shared" si="3"/>
        <v>123.8</v>
      </c>
      <c r="L26" s="2">
        <f t="shared" si="0"/>
        <v>119.8</v>
      </c>
      <c r="M26" s="2">
        <v>0.2</v>
      </c>
      <c r="O26" s="2">
        <v>4.25</v>
      </c>
      <c r="P26" s="2">
        <v>4.13</v>
      </c>
      <c r="Q26" t="s">
        <v>23</v>
      </c>
      <c r="T26" s="2">
        <f t="shared" si="4"/>
        <v>123.8</v>
      </c>
      <c r="U26" s="2">
        <f t="shared" si="5"/>
        <v>119.8</v>
      </c>
      <c r="V26" s="2">
        <v>0.4</v>
      </c>
      <c r="X26" s="2">
        <v>2.125</v>
      </c>
      <c r="Y26" s="2">
        <v>4.3</v>
      </c>
    </row>
    <row r="27" spans="3:26" x14ac:dyDescent="0.2">
      <c r="C27" s="2">
        <f t="shared" si="1"/>
        <v>123.8</v>
      </c>
      <c r="D27" s="2">
        <f t="shared" si="2"/>
        <v>119.8</v>
      </c>
      <c r="E27" s="2">
        <v>0.1</v>
      </c>
      <c r="G27" s="2">
        <v>9</v>
      </c>
      <c r="H27" s="2">
        <v>4.55</v>
      </c>
      <c r="K27" s="2">
        <f t="shared" si="3"/>
        <v>123.8</v>
      </c>
      <c r="L27" s="2">
        <f t="shared" si="0"/>
        <v>119.8</v>
      </c>
      <c r="M27" s="2">
        <v>0.2</v>
      </c>
      <c r="O27" s="2">
        <v>4.5</v>
      </c>
      <c r="P27" s="2">
        <v>4.8</v>
      </c>
      <c r="Q27" t="s">
        <v>24</v>
      </c>
      <c r="T27" s="2">
        <f t="shared" si="4"/>
        <v>123.8</v>
      </c>
      <c r="U27" s="2">
        <f t="shared" si="5"/>
        <v>119.8</v>
      </c>
      <c r="V27" s="2">
        <v>0.4</v>
      </c>
      <c r="X27" s="2">
        <v>2.25</v>
      </c>
      <c r="Y27" s="2">
        <v>4.9000000000000004</v>
      </c>
    </row>
    <row r="28" spans="3:26" x14ac:dyDescent="0.2">
      <c r="C28" s="2">
        <f t="shared" si="1"/>
        <v>123.8</v>
      </c>
      <c r="D28" s="2">
        <f t="shared" ref="D28:D40" si="6">C28-4</f>
        <v>119.8</v>
      </c>
      <c r="E28" s="2">
        <v>0.1</v>
      </c>
      <c r="G28" s="2">
        <v>9.5</v>
      </c>
      <c r="H28" s="2">
        <v>4.57</v>
      </c>
      <c r="K28" s="2">
        <f t="shared" si="3"/>
        <v>123.8</v>
      </c>
      <c r="L28" s="2">
        <f t="shared" si="0"/>
        <v>119.8</v>
      </c>
      <c r="M28" s="2">
        <v>1.2</v>
      </c>
      <c r="O28" s="2">
        <v>4.75</v>
      </c>
      <c r="P28" s="2">
        <v>5.3</v>
      </c>
      <c r="T28" s="2">
        <f t="shared" si="4"/>
        <v>123.8</v>
      </c>
      <c r="U28" s="2">
        <f t="shared" ref="U28:U40" si="7">T28-4</f>
        <v>119.8</v>
      </c>
      <c r="V28" s="2">
        <v>1.4</v>
      </c>
      <c r="X28" s="2">
        <v>2.375</v>
      </c>
      <c r="Y28" s="2">
        <v>5.5</v>
      </c>
    </row>
    <row r="29" spans="3:26" x14ac:dyDescent="0.2">
      <c r="C29" s="2">
        <f t="shared" si="1"/>
        <v>123.8</v>
      </c>
      <c r="D29" s="2">
        <f t="shared" si="6"/>
        <v>119.8</v>
      </c>
      <c r="E29" s="2">
        <v>0.1</v>
      </c>
      <c r="G29" s="2">
        <v>10</v>
      </c>
      <c r="H29" s="2">
        <v>4.5</v>
      </c>
      <c r="K29" s="2">
        <f t="shared" si="3"/>
        <v>123.8</v>
      </c>
      <c r="L29" s="2">
        <f t="shared" si="0"/>
        <v>119.8</v>
      </c>
      <c r="M29" s="2">
        <v>2.2000000000000002</v>
      </c>
      <c r="O29" s="2">
        <v>5</v>
      </c>
      <c r="P29" s="2">
        <v>5.7</v>
      </c>
      <c r="T29" s="2">
        <f t="shared" si="4"/>
        <v>123.8</v>
      </c>
      <c r="U29" s="2">
        <f t="shared" si="7"/>
        <v>119.8</v>
      </c>
      <c r="V29" s="2">
        <v>2.4</v>
      </c>
      <c r="X29" s="2">
        <v>2.5</v>
      </c>
      <c r="Y29" s="2">
        <v>6.2</v>
      </c>
    </row>
    <row r="30" spans="3:26" x14ac:dyDescent="0.2">
      <c r="C30" s="2">
        <f t="shared" si="1"/>
        <v>123.8</v>
      </c>
      <c r="D30" s="2">
        <f t="shared" si="6"/>
        <v>119.8</v>
      </c>
      <c r="E30" s="2">
        <v>0.1</v>
      </c>
      <c r="G30" s="2">
        <v>10.5</v>
      </c>
      <c r="H30" s="2">
        <v>4.29</v>
      </c>
      <c r="K30" s="2">
        <f t="shared" si="3"/>
        <v>123.8</v>
      </c>
      <c r="L30" s="2">
        <f t="shared" si="0"/>
        <v>119.8</v>
      </c>
      <c r="M30" s="2">
        <v>3.2</v>
      </c>
      <c r="O30" s="2">
        <v>5.25</v>
      </c>
      <c r="P30" s="2">
        <v>6</v>
      </c>
      <c r="T30" s="2">
        <f t="shared" si="4"/>
        <v>123.8</v>
      </c>
      <c r="U30" s="2">
        <f t="shared" si="7"/>
        <v>119.8</v>
      </c>
      <c r="V30" s="2">
        <v>3.4</v>
      </c>
      <c r="X30" s="2">
        <v>2.625</v>
      </c>
      <c r="Y30" s="2">
        <v>6.5</v>
      </c>
    </row>
    <row r="31" spans="3:26" x14ac:dyDescent="0.2">
      <c r="C31" s="2">
        <f t="shared" si="1"/>
        <v>123.8</v>
      </c>
      <c r="D31" s="2">
        <f t="shared" si="6"/>
        <v>119.8</v>
      </c>
      <c r="E31" s="2">
        <v>0.1</v>
      </c>
      <c r="G31" s="2">
        <v>11</v>
      </c>
      <c r="H31" s="2">
        <v>3.99</v>
      </c>
      <c r="K31" s="2">
        <f t="shared" si="3"/>
        <v>123.8</v>
      </c>
      <c r="L31" s="2">
        <f t="shared" si="0"/>
        <v>119.8</v>
      </c>
      <c r="M31" s="2">
        <v>4.2</v>
      </c>
      <c r="O31" s="2">
        <v>5.5</v>
      </c>
      <c r="P31" s="2">
        <v>6.2</v>
      </c>
      <c r="T31" s="2">
        <f t="shared" si="4"/>
        <v>123.8</v>
      </c>
      <c r="U31" s="2">
        <f t="shared" si="7"/>
        <v>119.8</v>
      </c>
      <c r="V31" s="2">
        <v>4.4000000000000004</v>
      </c>
      <c r="X31" s="2">
        <v>2.75</v>
      </c>
      <c r="Y31" s="2">
        <v>6.7</v>
      </c>
    </row>
    <row r="32" spans="3:26" x14ac:dyDescent="0.2">
      <c r="C32" s="2">
        <f t="shared" si="1"/>
        <v>123.8</v>
      </c>
      <c r="D32" s="2">
        <f t="shared" si="6"/>
        <v>119.8</v>
      </c>
      <c r="E32" s="2">
        <v>0.1</v>
      </c>
      <c r="G32" s="2">
        <v>11.5</v>
      </c>
      <c r="H32" s="2">
        <v>3.62</v>
      </c>
      <c r="K32" s="2">
        <f t="shared" si="3"/>
        <v>123.8</v>
      </c>
      <c r="L32" s="2">
        <f t="shared" si="0"/>
        <v>119.8</v>
      </c>
      <c r="M32" s="2">
        <v>5.2</v>
      </c>
      <c r="O32" s="2">
        <v>5.75</v>
      </c>
      <c r="P32" s="2">
        <v>6.3</v>
      </c>
      <c r="T32" s="2">
        <f t="shared" si="4"/>
        <v>123.8</v>
      </c>
      <c r="U32" s="2">
        <f t="shared" si="7"/>
        <v>119.8</v>
      </c>
      <c r="V32" s="2">
        <v>5.4</v>
      </c>
      <c r="X32" s="2">
        <v>2.875</v>
      </c>
      <c r="Y32" s="2">
        <v>6.8</v>
      </c>
    </row>
    <row r="33" spans="3:26" x14ac:dyDescent="0.2">
      <c r="C33" s="2">
        <f t="shared" si="1"/>
        <v>123.8</v>
      </c>
      <c r="D33" s="2">
        <f t="shared" si="6"/>
        <v>119.8</v>
      </c>
      <c r="E33" s="2">
        <v>0.1</v>
      </c>
      <c r="G33" s="2">
        <v>12</v>
      </c>
      <c r="H33" s="8">
        <v>3.48</v>
      </c>
      <c r="I33" t="s">
        <v>22</v>
      </c>
      <c r="K33" s="2">
        <f t="shared" si="3"/>
        <v>123.8</v>
      </c>
      <c r="L33" s="2">
        <f t="shared" si="0"/>
        <v>119.8</v>
      </c>
      <c r="M33" s="2">
        <v>6.2</v>
      </c>
      <c r="O33" s="2">
        <v>6</v>
      </c>
      <c r="P33" s="2">
        <v>6.2</v>
      </c>
      <c r="T33" s="2">
        <f t="shared" si="4"/>
        <v>123.8</v>
      </c>
      <c r="U33" s="2">
        <f t="shared" si="7"/>
        <v>119.8</v>
      </c>
      <c r="V33" s="2">
        <v>6.4</v>
      </c>
      <c r="X33" s="2">
        <v>3</v>
      </c>
      <c r="Y33" s="2">
        <v>6.7</v>
      </c>
    </row>
    <row r="34" spans="3:26" x14ac:dyDescent="0.2">
      <c r="C34" s="2">
        <f t="shared" si="1"/>
        <v>123.8</v>
      </c>
      <c r="D34" s="2">
        <f t="shared" si="6"/>
        <v>119.8</v>
      </c>
      <c r="E34" s="2">
        <v>0.1</v>
      </c>
      <c r="G34" s="2">
        <v>12.5</v>
      </c>
      <c r="H34" s="2">
        <v>2.7</v>
      </c>
      <c r="K34" s="2">
        <f t="shared" si="3"/>
        <v>123.8</v>
      </c>
      <c r="L34" s="2">
        <f t="shared" si="0"/>
        <v>119.8</v>
      </c>
      <c r="M34" s="2">
        <v>7.2</v>
      </c>
      <c r="O34" s="2">
        <v>6.25</v>
      </c>
      <c r="P34" s="2">
        <v>5.9</v>
      </c>
      <c r="T34" s="2">
        <f t="shared" si="4"/>
        <v>123.8</v>
      </c>
      <c r="U34" s="2">
        <f t="shared" si="7"/>
        <v>119.8</v>
      </c>
      <c r="V34" s="2">
        <v>7.4</v>
      </c>
      <c r="X34" s="2">
        <v>3.125</v>
      </c>
      <c r="Y34" s="2">
        <v>6.3</v>
      </c>
    </row>
    <row r="35" spans="3:26" x14ac:dyDescent="0.2">
      <c r="C35" s="2">
        <f t="shared" si="1"/>
        <v>123.8</v>
      </c>
      <c r="D35" s="2">
        <f t="shared" si="6"/>
        <v>119.8</v>
      </c>
      <c r="E35" s="2">
        <v>0.1</v>
      </c>
      <c r="G35" s="2">
        <v>13</v>
      </c>
      <c r="H35" s="2">
        <v>2.2400000000000002</v>
      </c>
      <c r="K35" s="2">
        <f t="shared" si="3"/>
        <v>123.8</v>
      </c>
      <c r="L35" s="2">
        <f t="shared" si="0"/>
        <v>119.8</v>
      </c>
      <c r="M35" s="2">
        <v>8.1999999999999993</v>
      </c>
      <c r="O35" s="2">
        <v>6.5</v>
      </c>
      <c r="P35" s="2">
        <v>5.7</v>
      </c>
      <c r="T35" s="2">
        <f t="shared" si="4"/>
        <v>123.8</v>
      </c>
      <c r="U35" s="2">
        <f t="shared" si="7"/>
        <v>119.8</v>
      </c>
      <c r="V35" s="2">
        <v>8.4</v>
      </c>
      <c r="X35" s="2">
        <v>3.25</v>
      </c>
      <c r="Y35" s="2">
        <v>5.8</v>
      </c>
    </row>
    <row r="36" spans="3:26" x14ac:dyDescent="0.2">
      <c r="C36" s="2">
        <f t="shared" si="1"/>
        <v>123.8</v>
      </c>
      <c r="D36" s="2">
        <f t="shared" si="6"/>
        <v>119.8</v>
      </c>
      <c r="E36" s="2">
        <v>0.1</v>
      </c>
      <c r="G36" s="2">
        <v>13.5</v>
      </c>
      <c r="H36" s="2">
        <v>1.82</v>
      </c>
      <c r="K36" s="2">
        <f t="shared" si="3"/>
        <v>123.8</v>
      </c>
      <c r="L36" s="2">
        <f t="shared" si="0"/>
        <v>119.8</v>
      </c>
      <c r="M36" s="2">
        <v>9.1999999999999993</v>
      </c>
      <c r="O36" s="2">
        <v>6.75</v>
      </c>
      <c r="P36" s="2">
        <v>5.2</v>
      </c>
      <c r="T36" s="2">
        <f t="shared" si="4"/>
        <v>123.8</v>
      </c>
      <c r="U36" s="2">
        <f t="shared" si="7"/>
        <v>119.8</v>
      </c>
      <c r="V36" s="2">
        <v>9.4</v>
      </c>
      <c r="X36" s="2">
        <v>3.375</v>
      </c>
      <c r="Y36" s="2">
        <v>5.3</v>
      </c>
    </row>
    <row r="37" spans="3:26" x14ac:dyDescent="0.2">
      <c r="C37" s="2">
        <f t="shared" si="1"/>
        <v>123.8</v>
      </c>
      <c r="D37" s="2">
        <f t="shared" si="6"/>
        <v>119.8</v>
      </c>
      <c r="E37" s="2">
        <v>0.1</v>
      </c>
      <c r="G37" s="2">
        <v>14</v>
      </c>
      <c r="H37" s="2">
        <v>1.4</v>
      </c>
      <c r="K37" s="2">
        <f t="shared" si="3"/>
        <v>123.8</v>
      </c>
      <c r="L37" s="2">
        <f t="shared" si="0"/>
        <v>119.8</v>
      </c>
      <c r="M37" s="2">
        <v>10.199999999999999</v>
      </c>
      <c r="O37" s="2">
        <v>7</v>
      </c>
      <c r="P37" s="2">
        <v>4.3</v>
      </c>
      <c r="T37" s="2">
        <f t="shared" si="4"/>
        <v>123.8</v>
      </c>
      <c r="U37" s="2">
        <f t="shared" si="7"/>
        <v>119.8</v>
      </c>
      <c r="V37" s="2">
        <v>10.4</v>
      </c>
      <c r="X37" s="2">
        <v>3.5</v>
      </c>
      <c r="Y37" s="2">
        <v>4.5999999999999996</v>
      </c>
    </row>
    <row r="38" spans="3:26" x14ac:dyDescent="0.2">
      <c r="C38" s="2">
        <f t="shared" si="1"/>
        <v>123.8</v>
      </c>
      <c r="D38" s="2">
        <f t="shared" si="6"/>
        <v>119.8</v>
      </c>
      <c r="E38" s="2">
        <v>0.1</v>
      </c>
      <c r="G38" s="2">
        <v>14.5</v>
      </c>
      <c r="H38" s="2">
        <v>1.03</v>
      </c>
      <c r="K38" s="2">
        <f t="shared" si="3"/>
        <v>123.8</v>
      </c>
      <c r="L38" s="2">
        <f t="shared" si="0"/>
        <v>119.8</v>
      </c>
      <c r="M38" s="2">
        <v>11.2</v>
      </c>
      <c r="O38" s="2">
        <v>7.25</v>
      </c>
      <c r="P38" s="2">
        <v>3.7</v>
      </c>
      <c r="T38" s="2">
        <f t="shared" si="4"/>
        <v>123.8</v>
      </c>
      <c r="U38" s="2">
        <f t="shared" si="7"/>
        <v>119.8</v>
      </c>
      <c r="V38" s="2">
        <v>11.4</v>
      </c>
      <c r="X38" s="2">
        <v>3.625</v>
      </c>
      <c r="Y38" s="2">
        <v>4</v>
      </c>
    </row>
    <row r="39" spans="3:26" x14ac:dyDescent="0.2">
      <c r="C39" s="2">
        <f t="shared" si="1"/>
        <v>123.8</v>
      </c>
      <c r="D39" s="2">
        <f t="shared" si="6"/>
        <v>119.8</v>
      </c>
      <c r="E39" s="2">
        <v>0.1</v>
      </c>
      <c r="G39" s="2">
        <v>15</v>
      </c>
      <c r="H39" s="2">
        <v>0.71</v>
      </c>
      <c r="K39" s="2">
        <f t="shared" si="3"/>
        <v>123.8</v>
      </c>
      <c r="L39" s="2">
        <f t="shared" si="0"/>
        <v>119.8</v>
      </c>
      <c r="M39" s="2">
        <v>12.2</v>
      </c>
      <c r="O39" s="2">
        <v>7.5</v>
      </c>
      <c r="P39" s="2">
        <v>3</v>
      </c>
      <c r="T39" s="2">
        <f t="shared" si="4"/>
        <v>123.8</v>
      </c>
      <c r="U39" s="2">
        <f t="shared" si="7"/>
        <v>119.8</v>
      </c>
      <c r="V39" s="2">
        <v>12.4</v>
      </c>
      <c r="X39" s="2">
        <v>3.75</v>
      </c>
      <c r="Y39" s="2">
        <v>3.5</v>
      </c>
    </row>
    <row r="40" spans="3:26" x14ac:dyDescent="0.2">
      <c r="C40" s="2">
        <f t="shared" si="1"/>
        <v>123.8</v>
      </c>
      <c r="D40" s="2">
        <f t="shared" si="6"/>
        <v>119.8</v>
      </c>
      <c r="E40" s="2">
        <v>0.1</v>
      </c>
      <c r="G40" s="2">
        <v>15.5</v>
      </c>
      <c r="H40" s="2">
        <v>0.52</v>
      </c>
      <c r="K40" s="2">
        <f t="shared" si="3"/>
        <v>123.8</v>
      </c>
      <c r="L40" s="2">
        <f t="shared" si="0"/>
        <v>119.8</v>
      </c>
      <c r="M40" s="2">
        <v>13.2</v>
      </c>
      <c r="O40" s="2">
        <v>7.75</v>
      </c>
      <c r="P40" s="2">
        <v>2.39</v>
      </c>
      <c r="Q40" t="s">
        <v>25</v>
      </c>
      <c r="T40" s="2">
        <f t="shared" si="4"/>
        <v>123.8</v>
      </c>
      <c r="U40" s="2">
        <f t="shared" si="7"/>
        <v>119.8</v>
      </c>
      <c r="V40" s="2">
        <v>13.4</v>
      </c>
      <c r="X40" s="2">
        <v>3.875</v>
      </c>
      <c r="Y40" s="2">
        <v>2.8</v>
      </c>
    </row>
    <row r="41" spans="3:26" x14ac:dyDescent="0.2">
      <c r="C41" s="2">
        <f t="shared" si="1"/>
        <v>123.8</v>
      </c>
      <c r="D41" s="2">
        <f t="shared" ref="D41" si="8">C41-4</f>
        <v>119.8</v>
      </c>
      <c r="E41" s="2">
        <v>0.1</v>
      </c>
      <c r="G41" s="2">
        <v>16</v>
      </c>
      <c r="H41" s="2">
        <v>0.32</v>
      </c>
      <c r="K41" s="2">
        <f t="shared" si="3"/>
        <v>123.8</v>
      </c>
      <c r="L41" s="2">
        <f t="shared" si="0"/>
        <v>119.8</v>
      </c>
      <c r="M41" s="2">
        <v>14.2</v>
      </c>
      <c r="O41" s="2">
        <v>8</v>
      </c>
      <c r="P41" s="2">
        <v>1.81</v>
      </c>
      <c r="Q41" t="s">
        <v>26</v>
      </c>
      <c r="T41" s="2">
        <f t="shared" si="4"/>
        <v>123.8</v>
      </c>
      <c r="U41" s="2">
        <f t="shared" ref="U41:U47" si="9">T41-4</f>
        <v>119.8</v>
      </c>
      <c r="V41" s="2">
        <v>14.4</v>
      </c>
      <c r="X41" s="2">
        <v>4</v>
      </c>
      <c r="Y41" s="2">
        <v>2.2000000000000002</v>
      </c>
    </row>
    <row r="42" spans="3:26" x14ac:dyDescent="0.2">
      <c r="C42" s="2">
        <f t="shared" si="1"/>
        <v>123.8</v>
      </c>
      <c r="D42" s="2">
        <f t="shared" ref="D42:D47" si="10">C42-4</f>
        <v>119.8</v>
      </c>
      <c r="E42" s="2">
        <v>0.1</v>
      </c>
      <c r="G42" s="2">
        <v>16.5</v>
      </c>
      <c r="H42" s="2">
        <v>0.21</v>
      </c>
      <c r="K42" s="2">
        <f t="shared" si="3"/>
        <v>123.8</v>
      </c>
      <c r="L42" s="2">
        <f t="shared" si="0"/>
        <v>119.8</v>
      </c>
      <c r="M42" s="2">
        <v>15.2</v>
      </c>
      <c r="O42" s="2">
        <v>8.25</v>
      </c>
      <c r="P42" s="2">
        <v>1.28</v>
      </c>
      <c r="T42" s="2">
        <f t="shared" si="4"/>
        <v>123.8</v>
      </c>
      <c r="U42" s="2">
        <f t="shared" si="9"/>
        <v>119.8</v>
      </c>
      <c r="V42" s="2">
        <v>15.4</v>
      </c>
      <c r="X42" s="2">
        <v>4.125</v>
      </c>
      <c r="Y42" s="2">
        <v>1.7</v>
      </c>
    </row>
    <row r="43" spans="3:26" x14ac:dyDescent="0.2">
      <c r="C43" s="2">
        <f t="shared" si="1"/>
        <v>123.8</v>
      </c>
      <c r="D43" s="2">
        <f t="shared" si="10"/>
        <v>119.8</v>
      </c>
      <c r="E43" s="2">
        <v>0.1</v>
      </c>
      <c r="G43" s="2">
        <v>17</v>
      </c>
      <c r="H43" s="2">
        <v>0.16</v>
      </c>
      <c r="K43" s="2">
        <f t="shared" si="3"/>
        <v>123.8</v>
      </c>
      <c r="L43" s="2">
        <f t="shared" si="0"/>
        <v>119.8</v>
      </c>
      <c r="M43" s="2">
        <v>16.2</v>
      </c>
      <c r="O43" s="2">
        <v>8.5</v>
      </c>
      <c r="P43" s="2">
        <v>0.83</v>
      </c>
      <c r="T43" s="2">
        <f t="shared" si="4"/>
        <v>123.8</v>
      </c>
      <c r="U43" s="2">
        <f t="shared" si="9"/>
        <v>119.8</v>
      </c>
      <c r="V43" s="2">
        <v>16.399999999999999</v>
      </c>
      <c r="X43" s="2">
        <v>4.25</v>
      </c>
      <c r="Y43" s="2">
        <v>1.3</v>
      </c>
    </row>
    <row r="44" spans="3:26" x14ac:dyDescent="0.2">
      <c r="C44" s="2">
        <f t="shared" si="1"/>
        <v>123.8</v>
      </c>
      <c r="D44" s="2">
        <f t="shared" si="10"/>
        <v>119.8</v>
      </c>
      <c r="E44" s="2">
        <v>0.1</v>
      </c>
      <c r="G44" s="2">
        <v>17.5</v>
      </c>
      <c r="H44" s="2">
        <v>0.14000000000000001</v>
      </c>
      <c r="K44" s="2">
        <f t="shared" si="3"/>
        <v>123.8</v>
      </c>
      <c r="L44" s="2">
        <f t="shared" si="0"/>
        <v>119.8</v>
      </c>
      <c r="M44" s="2">
        <v>17.2</v>
      </c>
      <c r="O44" s="2">
        <v>8.75</v>
      </c>
      <c r="P44" s="2">
        <v>0.54</v>
      </c>
      <c r="T44" s="2">
        <f t="shared" si="4"/>
        <v>123.8</v>
      </c>
      <c r="U44" s="2">
        <f t="shared" si="9"/>
        <v>119.8</v>
      </c>
      <c r="V44" s="2">
        <v>17.399999999999999</v>
      </c>
      <c r="X44" s="2">
        <v>4.375</v>
      </c>
      <c r="Y44" s="2">
        <v>0.95</v>
      </c>
      <c r="Z44" t="s">
        <v>28</v>
      </c>
    </row>
    <row r="45" spans="3:26" x14ac:dyDescent="0.2">
      <c r="C45" s="2">
        <f t="shared" si="1"/>
        <v>123.8</v>
      </c>
      <c r="D45" s="2">
        <f t="shared" si="10"/>
        <v>119.8</v>
      </c>
      <c r="E45" s="2">
        <v>0.1</v>
      </c>
      <c r="G45" s="2">
        <v>18</v>
      </c>
      <c r="H45" s="2">
        <v>0.15</v>
      </c>
      <c r="K45" s="2">
        <f t="shared" si="3"/>
        <v>123.8</v>
      </c>
      <c r="L45" s="2">
        <f t="shared" si="0"/>
        <v>119.8</v>
      </c>
      <c r="M45" s="2">
        <v>18.2</v>
      </c>
      <c r="O45" s="2">
        <v>9</v>
      </c>
      <c r="P45" s="2">
        <v>0.28999999999999998</v>
      </c>
      <c r="T45" s="2">
        <f t="shared" si="4"/>
        <v>123.8</v>
      </c>
      <c r="U45" s="2">
        <f t="shared" si="9"/>
        <v>119.8</v>
      </c>
      <c r="V45" s="2">
        <v>18.399999999999999</v>
      </c>
      <c r="X45" s="2">
        <v>4.5</v>
      </c>
      <c r="Y45" s="2">
        <v>0.65</v>
      </c>
    </row>
    <row r="46" spans="3:26" x14ac:dyDescent="0.2">
      <c r="C46" s="2">
        <f t="shared" si="1"/>
        <v>123.8</v>
      </c>
      <c r="D46" s="2">
        <f t="shared" si="10"/>
        <v>119.8</v>
      </c>
      <c r="E46" s="2">
        <v>0.1</v>
      </c>
      <c r="G46" s="2">
        <v>18.5</v>
      </c>
      <c r="H46" s="2">
        <v>0.17</v>
      </c>
      <c r="K46" s="2">
        <f t="shared" si="3"/>
        <v>123.8</v>
      </c>
      <c r="L46" s="2">
        <f t="shared" si="0"/>
        <v>119.8</v>
      </c>
      <c r="M46" s="2">
        <v>19.2</v>
      </c>
      <c r="O46" s="2">
        <v>9.25</v>
      </c>
      <c r="P46" s="2">
        <v>0.16</v>
      </c>
      <c r="T46" s="2">
        <f t="shared" si="4"/>
        <v>123.8</v>
      </c>
      <c r="U46" s="2">
        <f t="shared" si="9"/>
        <v>119.8</v>
      </c>
      <c r="V46" s="2">
        <v>19.399999999999999</v>
      </c>
      <c r="X46" s="2">
        <v>4.625</v>
      </c>
      <c r="Y46" s="2">
        <v>0.35</v>
      </c>
    </row>
    <row r="47" spans="3:26" x14ac:dyDescent="0.2">
      <c r="C47" s="2">
        <f t="shared" si="1"/>
        <v>123.8</v>
      </c>
      <c r="D47" s="2">
        <f t="shared" si="10"/>
        <v>119.8</v>
      </c>
      <c r="E47" s="2">
        <v>0.1</v>
      </c>
      <c r="G47" s="2">
        <v>19</v>
      </c>
      <c r="H47" s="2">
        <v>0.19</v>
      </c>
      <c r="K47" s="2">
        <f t="shared" si="3"/>
        <v>123.8</v>
      </c>
      <c r="L47" s="2">
        <f t="shared" si="0"/>
        <v>119.8</v>
      </c>
      <c r="M47" s="2">
        <v>20.2</v>
      </c>
      <c r="O47" s="2">
        <v>9.5</v>
      </c>
      <c r="P47" s="2">
        <v>7.0000000000000007E-2</v>
      </c>
      <c r="T47" s="2">
        <f t="shared" si="4"/>
        <v>123.8</v>
      </c>
      <c r="U47" s="2">
        <f t="shared" si="9"/>
        <v>119.8</v>
      </c>
      <c r="V47" s="2">
        <v>20.399999999999999</v>
      </c>
      <c r="X47" s="2">
        <v>4.75</v>
      </c>
      <c r="Y47" s="2">
        <v>0.32</v>
      </c>
    </row>
    <row r="48" spans="3:26" x14ac:dyDescent="0.2">
      <c r="C48" s="1"/>
      <c r="D48" s="1"/>
      <c r="E48" s="1"/>
      <c r="G48" s="1"/>
      <c r="H48" s="1"/>
      <c r="J48" s="1"/>
      <c r="K48" s="2">
        <f t="shared" si="3"/>
        <v>123.8</v>
      </c>
      <c r="L48" s="2">
        <f t="shared" ref="L48:L51" si="11">K48-4</f>
        <v>119.8</v>
      </c>
      <c r="M48" s="2">
        <v>21.2</v>
      </c>
      <c r="O48" s="2">
        <v>9.75</v>
      </c>
      <c r="P48" s="2">
        <v>0.04</v>
      </c>
      <c r="T48" s="2">
        <f t="shared" si="4"/>
        <v>123.8</v>
      </c>
      <c r="U48" s="2">
        <f t="shared" ref="U48:U49" si="12">T48-4</f>
        <v>119.8</v>
      </c>
      <c r="V48" s="2">
        <v>21.4</v>
      </c>
      <c r="X48" s="2">
        <v>4.875</v>
      </c>
      <c r="Y48" s="2">
        <v>0.33</v>
      </c>
    </row>
    <row r="49" spans="3:25" x14ac:dyDescent="0.2">
      <c r="C49" s="1"/>
      <c r="D49" s="1"/>
      <c r="E49" s="1"/>
      <c r="G49" s="1"/>
      <c r="H49" s="1"/>
      <c r="J49" s="1"/>
      <c r="K49" s="2">
        <f t="shared" si="3"/>
        <v>123.8</v>
      </c>
      <c r="L49" s="2">
        <f t="shared" si="11"/>
        <v>119.8</v>
      </c>
      <c r="M49" s="2">
        <v>22.2</v>
      </c>
      <c r="O49" s="2">
        <v>10</v>
      </c>
      <c r="P49" s="2">
        <v>0.05</v>
      </c>
      <c r="T49" s="2">
        <f t="shared" si="4"/>
        <v>123.8</v>
      </c>
      <c r="U49" s="2">
        <f t="shared" si="12"/>
        <v>119.8</v>
      </c>
      <c r="V49" s="2">
        <v>22.4</v>
      </c>
      <c r="X49" s="2">
        <v>5</v>
      </c>
      <c r="Y49" s="2">
        <v>0.42</v>
      </c>
    </row>
    <row r="50" spans="3:25" x14ac:dyDescent="0.2">
      <c r="K50" s="2">
        <f t="shared" ref="K50:K51" si="13">78+45.8</f>
        <v>123.8</v>
      </c>
      <c r="L50" s="2">
        <f t="shared" si="11"/>
        <v>119.8</v>
      </c>
      <c r="M50" s="2">
        <v>23.2</v>
      </c>
      <c r="O50" s="2">
        <v>10.25</v>
      </c>
      <c r="P50" s="2">
        <v>7.0000000000000007E-2</v>
      </c>
    </row>
    <row r="51" spans="3:25" x14ac:dyDescent="0.2">
      <c r="K51" s="2">
        <f t="shared" si="13"/>
        <v>123.8</v>
      </c>
      <c r="L51" s="2">
        <f t="shared" si="11"/>
        <v>119.8</v>
      </c>
      <c r="M51" s="2">
        <v>24.2</v>
      </c>
      <c r="O51" s="2">
        <v>10.5</v>
      </c>
      <c r="P51" s="2">
        <v>0.12</v>
      </c>
    </row>
    <row r="52" spans="3:25" x14ac:dyDescent="0.2">
      <c r="C52" s="1"/>
      <c r="D52" s="1"/>
      <c r="E52" s="1" t="s">
        <v>31</v>
      </c>
      <c r="W52" t="s">
        <v>29</v>
      </c>
    </row>
    <row r="53" spans="3:25" x14ac:dyDescent="0.2">
      <c r="C53" s="1" t="s">
        <v>32</v>
      </c>
      <c r="D53" s="1">
        <v>7.5</v>
      </c>
      <c r="E53" s="1">
        <f>D53/1000</f>
        <v>7.4999999999999997E-3</v>
      </c>
      <c r="G53" t="s">
        <v>33</v>
      </c>
    </row>
    <row r="54" spans="3:25" x14ac:dyDescent="0.2">
      <c r="C54" s="1" t="s">
        <v>1</v>
      </c>
      <c r="D54" s="1">
        <v>119.8</v>
      </c>
      <c r="E54" s="1">
        <f>D54/100</f>
        <v>1.198</v>
      </c>
    </row>
    <row r="55" spans="3:25" x14ac:dyDescent="0.2">
      <c r="C55" s="1" t="s">
        <v>4</v>
      </c>
      <c r="D55" s="1">
        <v>0.1</v>
      </c>
      <c r="E55" s="1">
        <f>D55/1000</f>
        <v>1E-4</v>
      </c>
      <c r="G55">
        <f>(E55/E56)*SIN(ATAN(E53/E54))</f>
        <v>0.98899073896732215</v>
      </c>
    </row>
    <row r="56" spans="3:25" x14ac:dyDescent="0.2">
      <c r="C56" s="1" t="s">
        <v>30</v>
      </c>
      <c r="D56" s="9" t="s">
        <v>10</v>
      </c>
      <c r="E56" s="1">
        <f>633*10^-9</f>
        <v>6.3300000000000002E-7</v>
      </c>
    </row>
  </sheetData>
  <mergeCells count="2">
    <mergeCell ref="C4:E4"/>
    <mergeCell ref="T4:V4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5F29-2F18-EE4E-8865-5F73F01B666D}">
  <dimension ref="A2:AA77"/>
  <sheetViews>
    <sheetView tabSelected="1" zoomScale="73" zoomScaleNormal="73" workbookViewId="0">
      <selection activeCell="E10" sqref="E10"/>
    </sheetView>
  </sheetViews>
  <sheetFormatPr baseColWidth="10" defaultRowHeight="16" x14ac:dyDescent="0.2"/>
  <cols>
    <col min="1" max="1" width="17.6640625" customWidth="1"/>
    <col min="3" max="3" width="15.1640625" customWidth="1"/>
    <col min="5" max="5" width="11.33203125" customWidth="1"/>
    <col min="6" max="6" width="17.1640625" customWidth="1"/>
    <col min="7" max="7" width="20.83203125" customWidth="1"/>
    <col min="13" max="13" width="14.5" customWidth="1"/>
    <col min="16" max="16" width="17" customWidth="1"/>
    <col min="17" max="17" width="20.6640625" customWidth="1"/>
    <col min="23" max="23" width="18.6640625" customWidth="1"/>
    <col min="26" max="26" width="18.5" customWidth="1"/>
    <col min="27" max="27" width="21" customWidth="1"/>
  </cols>
  <sheetData>
    <row r="2" spans="1:27" x14ac:dyDescent="0.2">
      <c r="A2" s="10" t="s">
        <v>34</v>
      </c>
      <c r="B2" s="10"/>
      <c r="C2" s="10"/>
      <c r="D2" s="10"/>
      <c r="G2" s="12" t="s">
        <v>38</v>
      </c>
      <c r="H2" s="12" t="s">
        <v>4</v>
      </c>
      <c r="I2" s="12" t="s">
        <v>49</v>
      </c>
      <c r="P2" s="12" t="s">
        <v>42</v>
      </c>
      <c r="Q2" s="12" t="s">
        <v>4</v>
      </c>
      <c r="R2" s="12" t="s">
        <v>49</v>
      </c>
      <c r="Y2" s="12" t="s">
        <v>43</v>
      </c>
      <c r="Z2" s="12" t="s">
        <v>4</v>
      </c>
      <c r="AA2" s="12" t="s">
        <v>49</v>
      </c>
    </row>
    <row r="3" spans="1:27" x14ac:dyDescent="0.2">
      <c r="G3" s="1"/>
      <c r="H3" s="2">
        <v>0.1</v>
      </c>
      <c r="I3" s="2">
        <v>1E-4</v>
      </c>
      <c r="P3" s="1"/>
      <c r="Q3" s="2">
        <v>0.2</v>
      </c>
      <c r="R3" s="2">
        <v>2.0000000000000001E-4</v>
      </c>
      <c r="Y3" s="1"/>
      <c r="Z3" s="2">
        <v>0.4</v>
      </c>
      <c r="AA3" s="2">
        <v>4.0000000000000002E-4</v>
      </c>
    </row>
    <row r="4" spans="1:27" x14ac:dyDescent="0.2">
      <c r="A4" s="2" t="s">
        <v>35</v>
      </c>
    </row>
    <row r="5" spans="1:27" x14ac:dyDescent="0.2">
      <c r="A5" s="2">
        <v>1.238</v>
      </c>
    </row>
    <row r="6" spans="1:27" x14ac:dyDescent="0.2">
      <c r="A6" s="2" t="s">
        <v>36</v>
      </c>
      <c r="B6" s="11" t="s">
        <v>37</v>
      </c>
      <c r="G6" s="12" t="s">
        <v>21</v>
      </c>
      <c r="H6" s="12" t="s">
        <v>40</v>
      </c>
      <c r="I6" s="12" t="s">
        <v>39</v>
      </c>
      <c r="P6" s="12" t="s">
        <v>21</v>
      </c>
      <c r="Q6" s="12" t="s">
        <v>40</v>
      </c>
      <c r="R6" s="12" t="s">
        <v>39</v>
      </c>
      <c r="Y6" s="12" t="s">
        <v>21</v>
      </c>
      <c r="Z6" s="12" t="s">
        <v>40</v>
      </c>
      <c r="AA6" s="12" t="s">
        <v>39</v>
      </c>
    </row>
    <row r="7" spans="1:27" x14ac:dyDescent="0.2">
      <c r="A7" s="2">
        <v>1.198</v>
      </c>
      <c r="B7" s="11">
        <v>2E-3</v>
      </c>
      <c r="G7" s="2">
        <v>0</v>
      </c>
      <c r="H7" s="2">
        <v>0.15</v>
      </c>
      <c r="I7" s="2">
        <v>0.01</v>
      </c>
      <c r="P7" s="2">
        <v>0</v>
      </c>
      <c r="Q7" s="2">
        <v>0.19</v>
      </c>
      <c r="R7" s="2">
        <v>0.01</v>
      </c>
      <c r="Y7" s="2">
        <v>0</v>
      </c>
      <c r="Z7" s="2">
        <v>0.18</v>
      </c>
      <c r="AA7" s="2">
        <v>0.01</v>
      </c>
    </row>
    <row r="8" spans="1:27" x14ac:dyDescent="0.2">
      <c r="G8" s="2">
        <v>0.5</v>
      </c>
      <c r="H8" s="2">
        <v>0.14000000000000001</v>
      </c>
      <c r="I8" s="2">
        <v>0.01</v>
      </c>
      <c r="P8" s="2">
        <v>0.25</v>
      </c>
      <c r="Q8" s="2">
        <v>0.18</v>
      </c>
      <c r="R8" s="2">
        <v>0.01</v>
      </c>
      <c r="Y8" s="2">
        <v>0.125</v>
      </c>
      <c r="Z8" s="2">
        <v>0.18</v>
      </c>
      <c r="AA8" s="2">
        <v>0.01</v>
      </c>
    </row>
    <row r="9" spans="1:27" x14ac:dyDescent="0.2">
      <c r="A9" s="2" t="s">
        <v>11</v>
      </c>
      <c r="G9" s="13">
        <v>1</v>
      </c>
      <c r="H9" s="2">
        <v>0.13</v>
      </c>
      <c r="I9" s="2">
        <v>0.01</v>
      </c>
      <c r="P9" s="2">
        <v>0.5</v>
      </c>
      <c r="Q9" s="2">
        <v>0.16</v>
      </c>
      <c r="R9" s="2">
        <v>0.01</v>
      </c>
      <c r="Y9" s="2">
        <v>0.25</v>
      </c>
      <c r="Z9" s="2">
        <v>0.18</v>
      </c>
      <c r="AA9" s="2">
        <v>0.01</v>
      </c>
    </row>
    <row r="10" spans="1:27" x14ac:dyDescent="0.2">
      <c r="A10" s="2">
        <f>633*10^-9</f>
        <v>6.3300000000000002E-7</v>
      </c>
      <c r="G10" s="2">
        <v>1.5</v>
      </c>
      <c r="H10" s="2">
        <v>0.15</v>
      </c>
      <c r="I10" s="2">
        <v>0.01</v>
      </c>
      <c r="P10" s="2">
        <v>0.75</v>
      </c>
      <c r="Q10" s="2">
        <v>0.13</v>
      </c>
      <c r="R10" s="2">
        <v>0.01</v>
      </c>
      <c r="Y10" s="2">
        <v>0.375</v>
      </c>
      <c r="Z10" s="2">
        <v>0.13</v>
      </c>
      <c r="AA10" s="2">
        <v>0.01</v>
      </c>
    </row>
    <row r="11" spans="1:27" x14ac:dyDescent="0.2">
      <c r="G11" s="2">
        <v>2</v>
      </c>
      <c r="H11" s="2">
        <v>0.19</v>
      </c>
      <c r="I11" s="2">
        <v>0.01</v>
      </c>
      <c r="P11" s="2">
        <v>1</v>
      </c>
      <c r="Q11" s="2">
        <v>0.09</v>
      </c>
      <c r="R11" s="2">
        <v>0.01</v>
      </c>
      <c r="Y11" s="2">
        <v>0.5</v>
      </c>
      <c r="Z11" s="2">
        <v>0.08</v>
      </c>
      <c r="AA11" s="2">
        <v>0.01</v>
      </c>
    </row>
    <row r="12" spans="1:27" x14ac:dyDescent="0.2">
      <c r="A12" s="2" t="s">
        <v>41</v>
      </c>
      <c r="C12" s="1"/>
      <c r="G12" s="2">
        <v>2.5</v>
      </c>
      <c r="H12" s="2">
        <v>0.28999999999999998</v>
      </c>
      <c r="I12" s="2">
        <v>0.01</v>
      </c>
      <c r="P12" s="13">
        <v>1.25</v>
      </c>
      <c r="Q12" s="2">
        <v>0.06</v>
      </c>
      <c r="R12" s="2">
        <v>0.01</v>
      </c>
      <c r="Y12" s="2">
        <v>0.625</v>
      </c>
      <c r="Z12" s="2">
        <v>0.04</v>
      </c>
      <c r="AA12" s="2">
        <v>0.01</v>
      </c>
    </row>
    <row r="13" spans="1:27" x14ac:dyDescent="0.2">
      <c r="A13" s="2">
        <v>1.2500000000000001E-2</v>
      </c>
      <c r="C13" s="1"/>
      <c r="G13" s="2">
        <v>3</v>
      </c>
      <c r="H13" s="2">
        <v>0.41</v>
      </c>
      <c r="I13" s="2">
        <v>0.01</v>
      </c>
      <c r="P13" s="2">
        <v>1.5</v>
      </c>
      <c r="Q13" s="2">
        <v>0.05</v>
      </c>
      <c r="R13" s="2">
        <v>0.01</v>
      </c>
      <c r="Y13" s="13">
        <v>0.75</v>
      </c>
      <c r="Z13" s="2">
        <v>0.03</v>
      </c>
      <c r="AA13" s="2">
        <v>0.01</v>
      </c>
    </row>
    <row r="14" spans="1:27" x14ac:dyDescent="0.2">
      <c r="G14" s="2">
        <v>3.5</v>
      </c>
      <c r="H14" s="2">
        <v>0.61</v>
      </c>
      <c r="I14" s="2">
        <v>0.01</v>
      </c>
      <c r="P14" s="2">
        <v>1.75</v>
      </c>
      <c r="Q14" s="2">
        <v>0.08</v>
      </c>
      <c r="R14" s="2">
        <v>0.01</v>
      </c>
      <c r="Y14" s="2">
        <v>0.875</v>
      </c>
      <c r="Z14" s="2">
        <v>7.0000000000000007E-2</v>
      </c>
      <c r="AA14" s="2">
        <v>0.01</v>
      </c>
    </row>
    <row r="15" spans="1:27" x14ac:dyDescent="0.2">
      <c r="G15" s="2">
        <v>4</v>
      </c>
      <c r="H15" s="2">
        <v>0.94</v>
      </c>
      <c r="I15" s="2">
        <v>0.01</v>
      </c>
      <c r="P15" s="2">
        <v>2</v>
      </c>
      <c r="Q15" s="2">
        <v>0.17</v>
      </c>
      <c r="R15" s="2">
        <v>0.01</v>
      </c>
      <c r="Y15" s="2">
        <v>1</v>
      </c>
      <c r="Z15" s="2">
        <v>0.15</v>
      </c>
      <c r="AA15" s="2">
        <v>0.01</v>
      </c>
    </row>
    <row r="16" spans="1:27" x14ac:dyDescent="0.2">
      <c r="G16" s="2">
        <v>4.5</v>
      </c>
      <c r="H16" s="2">
        <v>1.19</v>
      </c>
      <c r="I16" s="2">
        <v>0.01</v>
      </c>
      <c r="P16" s="2">
        <v>2.25</v>
      </c>
      <c r="Q16" s="2">
        <v>0.31</v>
      </c>
      <c r="R16" s="2">
        <v>0.01</v>
      </c>
      <c r="Y16" s="2">
        <v>1.125</v>
      </c>
      <c r="Z16" s="2">
        <v>0.28000000000000003</v>
      </c>
      <c r="AA16" s="2">
        <v>0.01</v>
      </c>
    </row>
    <row r="17" spans="7:27" x14ac:dyDescent="0.2">
      <c r="G17" s="2">
        <v>5</v>
      </c>
      <c r="H17" s="2">
        <v>1.58</v>
      </c>
      <c r="I17" s="2">
        <v>0.01</v>
      </c>
      <c r="P17" s="2">
        <v>2.5</v>
      </c>
      <c r="Q17" s="2">
        <v>0.56000000000000005</v>
      </c>
      <c r="R17" s="2">
        <v>0.01</v>
      </c>
      <c r="Y17" s="2">
        <v>1.25</v>
      </c>
      <c r="Z17" s="2">
        <v>0.47</v>
      </c>
      <c r="AA17" s="2">
        <v>0.01</v>
      </c>
    </row>
    <row r="18" spans="7:27" x14ac:dyDescent="0.2">
      <c r="G18" s="2">
        <v>5.5</v>
      </c>
      <c r="H18" s="2">
        <v>2.0099999999999998</v>
      </c>
      <c r="I18" s="2">
        <v>0.01</v>
      </c>
      <c r="P18" s="2">
        <v>2.75</v>
      </c>
      <c r="Q18" s="2">
        <v>0.82</v>
      </c>
      <c r="R18" s="2">
        <v>0.01</v>
      </c>
      <c r="Y18" s="2">
        <v>1.375</v>
      </c>
      <c r="Z18" s="2">
        <v>0.82</v>
      </c>
      <c r="AA18" s="2">
        <v>0.01</v>
      </c>
    </row>
    <row r="19" spans="7:27" x14ac:dyDescent="0.2">
      <c r="G19" s="2">
        <v>6</v>
      </c>
      <c r="H19" s="2">
        <v>2.46</v>
      </c>
      <c r="I19" s="2">
        <v>0.01</v>
      </c>
      <c r="P19" s="2">
        <v>3</v>
      </c>
      <c r="Q19" s="2">
        <v>1.26</v>
      </c>
      <c r="R19" s="2">
        <v>0.01</v>
      </c>
      <c r="Y19" s="2">
        <v>1.5</v>
      </c>
      <c r="Z19" s="2">
        <v>1.26</v>
      </c>
      <c r="AA19" s="2">
        <v>0.01</v>
      </c>
    </row>
    <row r="20" spans="7:27" x14ac:dyDescent="0.2">
      <c r="G20" s="2">
        <v>6.5</v>
      </c>
      <c r="H20" s="2">
        <v>2.92</v>
      </c>
      <c r="I20" s="2">
        <v>0.01</v>
      </c>
      <c r="P20" s="2">
        <v>3.25</v>
      </c>
      <c r="Q20" s="2">
        <v>1.7</v>
      </c>
      <c r="R20" s="2">
        <v>0.01</v>
      </c>
      <c r="Y20" s="2">
        <v>1.625</v>
      </c>
      <c r="Z20" s="2">
        <v>1.77</v>
      </c>
      <c r="AA20" s="2">
        <v>0.01</v>
      </c>
    </row>
    <row r="21" spans="7:27" x14ac:dyDescent="0.2">
      <c r="G21" s="2">
        <v>7</v>
      </c>
      <c r="H21" s="2">
        <v>3.37</v>
      </c>
      <c r="I21" s="2">
        <v>0.01</v>
      </c>
      <c r="P21" s="2">
        <v>3.5</v>
      </c>
      <c r="Q21" s="2">
        <v>2.2999999999999998</v>
      </c>
      <c r="R21" s="2">
        <v>0.01</v>
      </c>
      <c r="Y21" s="2">
        <v>1.75</v>
      </c>
      <c r="Z21" s="2">
        <v>2.2999999999999998</v>
      </c>
      <c r="AA21" s="2">
        <v>0.1</v>
      </c>
    </row>
    <row r="22" spans="7:27" x14ac:dyDescent="0.2">
      <c r="G22" s="2">
        <v>7.5</v>
      </c>
      <c r="H22" s="2">
        <v>3.78</v>
      </c>
      <c r="I22" s="2">
        <v>0.01</v>
      </c>
      <c r="P22" s="2">
        <v>3.75</v>
      </c>
      <c r="Q22" s="2">
        <v>2.87</v>
      </c>
      <c r="R22" s="2">
        <v>0.01</v>
      </c>
      <c r="Y22" s="2">
        <v>1.875</v>
      </c>
      <c r="Z22" s="2">
        <v>2.9</v>
      </c>
      <c r="AA22" s="2">
        <v>0.1</v>
      </c>
    </row>
    <row r="23" spans="7:27" x14ac:dyDescent="0.2">
      <c r="G23" s="2">
        <v>8</v>
      </c>
      <c r="H23" s="2">
        <v>4.1500000000000004</v>
      </c>
      <c r="I23" s="2">
        <v>0.01</v>
      </c>
      <c r="P23" s="2">
        <v>4</v>
      </c>
      <c r="Q23" s="2">
        <v>3.55</v>
      </c>
      <c r="R23" s="2">
        <v>0.01</v>
      </c>
      <c r="Y23" s="2">
        <v>2</v>
      </c>
      <c r="Z23" s="2">
        <v>3.6</v>
      </c>
      <c r="AA23" s="2">
        <v>0.1</v>
      </c>
    </row>
    <row r="24" spans="7:27" x14ac:dyDescent="0.2">
      <c r="G24" s="2">
        <v>8.5</v>
      </c>
      <c r="H24" s="2">
        <v>4.4000000000000004</v>
      </c>
      <c r="I24" s="2">
        <v>0.01</v>
      </c>
      <c r="P24" s="2">
        <v>4.25</v>
      </c>
      <c r="Q24" s="2">
        <v>4.13</v>
      </c>
      <c r="R24" s="2">
        <v>0.1</v>
      </c>
      <c r="Y24" s="2">
        <v>2.125</v>
      </c>
      <c r="Z24" s="2">
        <v>4.3</v>
      </c>
      <c r="AA24" s="2">
        <v>0.1</v>
      </c>
    </row>
    <row r="25" spans="7:27" x14ac:dyDescent="0.2">
      <c r="G25" s="2">
        <v>9</v>
      </c>
      <c r="H25" s="2">
        <v>4.55</v>
      </c>
      <c r="I25" s="2">
        <v>0.01</v>
      </c>
      <c r="P25" s="2">
        <v>4.5</v>
      </c>
      <c r="Q25" s="2">
        <v>4.8</v>
      </c>
      <c r="R25" s="2">
        <v>0.1</v>
      </c>
      <c r="Y25" s="2">
        <v>2.25</v>
      </c>
      <c r="Z25" s="2">
        <v>4.9000000000000004</v>
      </c>
      <c r="AA25" s="2">
        <v>0.1</v>
      </c>
    </row>
    <row r="26" spans="7:27" x14ac:dyDescent="0.2">
      <c r="G26" s="14">
        <v>9.5</v>
      </c>
      <c r="H26" s="2">
        <v>4.57</v>
      </c>
      <c r="I26" s="2">
        <v>0.01</v>
      </c>
      <c r="P26" s="2">
        <v>4.75</v>
      </c>
      <c r="Q26" s="2">
        <v>5.3</v>
      </c>
      <c r="R26" s="2">
        <v>0.1</v>
      </c>
      <c r="Y26" s="2">
        <v>2.375</v>
      </c>
      <c r="Z26" s="2">
        <v>5.5</v>
      </c>
      <c r="AA26" s="2">
        <v>0.1</v>
      </c>
    </row>
    <row r="27" spans="7:27" x14ac:dyDescent="0.2">
      <c r="G27" s="2">
        <v>10</v>
      </c>
      <c r="H27" s="2">
        <v>4.5</v>
      </c>
      <c r="I27" s="2">
        <v>0.01</v>
      </c>
      <c r="P27" s="2">
        <v>5</v>
      </c>
      <c r="Q27" s="2">
        <v>5.7</v>
      </c>
      <c r="R27" s="2">
        <v>0.1</v>
      </c>
      <c r="Y27" s="2">
        <v>2.5</v>
      </c>
      <c r="Z27" s="2">
        <v>6.2</v>
      </c>
      <c r="AA27" s="2">
        <v>0.1</v>
      </c>
    </row>
    <row r="28" spans="7:27" x14ac:dyDescent="0.2">
      <c r="G28" s="2">
        <v>10.5</v>
      </c>
      <c r="H28" s="2">
        <v>4.29</v>
      </c>
      <c r="I28" s="2">
        <v>0.01</v>
      </c>
      <c r="P28" s="2">
        <v>5.25</v>
      </c>
      <c r="Q28" s="2">
        <v>6</v>
      </c>
      <c r="R28" s="2">
        <v>0.1</v>
      </c>
      <c r="Y28" s="2">
        <v>2.625</v>
      </c>
      <c r="Z28" s="2">
        <v>6.5</v>
      </c>
      <c r="AA28" s="2">
        <v>0.1</v>
      </c>
    </row>
    <row r="29" spans="7:27" x14ac:dyDescent="0.2">
      <c r="G29" s="2">
        <v>11</v>
      </c>
      <c r="H29" s="2">
        <v>3.99</v>
      </c>
      <c r="I29" s="2">
        <v>0.01</v>
      </c>
      <c r="P29" s="2">
        <v>5.5</v>
      </c>
      <c r="Q29" s="2">
        <v>6.2</v>
      </c>
      <c r="R29" s="2">
        <v>0.1</v>
      </c>
      <c r="Y29" s="2">
        <v>2.75</v>
      </c>
      <c r="Z29" s="2">
        <v>6.7</v>
      </c>
      <c r="AA29" s="2">
        <v>0.1</v>
      </c>
    </row>
    <row r="30" spans="7:27" x14ac:dyDescent="0.2">
      <c r="G30" s="2">
        <v>11.5</v>
      </c>
      <c r="H30" s="2">
        <v>3.62</v>
      </c>
      <c r="I30" s="2">
        <v>0.01</v>
      </c>
      <c r="P30" s="14">
        <v>5.75</v>
      </c>
      <c r="Q30" s="2">
        <v>6.3</v>
      </c>
      <c r="R30" s="2">
        <v>0.1</v>
      </c>
      <c r="Y30" s="14">
        <v>2.875</v>
      </c>
      <c r="Z30" s="2">
        <v>6.8</v>
      </c>
      <c r="AA30" s="2">
        <v>0.1</v>
      </c>
    </row>
    <row r="31" spans="7:27" x14ac:dyDescent="0.2">
      <c r="G31" s="2">
        <v>12</v>
      </c>
      <c r="H31" s="8">
        <v>3.2</v>
      </c>
      <c r="I31" s="2">
        <v>0.01</v>
      </c>
      <c r="P31" s="2">
        <v>6</v>
      </c>
      <c r="Q31" s="2">
        <v>6.2</v>
      </c>
      <c r="R31" s="2">
        <v>0.1</v>
      </c>
      <c r="Y31" s="2">
        <v>3</v>
      </c>
      <c r="Z31" s="2">
        <v>6.7</v>
      </c>
      <c r="AA31" s="2">
        <v>0.1</v>
      </c>
    </row>
    <row r="32" spans="7:27" x14ac:dyDescent="0.2">
      <c r="G32" s="2">
        <v>12.5</v>
      </c>
      <c r="H32" s="2">
        <v>2.7</v>
      </c>
      <c r="I32" s="2">
        <v>0.01</v>
      </c>
      <c r="P32" s="2">
        <v>6.25</v>
      </c>
      <c r="Q32" s="2">
        <v>5.9</v>
      </c>
      <c r="R32" s="2">
        <v>0.1</v>
      </c>
      <c r="Y32" s="2">
        <v>3.125</v>
      </c>
      <c r="Z32" s="2">
        <v>6.3</v>
      </c>
      <c r="AA32" s="2">
        <v>0.1</v>
      </c>
    </row>
    <row r="33" spans="7:27" x14ac:dyDescent="0.2">
      <c r="G33" s="2">
        <v>13</v>
      </c>
      <c r="H33" s="2">
        <v>2.2400000000000002</v>
      </c>
      <c r="I33" s="2">
        <v>0.01</v>
      </c>
      <c r="P33" s="2">
        <v>6.5</v>
      </c>
      <c r="Q33" s="2">
        <v>5.7</v>
      </c>
      <c r="R33" s="2">
        <v>0.1</v>
      </c>
      <c r="Y33" s="2">
        <v>3.25</v>
      </c>
      <c r="Z33" s="2">
        <v>5.8</v>
      </c>
      <c r="AA33" s="2">
        <v>0.1</v>
      </c>
    </row>
    <row r="34" spans="7:27" x14ac:dyDescent="0.2">
      <c r="G34" s="2">
        <v>13.5</v>
      </c>
      <c r="H34" s="2">
        <v>1.82</v>
      </c>
      <c r="I34" s="2">
        <v>0.01</v>
      </c>
      <c r="P34" s="2">
        <v>6.75</v>
      </c>
      <c r="Q34" s="2">
        <v>5.2</v>
      </c>
      <c r="R34" s="2">
        <v>0.1</v>
      </c>
      <c r="Y34" s="2">
        <v>3.375</v>
      </c>
      <c r="Z34" s="2">
        <v>5.3</v>
      </c>
      <c r="AA34" s="2">
        <v>0.1</v>
      </c>
    </row>
    <row r="35" spans="7:27" x14ac:dyDescent="0.2">
      <c r="G35" s="2">
        <v>14</v>
      </c>
      <c r="H35" s="2">
        <v>1.4</v>
      </c>
      <c r="I35" s="2">
        <v>0.01</v>
      </c>
      <c r="P35" s="2">
        <v>7</v>
      </c>
      <c r="Q35" s="2">
        <v>4.3</v>
      </c>
      <c r="R35" s="2">
        <v>0.1</v>
      </c>
      <c r="Y35" s="2">
        <v>3.5</v>
      </c>
      <c r="Z35" s="2">
        <v>4.5999999999999996</v>
      </c>
      <c r="AA35" s="2">
        <v>0.1</v>
      </c>
    </row>
    <row r="36" spans="7:27" x14ac:dyDescent="0.2">
      <c r="G36" s="2">
        <v>14.5</v>
      </c>
      <c r="H36" s="2">
        <v>1.03</v>
      </c>
      <c r="I36" s="2">
        <v>0.01</v>
      </c>
      <c r="P36" s="2">
        <v>7.25</v>
      </c>
      <c r="Q36" s="2">
        <v>3.7</v>
      </c>
      <c r="R36" s="2">
        <v>0.1</v>
      </c>
      <c r="Y36" s="2">
        <v>3.625</v>
      </c>
      <c r="Z36" s="2">
        <v>4</v>
      </c>
      <c r="AA36" s="2">
        <v>0.1</v>
      </c>
    </row>
    <row r="37" spans="7:27" x14ac:dyDescent="0.2">
      <c r="G37" s="2">
        <v>15</v>
      </c>
      <c r="H37" s="2">
        <v>0.71</v>
      </c>
      <c r="I37" s="2">
        <v>0.01</v>
      </c>
      <c r="P37" s="2">
        <v>7.5</v>
      </c>
      <c r="Q37" s="2">
        <v>3</v>
      </c>
      <c r="R37" s="2">
        <v>0.1</v>
      </c>
      <c r="Y37" s="2">
        <v>3.75</v>
      </c>
      <c r="Z37" s="2">
        <v>3.5</v>
      </c>
      <c r="AA37" s="2">
        <v>0.1</v>
      </c>
    </row>
    <row r="38" spans="7:27" x14ac:dyDescent="0.2">
      <c r="G38" s="2">
        <v>15.5</v>
      </c>
      <c r="H38" s="2">
        <v>0.52</v>
      </c>
      <c r="I38" s="2">
        <v>0.01</v>
      </c>
      <c r="P38" s="2">
        <v>7.75</v>
      </c>
      <c r="Q38" s="2">
        <v>2.39</v>
      </c>
      <c r="R38" s="2">
        <v>0.1</v>
      </c>
      <c r="Y38" s="2">
        <v>3.875</v>
      </c>
      <c r="Z38" s="2">
        <v>2.8</v>
      </c>
      <c r="AA38" s="2">
        <v>0.1</v>
      </c>
    </row>
    <row r="39" spans="7:27" x14ac:dyDescent="0.2">
      <c r="G39" s="2">
        <v>16</v>
      </c>
      <c r="H39" s="2">
        <v>0.32</v>
      </c>
      <c r="I39" s="2">
        <v>0.01</v>
      </c>
      <c r="P39" s="2">
        <v>8</v>
      </c>
      <c r="Q39" s="2">
        <v>1.81</v>
      </c>
      <c r="R39" s="2">
        <v>0.01</v>
      </c>
      <c r="Y39" s="2">
        <v>4</v>
      </c>
      <c r="Z39" s="2">
        <v>2.2000000000000002</v>
      </c>
      <c r="AA39" s="2">
        <v>0.1</v>
      </c>
    </row>
    <row r="40" spans="7:27" x14ac:dyDescent="0.2">
      <c r="G40" s="2">
        <v>16.5</v>
      </c>
      <c r="H40" s="2">
        <v>0.21</v>
      </c>
      <c r="I40" s="2">
        <v>0.01</v>
      </c>
      <c r="P40" s="2">
        <v>8.25</v>
      </c>
      <c r="Q40" s="2">
        <v>1.28</v>
      </c>
      <c r="R40" s="2">
        <v>0.01</v>
      </c>
      <c r="Y40" s="2">
        <v>4.125</v>
      </c>
      <c r="Z40" s="2">
        <v>1.7</v>
      </c>
      <c r="AA40" s="2">
        <v>0.1</v>
      </c>
    </row>
    <row r="41" spans="7:27" x14ac:dyDescent="0.2">
      <c r="G41" s="2">
        <v>17</v>
      </c>
      <c r="H41" s="2">
        <v>0.16</v>
      </c>
      <c r="I41" s="2">
        <v>0.01</v>
      </c>
      <c r="P41" s="2">
        <v>8.5</v>
      </c>
      <c r="Q41" s="2">
        <v>0.83</v>
      </c>
      <c r="R41" s="2">
        <v>0.01</v>
      </c>
      <c r="Y41" s="2">
        <v>4.25</v>
      </c>
      <c r="Z41" s="2">
        <v>1.3</v>
      </c>
      <c r="AA41" s="2">
        <v>0.1</v>
      </c>
    </row>
    <row r="42" spans="7:27" x14ac:dyDescent="0.2">
      <c r="G42" s="13">
        <v>17.5</v>
      </c>
      <c r="H42" s="2">
        <v>0.14000000000000001</v>
      </c>
      <c r="I42" s="2">
        <v>0.01</v>
      </c>
      <c r="P42" s="2">
        <v>8.75</v>
      </c>
      <c r="Q42" s="2">
        <v>0.54</v>
      </c>
      <c r="R42" s="2">
        <v>0.01</v>
      </c>
      <c r="Y42" s="2">
        <v>4.375</v>
      </c>
      <c r="Z42" s="2">
        <v>0.95</v>
      </c>
      <c r="AA42" s="2">
        <v>0.01</v>
      </c>
    </row>
    <row r="43" spans="7:27" x14ac:dyDescent="0.2">
      <c r="G43" s="2">
        <v>18</v>
      </c>
      <c r="H43" s="2">
        <v>0.15</v>
      </c>
      <c r="I43" s="2">
        <v>0.01</v>
      </c>
      <c r="P43" s="2">
        <v>9</v>
      </c>
      <c r="Q43" s="2">
        <v>0.28999999999999998</v>
      </c>
      <c r="R43" s="2">
        <v>0.01</v>
      </c>
      <c r="Y43" s="2">
        <v>4.5</v>
      </c>
      <c r="Z43" s="2">
        <v>0.65</v>
      </c>
      <c r="AA43" s="2">
        <v>0.01</v>
      </c>
    </row>
    <row r="44" spans="7:27" x14ac:dyDescent="0.2">
      <c r="G44" s="2">
        <v>18.5</v>
      </c>
      <c r="H44" s="2">
        <v>0.17</v>
      </c>
      <c r="I44" s="2">
        <v>0.01</v>
      </c>
      <c r="P44" s="2">
        <v>9.25</v>
      </c>
      <c r="Q44" s="2">
        <v>0.16</v>
      </c>
      <c r="R44" s="2">
        <v>0.01</v>
      </c>
      <c r="Y44" s="2">
        <v>4.625</v>
      </c>
      <c r="Z44" s="2">
        <v>0.35</v>
      </c>
      <c r="AA44" s="2">
        <v>0.01</v>
      </c>
    </row>
    <row r="45" spans="7:27" x14ac:dyDescent="0.2">
      <c r="G45" s="2">
        <v>19</v>
      </c>
      <c r="H45" s="2">
        <v>0.19</v>
      </c>
      <c r="I45" s="2">
        <v>0.01</v>
      </c>
      <c r="P45" s="2">
        <v>9.5</v>
      </c>
      <c r="Q45" s="2">
        <v>7.0000000000000007E-2</v>
      </c>
      <c r="R45" s="2">
        <v>0.01</v>
      </c>
      <c r="Y45" s="13">
        <v>4.75</v>
      </c>
      <c r="Z45" s="2">
        <v>0.32</v>
      </c>
      <c r="AA45" s="2">
        <v>0.01</v>
      </c>
    </row>
    <row r="46" spans="7:27" x14ac:dyDescent="0.2">
      <c r="P46" s="13">
        <v>9.75</v>
      </c>
      <c r="Q46" s="2">
        <v>0.04</v>
      </c>
      <c r="R46" s="2">
        <v>0.01</v>
      </c>
      <c r="Y46" s="2">
        <v>4.875</v>
      </c>
      <c r="Z46" s="2">
        <v>0.33</v>
      </c>
      <c r="AA46" s="2">
        <v>0.01</v>
      </c>
    </row>
    <row r="47" spans="7:27" x14ac:dyDescent="0.2">
      <c r="P47" s="2">
        <v>10</v>
      </c>
      <c r="Q47" s="2">
        <v>0.05</v>
      </c>
      <c r="R47" s="2">
        <v>0.01</v>
      </c>
      <c r="Y47" s="2">
        <v>5</v>
      </c>
      <c r="Z47" s="2">
        <v>0.42</v>
      </c>
      <c r="AA47" s="2">
        <v>0.01</v>
      </c>
    </row>
    <row r="48" spans="7:27" x14ac:dyDescent="0.2">
      <c r="P48" s="2">
        <v>10.25</v>
      </c>
      <c r="Q48" s="2">
        <v>7.0000000000000007E-2</v>
      </c>
      <c r="R48" s="2">
        <v>0.01</v>
      </c>
    </row>
    <row r="49" spans="16:18" x14ac:dyDescent="0.2">
      <c r="P49" s="2">
        <v>10.5</v>
      </c>
      <c r="Q49" s="2">
        <v>0.12</v>
      </c>
      <c r="R49" s="2">
        <v>0.01</v>
      </c>
    </row>
    <row r="68" spans="3:27" x14ac:dyDescent="0.2">
      <c r="C68" s="11" t="s">
        <v>46</v>
      </c>
      <c r="D68" s="11" t="s">
        <v>47</v>
      </c>
      <c r="E68" s="15" t="s">
        <v>32</v>
      </c>
      <c r="F68" s="11" t="s">
        <v>44</v>
      </c>
      <c r="G68" s="15" t="s">
        <v>45</v>
      </c>
    </row>
    <row r="69" spans="3:27" x14ac:dyDescent="0.2">
      <c r="C69" s="11">
        <v>8</v>
      </c>
      <c r="D69" s="11">
        <v>8.5</v>
      </c>
      <c r="E69" s="15">
        <f>(C69+D69)/2</f>
        <v>8.25</v>
      </c>
      <c r="F69" s="11">
        <f>$A$13</f>
        <v>1.2500000000000001E-2</v>
      </c>
      <c r="G69" s="15">
        <f>AVEDEV(8,8.5)</f>
        <v>0.25</v>
      </c>
    </row>
    <row r="71" spans="3:27" x14ac:dyDescent="0.2">
      <c r="C71" s="11" t="s">
        <v>48</v>
      </c>
      <c r="D71" t="s">
        <v>50</v>
      </c>
    </row>
    <row r="72" spans="3:27" x14ac:dyDescent="0.2">
      <c r="C72" s="11">
        <f xml:space="preserve"> ($I$3/$A$10)*SIN(ATAN(($E$69/1000)/$A$7))</f>
        <v>1.0878853361083258</v>
      </c>
      <c r="D72">
        <f xml:space="preserve"> ($I$3/$A$10)*ABS(COS(ATAN(($E$69/1000)/$A$7))*(1/(1+((($E$69/1000)/$A$7)^2))))*((($G$69/1000)/$A$7) + (($E$69/1000)/($A$7^2))*$B$7)</f>
        <v>3.4780742054766396E-2</v>
      </c>
      <c r="W72" s="11" t="s">
        <v>46</v>
      </c>
      <c r="X72" s="11" t="s">
        <v>47</v>
      </c>
      <c r="Y72" s="15" t="s">
        <v>32</v>
      </c>
      <c r="Z72" s="11" t="s">
        <v>44</v>
      </c>
      <c r="AA72" s="15" t="s">
        <v>45</v>
      </c>
    </row>
    <row r="73" spans="3:27" x14ac:dyDescent="0.2">
      <c r="M73" s="11" t="s">
        <v>46</v>
      </c>
      <c r="N73" s="11" t="s">
        <v>47</v>
      </c>
      <c r="O73" s="15" t="s">
        <v>32</v>
      </c>
      <c r="P73" s="11" t="s">
        <v>44</v>
      </c>
      <c r="Q73" s="15" t="s">
        <v>45</v>
      </c>
      <c r="W73" s="11">
        <f>Y45-Y30</f>
        <v>1.875</v>
      </c>
      <c r="X73" s="11">
        <f>Y30-Y13</f>
        <v>2.125</v>
      </c>
      <c r="Y73" s="15">
        <f>(W73+X73)/2</f>
        <v>2</v>
      </c>
      <c r="Z73" s="11">
        <f>$A$13</f>
        <v>1.2500000000000001E-2</v>
      </c>
      <c r="AA73" s="15">
        <f>AVEDEV(W73,X73)</f>
        <v>0.125</v>
      </c>
    </row>
    <row r="74" spans="3:27" x14ac:dyDescent="0.2">
      <c r="M74" s="11">
        <f>P46-P30</f>
        <v>4</v>
      </c>
      <c r="N74" s="11">
        <f>P30-P12</f>
        <v>4.5</v>
      </c>
      <c r="O74" s="15">
        <f>(M74+N74)/2</f>
        <v>4.25</v>
      </c>
      <c r="P74" s="11">
        <f>$A$13</f>
        <v>1.2500000000000001E-2</v>
      </c>
      <c r="Q74" s="15">
        <f>AVEDEV(M74,N74)</f>
        <v>0.25</v>
      </c>
    </row>
    <row r="75" spans="3:27" x14ac:dyDescent="0.2">
      <c r="W75" s="11" t="s">
        <v>48</v>
      </c>
      <c r="X75" t="s">
        <v>50</v>
      </c>
    </row>
    <row r="76" spans="3:27" x14ac:dyDescent="0.2">
      <c r="M76" s="11" t="s">
        <v>48</v>
      </c>
      <c r="N76" t="s">
        <v>50</v>
      </c>
      <c r="W76" s="11">
        <f xml:space="preserve"> ($AA$3/$A$10)*SIN(ATAN(($Y$73/1000)/$A$7))</f>
        <v>1.0549426574283043</v>
      </c>
      <c r="X76">
        <f xml:space="preserve"> ($AA$3/$A$10)*ABS(COS(ATAN(($Y$73/1000)/$A$7))*(1/(1+((($Y$73/1000)/$A$7)^2))))*((($AA$73/1000)/$A$7) + (($Y$73/1000)/($A$7^2))*$B$7)</f>
        <v>6.7694900470302174E-2</v>
      </c>
    </row>
    <row r="77" spans="3:27" x14ac:dyDescent="0.2">
      <c r="M77" s="11">
        <f xml:space="preserve"> ($R$3/$A$10)*SIN(ATAN(($O$74/1000)/$A$7))</f>
        <v>1.1208710822539434</v>
      </c>
      <c r="N77">
        <f xml:space="preserve"> ($R$3/$A$10)*ABS(COS(ATAN(($O$74/1000)/$A$7))*(1/(1+((($O$74/1000)/$A$7)^2))))*((($Q$74/1000)/$A$7) + (($O$74/1000)/($A$7^2))*$B$7)</f>
        <v>6.7803976938178565E-2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Ribot Oliver</dc:creator>
  <cp:lastModifiedBy>Miguel Sánchez Oros</cp:lastModifiedBy>
  <dcterms:created xsi:type="dcterms:W3CDTF">2023-05-25T09:13:31Z</dcterms:created>
  <dcterms:modified xsi:type="dcterms:W3CDTF">2023-05-31T11:27:51Z</dcterms:modified>
</cp:coreProperties>
</file>