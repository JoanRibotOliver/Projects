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eu/Documents/"/>
    </mc:Choice>
  </mc:AlternateContent>
  <xr:revisionPtr revIDLastSave="1296" documentId="8_{95334A22-8993-744B-933D-75C7C29B7853}" xr6:coauthVersionLast="47" xr6:coauthVersionMax="47" xr10:uidLastSave="{6035CDD3-EF2E-F747-95E7-1D7FA3533EC4}"/>
  <bookViews>
    <workbookView xWindow="0" yWindow="0" windowWidth="28800" windowHeight="18000" activeTab="1" xr2:uid="{D7E0D097-85E8-D146-A7B9-54AEC7D661F5}"/>
  </bookViews>
  <sheets>
    <sheet name="Sheet1" sheetId="1" r:id="rId1"/>
    <sheet name="Hoja1" sheetId="2" r:id="rId2"/>
    <sheet name="Hoja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1" i="2" l="1"/>
  <c r="N91" i="2"/>
  <c r="M91" i="2"/>
  <c r="L91" i="2"/>
  <c r="K91" i="2"/>
  <c r="J91" i="2"/>
  <c r="I91" i="2"/>
  <c r="H91" i="2"/>
  <c r="G91" i="2"/>
  <c r="F91" i="2"/>
  <c r="S61" i="2"/>
  <c r="T61" i="2"/>
  <c r="R61" i="2"/>
  <c r="P61" i="2"/>
  <c r="O61" i="2"/>
  <c r="Q61" i="2"/>
  <c r="N61" i="2"/>
  <c r="M61" i="2"/>
  <c r="L61" i="2"/>
  <c r="J61" i="2"/>
  <c r="K61" i="2"/>
  <c r="I61" i="2"/>
  <c r="H61" i="2"/>
  <c r="G61" i="2"/>
  <c r="F61" i="2"/>
  <c r="G42" i="2"/>
  <c r="F42" i="2"/>
  <c r="AA35" i="2"/>
  <c r="AB35" i="2"/>
  <c r="AC35" i="2"/>
  <c r="AD35" i="2"/>
  <c r="Z35" i="2"/>
  <c r="V35" i="2"/>
  <c r="W35" i="2"/>
  <c r="X35" i="2"/>
  <c r="Y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AB19" i="2"/>
  <c r="AB18" i="2"/>
  <c r="W13" i="2"/>
  <c r="X13" i="2"/>
  <c r="Y13" i="2"/>
  <c r="V13" i="2"/>
  <c r="U13" i="2"/>
  <c r="T13" i="2"/>
  <c r="S13" i="2"/>
  <c r="R13" i="2"/>
  <c r="Q13" i="2"/>
  <c r="P13" i="2"/>
  <c r="O13" i="2"/>
  <c r="N13" i="2"/>
  <c r="M13" i="2"/>
  <c r="L13" i="2"/>
  <c r="K13" i="2"/>
  <c r="K15" i="2" s="1"/>
  <c r="J15" i="2"/>
  <c r="J13" i="2"/>
  <c r="I13" i="2"/>
  <c r="H13" i="2"/>
  <c r="G13" i="2"/>
  <c r="G15" i="2" s="1"/>
  <c r="F13" i="2"/>
  <c r="F15" i="2" s="1"/>
  <c r="D13" i="2"/>
  <c r="X19" i="2"/>
  <c r="Y19" i="2" s="1"/>
  <c r="F14" i="2"/>
  <c r="F10" i="2"/>
  <c r="AM77" i="3"/>
  <c r="AM59" i="3"/>
  <c r="AM42" i="3"/>
  <c r="AM25" i="3"/>
  <c r="AM7" i="3"/>
  <c r="AL7" i="3"/>
  <c r="L95" i="3"/>
  <c r="J95" i="3"/>
  <c r="F41" i="2"/>
  <c r="F37" i="2" l="1"/>
  <c r="F63" i="2"/>
  <c r="J60" i="2"/>
  <c r="J63" i="2" s="1"/>
  <c r="I60" i="2"/>
  <c r="I62" i="2" s="1"/>
  <c r="H60" i="2"/>
  <c r="H63" i="2" s="1"/>
  <c r="G60" i="2"/>
  <c r="F60" i="2"/>
  <c r="F62" i="2" s="1"/>
  <c r="K60" i="2"/>
  <c r="G63" i="2"/>
  <c r="K63" i="2"/>
  <c r="L63" i="2"/>
  <c r="M63" i="2"/>
  <c r="N63" i="2"/>
  <c r="O63" i="2"/>
  <c r="P63" i="2"/>
  <c r="Q63" i="2"/>
  <c r="R63" i="2"/>
  <c r="S63" i="2"/>
  <c r="T63" i="2"/>
  <c r="N62" i="2"/>
  <c r="O62" i="2"/>
  <c r="P62" i="2"/>
  <c r="Q62" i="2"/>
  <c r="R62" i="2"/>
  <c r="S62" i="2"/>
  <c r="T62" i="2"/>
  <c r="G62" i="2"/>
  <c r="K62" i="2"/>
  <c r="L62" i="2"/>
  <c r="M62" i="2"/>
  <c r="T60" i="2"/>
  <c r="S60" i="2"/>
  <c r="R60" i="2"/>
  <c r="P60" i="2"/>
  <c r="Q60" i="2"/>
  <c r="O60" i="2"/>
  <c r="N60" i="2"/>
  <c r="M60" i="2"/>
  <c r="L60" i="2"/>
  <c r="G97" i="2"/>
  <c r="F97" i="2"/>
  <c r="G41" i="2"/>
  <c r="H41" i="2"/>
  <c r="I41" i="2"/>
  <c r="J41" i="2"/>
  <c r="AC18" i="2"/>
  <c r="AD18" i="2"/>
  <c r="AE18" i="2"/>
  <c r="O93" i="2"/>
  <c r="N93" i="2"/>
  <c r="M93" i="2"/>
  <c r="L93" i="2"/>
  <c r="K93" i="2"/>
  <c r="J93" i="2"/>
  <c r="I93" i="2"/>
  <c r="G98" i="2" s="1"/>
  <c r="H93" i="2"/>
  <c r="G93" i="2"/>
  <c r="F93" i="2"/>
  <c r="O92" i="2"/>
  <c r="N92" i="2"/>
  <c r="M92" i="2"/>
  <c r="L92" i="2"/>
  <c r="K92" i="2"/>
  <c r="J92" i="2"/>
  <c r="I92" i="2"/>
  <c r="H92" i="2"/>
  <c r="G92" i="2"/>
  <c r="F92" i="2"/>
  <c r="O90" i="2"/>
  <c r="N90" i="2"/>
  <c r="M90" i="2"/>
  <c r="L90" i="2"/>
  <c r="K90" i="2"/>
  <c r="J90" i="2"/>
  <c r="I90" i="2"/>
  <c r="H90" i="2"/>
  <c r="G90" i="2"/>
  <c r="F90" i="2"/>
  <c r="AA37" i="2"/>
  <c r="AB37" i="2"/>
  <c r="AC37" i="2"/>
  <c r="AD37" i="2"/>
  <c r="AA36" i="2"/>
  <c r="AB36" i="2"/>
  <c r="AC36" i="2"/>
  <c r="AD36" i="2"/>
  <c r="AD34" i="2"/>
  <c r="AA34" i="2"/>
  <c r="AB34" i="2"/>
  <c r="AC34" i="2"/>
  <c r="Z37" i="2"/>
  <c r="Z36" i="2"/>
  <c r="Z34" i="2"/>
  <c r="V36" i="2"/>
  <c r="S36" i="2"/>
  <c r="R36" i="2"/>
  <c r="Q36" i="2"/>
  <c r="P37" i="2"/>
  <c r="P36" i="2"/>
  <c r="V37" i="2"/>
  <c r="W37" i="2"/>
  <c r="X37" i="2"/>
  <c r="Y37" i="2"/>
  <c r="W36" i="2"/>
  <c r="X36" i="2"/>
  <c r="Y36" i="2"/>
  <c r="V34" i="2"/>
  <c r="W34" i="2"/>
  <c r="X34" i="2"/>
  <c r="Y34" i="2"/>
  <c r="U37" i="2"/>
  <c r="U36" i="2"/>
  <c r="U34" i="2"/>
  <c r="Q34" i="2"/>
  <c r="R34" i="2"/>
  <c r="S34" i="2"/>
  <c r="T34" i="2"/>
  <c r="T37" i="2" s="1"/>
  <c r="P34" i="2"/>
  <c r="L34" i="2"/>
  <c r="Q37" i="2"/>
  <c r="R37" i="2"/>
  <c r="S37" i="2"/>
  <c r="L37" i="2"/>
  <c r="M37" i="2"/>
  <c r="N37" i="2"/>
  <c r="O37" i="2"/>
  <c r="L36" i="2"/>
  <c r="M36" i="2"/>
  <c r="N36" i="2"/>
  <c r="O36" i="2"/>
  <c r="M34" i="2"/>
  <c r="N34" i="2"/>
  <c r="O34" i="2"/>
  <c r="K37" i="2"/>
  <c r="K36" i="2"/>
  <c r="K34" i="2"/>
  <c r="G37" i="2"/>
  <c r="H37" i="2"/>
  <c r="I37" i="2"/>
  <c r="J37" i="2"/>
  <c r="G36" i="2"/>
  <c r="H36" i="2"/>
  <c r="I36" i="2"/>
  <c r="J36" i="2"/>
  <c r="G34" i="2"/>
  <c r="H34" i="2"/>
  <c r="I34" i="2"/>
  <c r="J34" i="2"/>
  <c r="F36" i="2"/>
  <c r="F34" i="2"/>
  <c r="Q15" i="2"/>
  <c r="R15" i="2"/>
  <c r="S15" i="2"/>
  <c r="T15" i="2"/>
  <c r="U15" i="2"/>
  <c r="V15" i="2"/>
  <c r="W15" i="2"/>
  <c r="X15" i="2"/>
  <c r="Y15" i="2"/>
  <c r="L15" i="2"/>
  <c r="M15" i="2"/>
  <c r="N15" i="2"/>
  <c r="O15" i="2"/>
  <c r="P15" i="2"/>
  <c r="H15" i="2"/>
  <c r="I15" i="2"/>
  <c r="S14" i="2"/>
  <c r="T14" i="2"/>
  <c r="U14" i="2"/>
  <c r="V14" i="2"/>
  <c r="W14" i="2"/>
  <c r="X14" i="2"/>
  <c r="Y14" i="2"/>
  <c r="G14" i="2"/>
  <c r="H14" i="2"/>
  <c r="I14" i="2"/>
  <c r="J14" i="2"/>
  <c r="K14" i="2"/>
  <c r="L14" i="2"/>
  <c r="M14" i="2"/>
  <c r="N14" i="2"/>
  <c r="O14" i="2"/>
  <c r="P14" i="2"/>
  <c r="Q14" i="2"/>
  <c r="R14" i="2"/>
  <c r="W19" i="2"/>
  <c r="L104" i="3"/>
  <c r="J104" i="3"/>
  <c r="L103" i="3"/>
  <c r="J103" i="3"/>
  <c r="L102" i="3"/>
  <c r="J102" i="3"/>
  <c r="L101" i="3"/>
  <c r="J101" i="3"/>
  <c r="L100" i="3"/>
  <c r="J100" i="3"/>
  <c r="L99" i="3"/>
  <c r="J99" i="3"/>
  <c r="L98" i="3"/>
  <c r="J98" i="3"/>
  <c r="L97" i="3"/>
  <c r="J97" i="3"/>
  <c r="L96" i="3"/>
  <c r="J96" i="3"/>
  <c r="AL95" i="3"/>
  <c r="AM95" i="3" s="1"/>
  <c r="S109" i="3" s="1"/>
  <c r="AK95" i="3"/>
  <c r="AJ95" i="3"/>
  <c r="AI95" i="3"/>
  <c r="I95" i="3"/>
  <c r="H95" i="3"/>
  <c r="G95" i="3"/>
  <c r="L86" i="3"/>
  <c r="J86" i="3"/>
  <c r="L85" i="3"/>
  <c r="J85" i="3"/>
  <c r="L84" i="3"/>
  <c r="J84" i="3"/>
  <c r="L83" i="3"/>
  <c r="J83" i="3"/>
  <c r="L82" i="3"/>
  <c r="J82" i="3"/>
  <c r="L81" i="3"/>
  <c r="J81" i="3"/>
  <c r="L80" i="3"/>
  <c r="J80" i="3"/>
  <c r="L79" i="3"/>
  <c r="J79" i="3"/>
  <c r="L78" i="3"/>
  <c r="J78" i="3"/>
  <c r="AL77" i="3"/>
  <c r="AK77" i="3"/>
  <c r="AJ77" i="3"/>
  <c r="AI77" i="3"/>
  <c r="M77" i="3"/>
  <c r="L77" i="3"/>
  <c r="J77" i="3"/>
  <c r="I77" i="3"/>
  <c r="H77" i="3"/>
  <c r="G77" i="3"/>
  <c r="L68" i="3"/>
  <c r="J68" i="3"/>
  <c r="L67" i="3"/>
  <c r="J67" i="3"/>
  <c r="L66" i="3"/>
  <c r="J66" i="3"/>
  <c r="L65" i="3"/>
  <c r="J65" i="3"/>
  <c r="L64" i="3"/>
  <c r="J64" i="3"/>
  <c r="L63" i="3"/>
  <c r="J63" i="3"/>
  <c r="L62" i="3"/>
  <c r="J62" i="3"/>
  <c r="L61" i="3"/>
  <c r="J61" i="3"/>
  <c r="L60" i="3"/>
  <c r="J60" i="3"/>
  <c r="AL59" i="3"/>
  <c r="AK59" i="3"/>
  <c r="AJ59" i="3"/>
  <c r="AI59" i="3"/>
  <c r="L59" i="3"/>
  <c r="J59" i="3"/>
  <c r="I59" i="3"/>
  <c r="H59" i="3"/>
  <c r="G59" i="3"/>
  <c r="L51" i="3"/>
  <c r="J51" i="3"/>
  <c r="L50" i="3"/>
  <c r="J50" i="3"/>
  <c r="L49" i="3"/>
  <c r="J49" i="3"/>
  <c r="L48" i="3"/>
  <c r="J48" i="3"/>
  <c r="L47" i="3"/>
  <c r="J47" i="3"/>
  <c r="L46" i="3"/>
  <c r="J46" i="3"/>
  <c r="L45" i="3"/>
  <c r="J45" i="3"/>
  <c r="L44" i="3"/>
  <c r="J44" i="3"/>
  <c r="L43" i="3"/>
  <c r="J43" i="3"/>
  <c r="AL42" i="3"/>
  <c r="AK42" i="3"/>
  <c r="AJ42" i="3"/>
  <c r="AI42" i="3"/>
  <c r="L42" i="3"/>
  <c r="M42" i="3" s="1"/>
  <c r="J42" i="3"/>
  <c r="I42" i="3"/>
  <c r="H42" i="3"/>
  <c r="G42" i="3"/>
  <c r="L34" i="3"/>
  <c r="J34" i="3"/>
  <c r="L33" i="3"/>
  <c r="J33" i="3"/>
  <c r="L32" i="3"/>
  <c r="J32" i="3"/>
  <c r="L31" i="3"/>
  <c r="J31" i="3"/>
  <c r="L30" i="3"/>
  <c r="J30" i="3"/>
  <c r="L29" i="3"/>
  <c r="J29" i="3"/>
  <c r="L28" i="3"/>
  <c r="J28" i="3"/>
  <c r="L27" i="3"/>
  <c r="J27" i="3"/>
  <c r="L26" i="3"/>
  <c r="J26" i="3"/>
  <c r="AL25" i="3"/>
  <c r="AK25" i="3"/>
  <c r="AJ25" i="3"/>
  <c r="AI25" i="3"/>
  <c r="L25" i="3"/>
  <c r="J25" i="3"/>
  <c r="I25" i="3"/>
  <c r="H25" i="3"/>
  <c r="G25" i="3"/>
  <c r="L16" i="3"/>
  <c r="J16" i="3"/>
  <c r="L15" i="3"/>
  <c r="J15" i="3"/>
  <c r="L14" i="3"/>
  <c r="J14" i="3"/>
  <c r="L13" i="3"/>
  <c r="J13" i="3"/>
  <c r="L12" i="3"/>
  <c r="J12" i="3"/>
  <c r="L11" i="3"/>
  <c r="J11" i="3"/>
  <c r="L10" i="3"/>
  <c r="J10" i="3"/>
  <c r="L9" i="3"/>
  <c r="J9" i="3"/>
  <c r="L8" i="3"/>
  <c r="J8" i="3"/>
  <c r="AK7" i="3"/>
  <c r="AJ7" i="3"/>
  <c r="AI7" i="3"/>
  <c r="L7" i="3"/>
  <c r="J7" i="3"/>
  <c r="I7" i="3"/>
  <c r="H7" i="3"/>
  <c r="G7" i="3"/>
  <c r="F98" i="2" l="1"/>
  <c r="J42" i="2"/>
  <c r="H42" i="2"/>
  <c r="I42" i="2"/>
  <c r="AE19" i="2"/>
  <c r="AD19" i="2"/>
  <c r="AC19" i="2"/>
  <c r="M95" i="3"/>
  <c r="N95" i="3" s="1"/>
  <c r="I63" i="2"/>
  <c r="F67" i="2" s="1"/>
  <c r="F66" i="2"/>
  <c r="H62" i="2"/>
  <c r="H66" i="2"/>
  <c r="H67" i="2"/>
  <c r="G66" i="2"/>
  <c r="J62" i="2"/>
  <c r="G67" i="2"/>
  <c r="T36" i="2"/>
  <c r="M59" i="3"/>
  <c r="M7" i="3"/>
  <c r="N7" i="3" s="1"/>
  <c r="K42" i="3"/>
  <c r="K95" i="3"/>
  <c r="K77" i="3"/>
  <c r="K59" i="3"/>
  <c r="M25" i="3"/>
  <c r="N25" i="3" s="1"/>
  <c r="K25" i="3"/>
  <c r="K7" i="3"/>
  <c r="N77" i="3"/>
  <c r="N59" i="3"/>
  <c r="S59" i="3" s="1"/>
  <c r="N42" i="3"/>
  <c r="S42" i="3" s="1"/>
  <c r="S95" i="3" l="1"/>
  <c r="R7" i="3"/>
  <c r="S7" i="3"/>
  <c r="O7" i="3" s="1"/>
  <c r="R77" i="3"/>
  <c r="R59" i="3"/>
  <c r="R95" i="3"/>
  <c r="S77" i="3"/>
  <c r="S25" i="3"/>
  <c r="R42" i="3"/>
  <c r="T61" i="3"/>
  <c r="T59" i="3"/>
  <c r="T62" i="3"/>
  <c r="O59" i="3"/>
  <c r="P59" i="3" s="1"/>
  <c r="T60" i="3"/>
  <c r="T44" i="3"/>
  <c r="T45" i="3"/>
  <c r="O42" i="3"/>
  <c r="P42" i="3" s="1"/>
  <c r="T43" i="3"/>
  <c r="T42" i="3"/>
  <c r="O25" i="3"/>
  <c r="Q25" i="3" s="1"/>
  <c r="T28" i="3"/>
  <c r="T27" i="3"/>
  <c r="T25" i="3"/>
  <c r="R25" i="3"/>
  <c r="T9" i="3"/>
  <c r="T7" i="3"/>
  <c r="O95" i="3" l="1"/>
  <c r="S107" i="3"/>
  <c r="T77" i="3"/>
  <c r="Z84" i="3"/>
  <c r="T79" i="3"/>
  <c r="Z79" i="3" s="1"/>
  <c r="T78" i="3"/>
  <c r="V78" i="3" s="1"/>
  <c r="O77" i="3"/>
  <c r="AB86" i="3"/>
  <c r="T80" i="3"/>
  <c r="AB80" i="3" s="1"/>
  <c r="V85" i="3"/>
  <c r="V83" i="3"/>
  <c r="Q59" i="3"/>
  <c r="T26" i="3"/>
  <c r="AB26" i="3" s="1"/>
  <c r="T8" i="3"/>
  <c r="Z8" i="3" s="1"/>
  <c r="T10" i="3"/>
  <c r="X10" i="3" s="1"/>
  <c r="V13" i="3"/>
  <c r="T99" i="3"/>
  <c r="T103" i="3"/>
  <c r="T96" i="3"/>
  <c r="T100" i="3"/>
  <c r="T104" i="3"/>
  <c r="T97" i="3"/>
  <c r="T101" i="3"/>
  <c r="T95" i="3"/>
  <c r="T98" i="3"/>
  <c r="T102" i="3"/>
  <c r="Z82" i="3"/>
  <c r="X82" i="3"/>
  <c r="AB82" i="3"/>
  <c r="V82" i="3"/>
  <c r="X80" i="3"/>
  <c r="Z80" i="3"/>
  <c r="AB85" i="3"/>
  <c r="AB77" i="3"/>
  <c r="U77" i="3"/>
  <c r="X77" i="3"/>
  <c r="V77" i="3"/>
  <c r="Z77" i="3"/>
  <c r="Z86" i="3"/>
  <c r="X86" i="3"/>
  <c r="V86" i="3"/>
  <c r="X81" i="3"/>
  <c r="V81" i="3"/>
  <c r="Z81" i="3"/>
  <c r="AB81" i="3"/>
  <c r="AB83" i="3"/>
  <c r="Z83" i="3"/>
  <c r="X83" i="3"/>
  <c r="X84" i="3"/>
  <c r="V84" i="3"/>
  <c r="AB84" i="3"/>
  <c r="V79" i="3"/>
  <c r="AB79" i="3"/>
  <c r="AB78" i="3"/>
  <c r="P25" i="3"/>
  <c r="Z67" i="3"/>
  <c r="X67" i="3"/>
  <c r="V67" i="3"/>
  <c r="AB67" i="3"/>
  <c r="Z62" i="3"/>
  <c r="X62" i="3"/>
  <c r="AB62" i="3"/>
  <c r="V62" i="3"/>
  <c r="V68" i="3"/>
  <c r="AB68" i="3"/>
  <c r="Z68" i="3"/>
  <c r="X68" i="3"/>
  <c r="Z63" i="3"/>
  <c r="V63" i="3"/>
  <c r="X63" i="3"/>
  <c r="AB63" i="3"/>
  <c r="Z59" i="3"/>
  <c r="U59" i="3"/>
  <c r="X59" i="3"/>
  <c r="AB59" i="3"/>
  <c r="V59" i="3"/>
  <c r="X64" i="3"/>
  <c r="V64" i="3"/>
  <c r="AB64" i="3"/>
  <c r="Z64" i="3"/>
  <c r="Z65" i="3"/>
  <c r="X65" i="3"/>
  <c r="V65" i="3"/>
  <c r="AB65" i="3"/>
  <c r="AB60" i="3"/>
  <c r="V60" i="3"/>
  <c r="X60" i="3"/>
  <c r="Z60" i="3"/>
  <c r="Z66" i="3"/>
  <c r="X66" i="3"/>
  <c r="AB66" i="3"/>
  <c r="V66" i="3"/>
  <c r="Z61" i="3"/>
  <c r="X61" i="3"/>
  <c r="V61" i="3"/>
  <c r="AB61" i="3"/>
  <c r="V42" i="3"/>
  <c r="AB42" i="3"/>
  <c r="Z42" i="3"/>
  <c r="U42" i="3"/>
  <c r="X42" i="3"/>
  <c r="Z46" i="3"/>
  <c r="V46" i="3"/>
  <c r="X46" i="3"/>
  <c r="AB46" i="3"/>
  <c r="Q42" i="3"/>
  <c r="V48" i="3"/>
  <c r="AB48" i="3"/>
  <c r="X48" i="3"/>
  <c r="Z48" i="3"/>
  <c r="Z47" i="3"/>
  <c r="X47" i="3"/>
  <c r="AB47" i="3"/>
  <c r="V47" i="3"/>
  <c r="X49" i="3"/>
  <c r="V49" i="3"/>
  <c r="AB49" i="3"/>
  <c r="Z49" i="3"/>
  <c r="Z50" i="3"/>
  <c r="V50" i="3"/>
  <c r="X50" i="3"/>
  <c r="AB50" i="3"/>
  <c r="Z51" i="3"/>
  <c r="X51" i="3"/>
  <c r="V51" i="3"/>
  <c r="AB51" i="3"/>
  <c r="Z43" i="3"/>
  <c r="AB43" i="3"/>
  <c r="X43" i="3"/>
  <c r="V43" i="3"/>
  <c r="AB45" i="3"/>
  <c r="X45" i="3"/>
  <c r="V45" i="3"/>
  <c r="Z45" i="3"/>
  <c r="AB44" i="3"/>
  <c r="V44" i="3"/>
  <c r="X44" i="3"/>
  <c r="Z44" i="3"/>
  <c r="Z32" i="3"/>
  <c r="X32" i="3"/>
  <c r="AB32" i="3"/>
  <c r="V32" i="3"/>
  <c r="X26" i="3"/>
  <c r="U25" i="3"/>
  <c r="AB25" i="3"/>
  <c r="Z25" i="3"/>
  <c r="V25" i="3"/>
  <c r="X25" i="3"/>
  <c r="X28" i="3"/>
  <c r="Z28" i="3"/>
  <c r="AB28" i="3"/>
  <c r="V28" i="3"/>
  <c r="Z33" i="3"/>
  <c r="AB33" i="3"/>
  <c r="V33" i="3"/>
  <c r="X33" i="3"/>
  <c r="AB31" i="3"/>
  <c r="Z31" i="3"/>
  <c r="V31" i="3"/>
  <c r="X31" i="3"/>
  <c r="V34" i="3"/>
  <c r="AB34" i="3"/>
  <c r="X34" i="3"/>
  <c r="Z34" i="3"/>
  <c r="Z29" i="3"/>
  <c r="V29" i="3"/>
  <c r="X29" i="3"/>
  <c r="AB29" i="3"/>
  <c r="X27" i="3"/>
  <c r="Z27" i="3"/>
  <c r="V27" i="3"/>
  <c r="AB27" i="3"/>
  <c r="X30" i="3"/>
  <c r="V30" i="3"/>
  <c r="AB30" i="3"/>
  <c r="Z30" i="3"/>
  <c r="Z13" i="3"/>
  <c r="X13" i="3"/>
  <c r="Z11" i="3"/>
  <c r="X11" i="3"/>
  <c r="V11" i="3"/>
  <c r="AB11" i="3"/>
  <c r="X14" i="3"/>
  <c r="V14" i="3"/>
  <c r="AB14" i="3"/>
  <c r="Z14" i="3"/>
  <c r="AB8" i="3"/>
  <c r="V8" i="3"/>
  <c r="Z15" i="3"/>
  <c r="X15" i="3"/>
  <c r="V15" i="3"/>
  <c r="AB15" i="3"/>
  <c r="AB7" i="3"/>
  <c r="X7" i="3"/>
  <c r="Z7" i="3"/>
  <c r="V7" i="3"/>
  <c r="U7" i="3"/>
  <c r="AB12" i="3"/>
  <c r="Z12" i="3"/>
  <c r="X12" i="3"/>
  <c r="V12" i="3"/>
  <c r="P7" i="3"/>
  <c r="Q7" i="3"/>
  <c r="V9" i="3"/>
  <c r="AB9" i="3"/>
  <c r="Z9" i="3"/>
  <c r="X9" i="3"/>
  <c r="AB16" i="3"/>
  <c r="Z16" i="3"/>
  <c r="X16" i="3"/>
  <c r="V16" i="3"/>
  <c r="Y25" i="3" l="1"/>
  <c r="AC77" i="3"/>
  <c r="Z78" i="3"/>
  <c r="X85" i="3"/>
  <c r="X78" i="3"/>
  <c r="X79" i="3"/>
  <c r="Z85" i="3"/>
  <c r="AA77" i="3" s="1"/>
  <c r="V80" i="3"/>
  <c r="W77" i="3" s="1"/>
  <c r="P77" i="3"/>
  <c r="Q77" i="3"/>
  <c r="Y59" i="3"/>
  <c r="W59" i="3"/>
  <c r="AA59" i="3"/>
  <c r="AC59" i="3"/>
  <c r="AA42" i="3"/>
  <c r="AC42" i="3"/>
  <c r="Y42" i="3"/>
  <c r="W42" i="3"/>
  <c r="Z26" i="3"/>
  <c r="AA25" i="3"/>
  <c r="V26" i="3"/>
  <c r="W25" i="3"/>
  <c r="AC25" i="3"/>
  <c r="AF25" i="3" s="1"/>
  <c r="AH25" i="3" s="1"/>
  <c r="Z10" i="3"/>
  <c r="AA7" i="3" s="1"/>
  <c r="V10" i="3"/>
  <c r="W7" i="3" s="1"/>
  <c r="X8" i="3"/>
  <c r="AB10" i="3"/>
  <c r="Y7" i="3"/>
  <c r="AB13" i="3"/>
  <c r="AC7" i="3" s="1"/>
  <c r="V101" i="3"/>
  <c r="AB101" i="3"/>
  <c r="X101" i="3"/>
  <c r="Z101" i="3"/>
  <c r="Z96" i="3"/>
  <c r="V96" i="3"/>
  <c r="AB96" i="3"/>
  <c r="X96" i="3"/>
  <c r="X102" i="3"/>
  <c r="Z102" i="3"/>
  <c r="V102" i="3"/>
  <c r="AB102" i="3"/>
  <c r="V97" i="3"/>
  <c r="X97" i="3"/>
  <c r="Z97" i="3"/>
  <c r="AB97" i="3"/>
  <c r="X103" i="3"/>
  <c r="Z103" i="3"/>
  <c r="AB103" i="3"/>
  <c r="V103" i="3"/>
  <c r="X98" i="3"/>
  <c r="Z98" i="3"/>
  <c r="V98" i="3"/>
  <c r="AB98" i="3"/>
  <c r="AB104" i="3"/>
  <c r="Z104" i="3"/>
  <c r="V104" i="3"/>
  <c r="X104" i="3"/>
  <c r="Z99" i="3"/>
  <c r="X99" i="3"/>
  <c r="V99" i="3"/>
  <c r="AB99" i="3"/>
  <c r="U95" i="3"/>
  <c r="V95" i="3"/>
  <c r="Z95" i="3"/>
  <c r="AA95" i="3" s="1"/>
  <c r="AB95" i="3"/>
  <c r="X95" i="3"/>
  <c r="AB100" i="3"/>
  <c r="Z100" i="3"/>
  <c r="V100" i="3"/>
  <c r="X100" i="3"/>
  <c r="P95" i="3"/>
  <c r="Q95" i="3"/>
  <c r="AF42" i="3"/>
  <c r="AH42" i="3" s="1"/>
  <c r="W95" i="3" l="1"/>
  <c r="AC95" i="3"/>
  <c r="Y95" i="3"/>
  <c r="AE25" i="3"/>
  <c r="AF59" i="3"/>
  <c r="AG59" i="3" s="1"/>
  <c r="Y77" i="3"/>
  <c r="AE77" i="3" s="1"/>
  <c r="AF77" i="3"/>
  <c r="AH77" i="3" s="1"/>
  <c r="AD77" i="3"/>
  <c r="AG42" i="3"/>
  <c r="AF7" i="3"/>
  <c r="AH7" i="3" s="1"/>
  <c r="AE42" i="3"/>
  <c r="AD25" i="3"/>
  <c r="AG25" i="3"/>
  <c r="AD42" i="3"/>
  <c r="F12" i="2"/>
  <c r="W12" i="2"/>
  <c r="X12" i="2"/>
  <c r="Y12" i="2"/>
  <c r="V12" i="2"/>
  <c r="S12" i="2"/>
  <c r="T12" i="2"/>
  <c r="U12" i="2"/>
  <c r="R12" i="2"/>
  <c r="O12" i="2"/>
  <c r="P12" i="2"/>
  <c r="Q12" i="2"/>
  <c r="N12" i="2"/>
  <c r="K12" i="2"/>
  <c r="L12" i="2"/>
  <c r="M12" i="2"/>
  <c r="J12" i="2"/>
  <c r="I12" i="2"/>
  <c r="G12" i="2"/>
  <c r="H12" i="2"/>
  <c r="C20" i="2"/>
  <c r="C21" i="2"/>
  <c r="C22" i="2"/>
  <c r="C19" i="2"/>
  <c r="O87" i="2"/>
  <c r="K87" i="2"/>
  <c r="O88" i="2"/>
  <c r="N88" i="2"/>
  <c r="N87" i="2"/>
  <c r="M88" i="2"/>
  <c r="L88" i="2"/>
  <c r="M87" i="2"/>
  <c r="L87" i="2"/>
  <c r="K88" i="2"/>
  <c r="J88" i="2"/>
  <c r="J87" i="2"/>
  <c r="I88" i="2"/>
  <c r="H88" i="2"/>
  <c r="I87" i="2"/>
  <c r="H87" i="2"/>
  <c r="G88" i="2"/>
  <c r="F88" i="2"/>
  <c r="G87" i="2"/>
  <c r="F87" i="2"/>
  <c r="B88" i="2"/>
  <c r="B87" i="2"/>
  <c r="B86" i="2"/>
  <c r="B85" i="2"/>
  <c r="B84" i="2"/>
  <c r="T58" i="2"/>
  <c r="S58" i="2"/>
  <c r="R58" i="2"/>
  <c r="T57" i="2"/>
  <c r="S57" i="2"/>
  <c r="R57" i="2"/>
  <c r="Q58" i="2"/>
  <c r="P58" i="2"/>
  <c r="O58" i="2"/>
  <c r="Q57" i="2"/>
  <c r="P57" i="2"/>
  <c r="O57" i="2"/>
  <c r="N58" i="2"/>
  <c r="M58" i="2"/>
  <c r="L58" i="2"/>
  <c r="N57" i="2"/>
  <c r="M57" i="2"/>
  <c r="L57" i="2"/>
  <c r="K58" i="2"/>
  <c r="J58" i="2"/>
  <c r="I58" i="2"/>
  <c r="K57" i="2"/>
  <c r="J57" i="2"/>
  <c r="I57" i="2"/>
  <c r="H58" i="2"/>
  <c r="G58" i="2"/>
  <c r="F58" i="2"/>
  <c r="H57" i="2"/>
  <c r="G57" i="2"/>
  <c r="F57" i="2"/>
  <c r="B58" i="2"/>
  <c r="B57" i="2"/>
  <c r="B56" i="2"/>
  <c r="B55" i="2"/>
  <c r="B54" i="2"/>
  <c r="AD32" i="2"/>
  <c r="AC32" i="2"/>
  <c r="AB32" i="2"/>
  <c r="AA32" i="2"/>
  <c r="Z32" i="2"/>
  <c r="AD31" i="2"/>
  <c r="AC31" i="2"/>
  <c r="AB31" i="2"/>
  <c r="AA31" i="2"/>
  <c r="Z31" i="2"/>
  <c r="Y32" i="2"/>
  <c r="X32" i="2"/>
  <c r="W32" i="2"/>
  <c r="V32" i="2"/>
  <c r="U32" i="2"/>
  <c r="Y31" i="2"/>
  <c r="X31" i="2"/>
  <c r="W31" i="2"/>
  <c r="V31" i="2"/>
  <c r="U31" i="2"/>
  <c r="T32" i="2"/>
  <c r="S32" i="2"/>
  <c r="R32" i="2"/>
  <c r="Q32" i="2"/>
  <c r="P32" i="2"/>
  <c r="T31" i="2"/>
  <c r="S31" i="2"/>
  <c r="R31" i="2"/>
  <c r="Q31" i="2"/>
  <c r="P31" i="2"/>
  <c r="O32" i="2"/>
  <c r="N32" i="2"/>
  <c r="M32" i="2"/>
  <c r="L32" i="2"/>
  <c r="K32" i="2"/>
  <c r="O31" i="2"/>
  <c r="N31" i="2"/>
  <c r="M31" i="2"/>
  <c r="L31" i="2"/>
  <c r="K31" i="2"/>
  <c r="J32" i="2"/>
  <c r="J31" i="2"/>
  <c r="I32" i="2"/>
  <c r="H32" i="2"/>
  <c r="G32" i="2"/>
  <c r="F32" i="2"/>
  <c r="I31" i="2"/>
  <c r="H31" i="2"/>
  <c r="G31" i="2"/>
  <c r="F31" i="2"/>
  <c r="B33" i="2"/>
  <c r="B32" i="2"/>
  <c r="B31" i="2"/>
  <c r="B30" i="2"/>
  <c r="B29" i="2"/>
  <c r="Y10" i="2"/>
  <c r="X10" i="2"/>
  <c r="W10" i="2"/>
  <c r="V10" i="2"/>
  <c r="Y9" i="2"/>
  <c r="X9" i="2"/>
  <c r="W9" i="2"/>
  <c r="V9" i="2"/>
  <c r="U10" i="2"/>
  <c r="T10" i="2"/>
  <c r="S10" i="2"/>
  <c r="R10" i="2"/>
  <c r="U9" i="2"/>
  <c r="T9" i="2"/>
  <c r="S9" i="2"/>
  <c r="R9" i="2"/>
  <c r="Q10" i="2"/>
  <c r="P10" i="2"/>
  <c r="O10" i="2"/>
  <c r="N10" i="2"/>
  <c r="Q9" i="2"/>
  <c r="P9" i="2"/>
  <c r="O9" i="2"/>
  <c r="N9" i="2"/>
  <c r="J9" i="2"/>
  <c r="M10" i="2"/>
  <c r="L10" i="2"/>
  <c r="K10" i="2"/>
  <c r="J10" i="2"/>
  <c r="M9" i="2"/>
  <c r="L9" i="2"/>
  <c r="K9" i="2"/>
  <c r="H10" i="2"/>
  <c r="G10" i="2"/>
  <c r="I10" i="2"/>
  <c r="G9" i="2"/>
  <c r="H9" i="2"/>
  <c r="I9" i="2"/>
  <c r="F9" i="2"/>
  <c r="B8" i="2"/>
  <c r="B9" i="2"/>
  <c r="B10" i="2"/>
  <c r="B11" i="2"/>
  <c r="B7" i="2"/>
  <c r="N13" i="1"/>
  <c r="Z17" i="1"/>
  <c r="Z16" i="1"/>
  <c r="Z15" i="1"/>
  <c r="Z14" i="1"/>
  <c r="Z13" i="1"/>
  <c r="V17" i="1"/>
  <c r="V16" i="1"/>
  <c r="V15" i="1"/>
  <c r="V14" i="1"/>
  <c r="V13" i="1"/>
  <c r="R17" i="1"/>
  <c r="R16" i="1"/>
  <c r="R15" i="1"/>
  <c r="R14" i="1"/>
  <c r="R13" i="1"/>
  <c r="N17" i="1"/>
  <c r="N16" i="1"/>
  <c r="N15" i="1"/>
  <c r="N14" i="1"/>
  <c r="J17" i="1"/>
  <c r="J16" i="1"/>
  <c r="J15" i="1"/>
  <c r="J14" i="1"/>
  <c r="J13" i="1"/>
  <c r="F14" i="1"/>
  <c r="F15" i="1"/>
  <c r="F16" i="1"/>
  <c r="F17" i="1"/>
  <c r="F13" i="1"/>
  <c r="AF95" i="3" l="1"/>
  <c r="AH95" i="3" s="1"/>
  <c r="AD59" i="3"/>
  <c r="AH59" i="3"/>
  <c r="AE59" i="3"/>
  <c r="AG77" i="3"/>
  <c r="AE7" i="3"/>
  <c r="AG7" i="3"/>
  <c r="AD7" i="3"/>
  <c r="AG95" i="3"/>
  <c r="AE95" i="3" l="1"/>
  <c r="AD9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tc={0B5C91C9-5269-7243-9052-6C71A1319B2B}</author>
    <author>tc={76BADDE8-5913-414C-92BB-69294BB75EBA}</author>
    <author>tc={2E7F3DE9-6EEF-B04C-90EB-0DE751329A69}</author>
    <author>tc={7099BEA2-FDF1-A344-9FDD-C55E0CDC8DDC}</author>
  </authors>
  <commentList>
    <comment ref="E10" authorId="0" shapeId="0" xr:uid="{0B5C91C9-5269-7243-9052-6C71A1319B2B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estándar de la media
Reply:
    Con propagación sale demasiado pequeño</t>
      </text>
    </comment>
    <comment ref="E32" authorId="1" shapeId="0" xr:uid="{76BADDE8-5913-414C-92BB-69294BB75EBA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estándar de la media
Reply:
    Con propagación sale demasiado pequeño</t>
      </text>
    </comment>
    <comment ref="E58" authorId="2" shapeId="0" xr:uid="{2E7F3DE9-6EEF-B04C-90EB-0DE751329A69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estándar de la media
Reply:
    Con propagación sale demasiado pequeño</t>
      </text>
    </comment>
    <comment ref="E88" authorId="3" shapeId="0" xr:uid="{7099BEA2-FDF1-A344-9FDD-C55E0CDC8DDC}">
      <text>
        <t>[Threaded comment]
Your version of Excel allows you to read this threaded comment; however, any edits to it will get removed if the file is opened in a newer version of Excel. Learn more: https://go.microsoft.com/fwlink/?linkid=870924
Comment:
    Error estándar de la media
Reply:
    Con propagación sale demasiado pequeño</t>
      </text>
    </comment>
  </commentList>
</comments>
</file>

<file path=xl/sharedStrings.xml><?xml version="1.0" encoding="utf-8"?>
<sst xmlns="http://schemas.openxmlformats.org/spreadsheetml/2006/main" count="483" uniqueCount="94">
  <si>
    <t>Per cada làmpada 5 mesures diferents...</t>
  </si>
  <si>
    <t>H</t>
  </si>
  <si>
    <t>N2</t>
  </si>
  <si>
    <t>Hg</t>
  </si>
  <si>
    <t>Ne</t>
  </si>
  <si>
    <t>Ar</t>
  </si>
  <si>
    <t>He</t>
  </si>
  <si>
    <t>divisió 300 del regla</t>
  </si>
  <si>
    <t>Banc òptic</t>
  </si>
  <si>
    <t xml:space="preserve">regla 10 cm damunt banc </t>
  </si>
  <si>
    <t>D</t>
  </si>
  <si>
    <t>L (m)</t>
  </si>
  <si>
    <t>d_i</t>
  </si>
  <si>
    <t>lambda_i</t>
  </si>
  <si>
    <t>DL = 51 mm</t>
  </si>
  <si>
    <t>no se fa</t>
  </si>
  <si>
    <t>D = 1/600?</t>
  </si>
  <si>
    <t>RESTAR 51  mm</t>
  </si>
  <si>
    <t>ALERTA SA BRUTOR…</t>
  </si>
  <si>
    <t>ÉS OXIGEN!!!</t>
  </si>
  <si>
    <t>L* (m)</t>
  </si>
  <si>
    <t>L (±0,001m)</t>
  </si>
  <si>
    <t>d media</t>
  </si>
  <si>
    <t>Violeta</t>
  </si>
  <si>
    <t>Azul</t>
  </si>
  <si>
    <t>Verde</t>
  </si>
  <si>
    <t>Amarillo</t>
  </si>
  <si>
    <t>error d media</t>
  </si>
  <si>
    <t>dl  (±0,001m)</t>
  </si>
  <si>
    <t>dr (±0,001m)</t>
  </si>
  <si>
    <t>Amarillo 1</t>
  </si>
  <si>
    <t>Amarillo 2</t>
  </si>
  <si>
    <t>Naranja 1</t>
  </si>
  <si>
    <t>Naranja 2</t>
  </si>
  <si>
    <t>Rojo</t>
  </si>
  <si>
    <t>rojo/naranja</t>
  </si>
  <si>
    <t>Color</t>
  </si>
  <si>
    <t>ƛ (A)</t>
  </si>
  <si>
    <t>ƛ (m)</t>
  </si>
  <si>
    <t>d/((d^2 + L^2)^0,5)</t>
  </si>
  <si>
    <t xml:space="preserve">Error </t>
  </si>
  <si>
    <t>Error L (m)</t>
  </si>
  <si>
    <t>Sin pesos</t>
  </si>
  <si>
    <t>Con peos</t>
  </si>
  <si>
    <t>x</t>
  </si>
  <si>
    <t>y</t>
  </si>
  <si>
    <t>Incertidumbre de x</t>
  </si>
  <si>
    <t>Incertidumbre de y</t>
  </si>
  <si>
    <t>Sn</t>
  </si>
  <si>
    <t>Sx</t>
  </si>
  <si>
    <t>Sy</t>
  </si>
  <si>
    <t>xy</t>
  </si>
  <si>
    <t>Sxy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</si>
  <si>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</si>
  <si>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Sx</t>
    </r>
    <r>
      <rPr>
        <vertAlign val="superscript"/>
        <sz val="11"/>
        <color theme="1"/>
        <rFont val="Calibri"/>
        <family val="2"/>
        <scheme val="minor"/>
      </rPr>
      <t>2</t>
    </r>
  </si>
  <si>
    <t>Δ</t>
  </si>
  <si>
    <r>
      <t>σ</t>
    </r>
    <r>
      <rPr>
        <vertAlign val="subscript"/>
        <sz val="11"/>
        <rFont val="Calibri"/>
        <family val="2"/>
      </rPr>
      <t>y (equivalente)</t>
    </r>
  </si>
  <si>
    <r>
      <t>σ</t>
    </r>
    <r>
      <rPr>
        <vertAlign val="subscript"/>
        <sz val="11"/>
        <rFont val="Calibri"/>
        <family val="2"/>
      </rPr>
      <t>A</t>
    </r>
  </si>
  <si>
    <r>
      <t>σ</t>
    </r>
    <r>
      <rPr>
        <vertAlign val="subscript"/>
        <sz val="11"/>
        <rFont val="Calibri"/>
        <family val="2"/>
      </rPr>
      <t>B</t>
    </r>
  </si>
  <si>
    <t>A</t>
  </si>
  <si>
    <t>B</t>
  </si>
  <si>
    <t>W</t>
  </si>
  <si>
    <t>wx</t>
  </si>
  <si>
    <t>wy</t>
  </si>
  <si>
    <t>wxy</t>
  </si>
  <si>
    <t>wx2</t>
  </si>
  <si>
    <t>Sx2</t>
  </si>
  <si>
    <r>
      <t>σ</t>
    </r>
    <r>
      <rPr>
        <vertAlign val="subscript"/>
        <sz val="11"/>
        <color theme="0"/>
        <rFont val="Calibri"/>
        <family val="2"/>
      </rPr>
      <t>A</t>
    </r>
  </si>
  <si>
    <r>
      <t>σ</t>
    </r>
    <r>
      <rPr>
        <vertAlign val="subscript"/>
        <sz val="11"/>
        <color theme="0"/>
        <rFont val="Calibri"/>
        <family val="2"/>
      </rPr>
      <t>B</t>
    </r>
  </si>
  <si>
    <r>
      <t>σ</t>
    </r>
    <r>
      <rPr>
        <vertAlign val="subscript"/>
        <sz val="11"/>
        <color theme="1"/>
        <rFont val="Calibri"/>
        <family val="2"/>
        <scheme val="minor"/>
      </rPr>
      <t>x</t>
    </r>
  </si>
  <si>
    <r>
      <t>σ</t>
    </r>
    <r>
      <rPr>
        <vertAlign val="subscript"/>
        <sz val="11"/>
        <color theme="1"/>
        <rFont val="Calibri"/>
        <family val="2"/>
        <scheme val="minor"/>
      </rPr>
      <t>y</t>
    </r>
  </si>
  <si>
    <r>
      <t>σ</t>
    </r>
    <r>
      <rPr>
        <vertAlign val="subscript"/>
        <sz val="11"/>
        <color theme="1"/>
        <rFont val="Calibri"/>
        <family val="2"/>
        <scheme val="minor"/>
      </rPr>
      <t>xy</t>
    </r>
  </si>
  <si>
    <t>R</t>
  </si>
  <si>
    <t>error D</t>
  </si>
  <si>
    <t>n</t>
  </si>
  <si>
    <t>error n</t>
  </si>
  <si>
    <t>D (m)</t>
  </si>
  <si>
    <t>error D (m)</t>
  </si>
  <si>
    <t>n (m)</t>
  </si>
  <si>
    <t>error n (m)</t>
  </si>
  <si>
    <t>D media</t>
  </si>
  <si>
    <t>error D media</t>
  </si>
  <si>
    <t>% error</t>
  </si>
  <si>
    <t>AJUSTES</t>
  </si>
  <si>
    <t>RESULTADO</t>
  </si>
  <si>
    <t>ƛ exper. (m)</t>
  </si>
  <si>
    <t>Error ƛ exper. (m)</t>
  </si>
  <si>
    <t>ƛ exper. media (m)</t>
  </si>
  <si>
    <t>Error ƛ exper. media (m)</t>
  </si>
  <si>
    <t>violeta</t>
  </si>
  <si>
    <t>blau</t>
  </si>
  <si>
    <t>vermell</t>
  </si>
  <si>
    <t>R^2</t>
  </si>
  <si>
    <t>R_H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</si>
</sst>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</font>
    <font>
      <vertAlign val="subscript"/>
      <sz val="11"/>
      <name val="Calibri"/>
      <family val="2"/>
    </font>
    <font>
      <sz val="11"/>
      <color theme="0"/>
      <name val="Calibri"/>
      <family val="2"/>
    </font>
    <font>
      <vertAlign val="subscript"/>
      <sz val="11"/>
      <color theme="0"/>
      <name val="Calibri"/>
      <family val="2"/>
    </font>
    <font>
      <vertAlign val="subscript"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2" borderId="10" xfId="0" applyFill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9" xfId="0" applyFont="1" applyBorder="1"/>
    <xf numFmtId="0" fontId="0" fillId="6" borderId="17" xfId="0" applyFill="1" applyBorder="1"/>
    <xf numFmtId="0" fontId="0" fillId="6" borderId="18" xfId="0" applyFill="1" applyBorder="1"/>
    <xf numFmtId="0" fontId="0" fillId="0" borderId="0" xfId="0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2" fontId="0" fillId="11" borderId="19" xfId="0" applyNumberFormat="1" applyFill="1" applyBorder="1" applyAlignment="1">
      <alignment horizontal="center" vertical="center"/>
    </xf>
    <xf numFmtId="164" fontId="0" fillId="11" borderId="19" xfId="0" applyNumberFormat="1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2" fontId="0" fillId="11" borderId="21" xfId="0" applyNumberFormat="1" applyFill="1" applyBorder="1" applyAlignment="1">
      <alignment horizontal="center" vertical="center"/>
    </xf>
    <xf numFmtId="164" fontId="0" fillId="11" borderId="21" xfId="0" applyNumberFormat="1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2" fontId="0" fillId="11" borderId="24" xfId="0" applyNumberFormat="1" applyFill="1" applyBorder="1" applyAlignment="1">
      <alignment horizontal="center" vertical="center"/>
    </xf>
    <xf numFmtId="164" fontId="0" fillId="11" borderId="24" xfId="0" applyNumberFormat="1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7" borderId="0" xfId="0" applyFill="1"/>
    <xf numFmtId="0" fontId="0" fillId="12" borderId="0" xfId="0" applyFill="1"/>
    <xf numFmtId="0" fontId="0" fillId="0" borderId="0" xfId="0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11" fontId="0" fillId="0" borderId="0" xfId="0" applyNumberFormat="1"/>
    <xf numFmtId="0" fontId="0" fillId="0" borderId="16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2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guel Sánchez Oros" id="{02ADC468-37DF-8E4B-B918-F0CB40846B97}" userId="S::mso330@id.uib.eu::8607087d-52df-4a24-a1a6-969573e67d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3-05-14T11:17:32.69" personId="{02ADC468-37DF-8E4B-B918-F0CB40846B97}" id="{0B5C91C9-5269-7243-9052-6C71A1319B2B}">
    <text>Error estándar de la media</text>
  </threadedComment>
  <threadedComment ref="E10" dT="2023-05-14T11:44:14.31" personId="{02ADC468-37DF-8E4B-B918-F0CB40846B97}" id="{27BF3ACD-DF85-614A-A070-39D48E907D0C}" parentId="{0B5C91C9-5269-7243-9052-6C71A1319B2B}">
    <text>Con propagación sale demasiado pequeño</text>
  </threadedComment>
  <threadedComment ref="E32" dT="2023-05-14T11:17:32.69" personId="{02ADC468-37DF-8E4B-B918-F0CB40846B97}" id="{76BADDE8-5913-414C-92BB-69294BB75EBA}">
    <text>Error estándar de la media</text>
  </threadedComment>
  <threadedComment ref="E32" dT="2023-05-14T11:44:14.31" personId="{02ADC468-37DF-8E4B-B918-F0CB40846B97}" id="{4EBE3693-C89F-C54C-BC72-80A37D69BC7C}" parentId="{76BADDE8-5913-414C-92BB-69294BB75EBA}">
    <text>Con propagación sale demasiado pequeño</text>
  </threadedComment>
  <threadedComment ref="E58" dT="2023-05-14T11:17:32.69" personId="{02ADC468-37DF-8E4B-B918-F0CB40846B97}" id="{2E7F3DE9-6EEF-B04C-90EB-0DE751329A69}">
    <text>Error estándar de la media</text>
  </threadedComment>
  <threadedComment ref="E58" dT="2023-05-14T11:44:14.31" personId="{02ADC468-37DF-8E4B-B918-F0CB40846B97}" id="{6CDEAA11-5E4D-F640-95ED-FDA314EEEAF0}" parentId="{2E7F3DE9-6EEF-B04C-90EB-0DE751329A69}">
    <text>Con propagación sale demasiado pequeño</text>
  </threadedComment>
  <threadedComment ref="E88" dT="2023-05-14T11:17:32.69" personId="{02ADC468-37DF-8E4B-B918-F0CB40846B97}" id="{7099BEA2-FDF1-A344-9FDD-C55E0CDC8DDC}">
    <text>Error estándar de la media</text>
  </threadedComment>
  <threadedComment ref="E88" dT="2023-05-14T11:44:14.31" personId="{02ADC468-37DF-8E4B-B918-F0CB40846B97}" id="{65CFFD38-2F1D-0E4F-B405-0BDF6E21752F}" parentId="{7099BEA2-FDF1-A344-9FDD-C55E0CDC8DDC}">
    <text>Con propagación sale demasiado pequeño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7544-00C4-7E48-954F-75A10B9355C9}">
  <dimension ref="A3:Z24"/>
  <sheetViews>
    <sheetView workbookViewId="0">
      <selection activeCell="G30" sqref="G30"/>
    </sheetView>
  </sheetViews>
  <sheetFormatPr baseColWidth="10" defaultColWidth="11" defaultRowHeight="16" x14ac:dyDescent="0.2"/>
  <sheetData>
    <row r="3" spans="1:26" x14ac:dyDescent="0.2">
      <c r="C3" t="s">
        <v>0</v>
      </c>
    </row>
    <row r="7" spans="1:26" x14ac:dyDescent="0.2">
      <c r="D7" t="s">
        <v>1</v>
      </c>
      <c r="H7" t="s">
        <v>2</v>
      </c>
      <c r="L7" t="s">
        <v>3</v>
      </c>
      <c r="P7" t="s">
        <v>4</v>
      </c>
      <c r="T7" t="s">
        <v>5</v>
      </c>
      <c r="X7" t="s">
        <v>6</v>
      </c>
    </row>
    <row r="10" spans="1:26" x14ac:dyDescent="0.2">
      <c r="A10" t="s">
        <v>7</v>
      </c>
      <c r="D10" t="s">
        <v>8</v>
      </c>
    </row>
    <row r="12" spans="1:26" x14ac:dyDescent="0.2">
      <c r="A12" t="s">
        <v>9</v>
      </c>
      <c r="C12" s="1" t="s">
        <v>10</v>
      </c>
      <c r="D12" s="2" t="s">
        <v>11</v>
      </c>
      <c r="E12" s="2" t="s">
        <v>12</v>
      </c>
      <c r="F12" s="3" t="s">
        <v>13</v>
      </c>
      <c r="G12" s="1" t="s">
        <v>10</v>
      </c>
      <c r="H12" s="2" t="s">
        <v>11</v>
      </c>
      <c r="I12" s="2" t="s">
        <v>12</v>
      </c>
      <c r="J12" s="3" t="s">
        <v>13</v>
      </c>
      <c r="K12" s="1" t="s">
        <v>10</v>
      </c>
      <c r="L12" s="2" t="s">
        <v>11</v>
      </c>
      <c r="M12" s="2" t="s">
        <v>12</v>
      </c>
      <c r="N12" s="3" t="s">
        <v>13</v>
      </c>
      <c r="O12" s="1" t="s">
        <v>10</v>
      </c>
      <c r="P12" s="2" t="s">
        <v>11</v>
      </c>
      <c r="Q12" s="2" t="s">
        <v>12</v>
      </c>
      <c r="R12" s="3" t="s">
        <v>13</v>
      </c>
      <c r="S12" s="1" t="s">
        <v>10</v>
      </c>
      <c r="T12" s="2" t="s">
        <v>11</v>
      </c>
      <c r="U12" s="2" t="s">
        <v>12</v>
      </c>
      <c r="V12" s="3" t="s">
        <v>13</v>
      </c>
      <c r="W12" s="1" t="s">
        <v>10</v>
      </c>
      <c r="X12" s="2" t="s">
        <v>11</v>
      </c>
      <c r="Y12" s="2" t="s">
        <v>12</v>
      </c>
      <c r="Z12" s="3" t="s">
        <v>13</v>
      </c>
    </row>
    <row r="13" spans="1:26" x14ac:dyDescent="0.2">
      <c r="C13" s="4"/>
      <c r="D13">
        <v>0.2</v>
      </c>
      <c r="F13" s="5">
        <f>$C$13*E13/(SQRT(E13^2+D13^2))</f>
        <v>0</v>
      </c>
      <c r="G13" s="4"/>
      <c r="J13" s="5" t="e">
        <f>$C$13*I13/(SQRT(I13^2+H13^2))</f>
        <v>#DIV/0!</v>
      </c>
      <c r="K13" s="4"/>
      <c r="L13">
        <v>0.2</v>
      </c>
      <c r="N13" s="5">
        <f>$C$13*M13/(SQRT(M13^2+L13^2))</f>
        <v>0</v>
      </c>
      <c r="O13" s="4"/>
      <c r="P13">
        <v>0.17499999999999999</v>
      </c>
      <c r="R13" s="5">
        <f>$C$13*Q13/(SQRT(Q13^2+P13^2))</f>
        <v>0</v>
      </c>
      <c r="S13" s="4"/>
      <c r="T13">
        <v>0.187</v>
      </c>
      <c r="V13" s="5">
        <f>$C$13*U13/(SQRT(U13^2+T13^2))</f>
        <v>0</v>
      </c>
      <c r="W13" s="4"/>
      <c r="Z13" s="5" t="e">
        <f>$C$13*Y13/(SQRT(Y13^2+X13^2))</f>
        <v>#DIV/0!</v>
      </c>
    </row>
    <row r="14" spans="1:26" x14ac:dyDescent="0.2">
      <c r="A14" t="s">
        <v>14</v>
      </c>
      <c r="C14" s="4"/>
      <c r="D14">
        <v>0.22500000000000001</v>
      </c>
      <c r="F14" s="5">
        <f t="shared" ref="F14:F17" si="0">$C$13*E14/(SQRT(E14^2+D14^2))</f>
        <v>0</v>
      </c>
      <c r="G14" s="4"/>
      <c r="H14" t="s">
        <v>15</v>
      </c>
      <c r="J14" s="5" t="e">
        <f t="shared" ref="J14:J17" si="1">$C$13*I14/(SQRT(I14^2+H14^2))</f>
        <v>#VALUE!</v>
      </c>
      <c r="K14" s="4"/>
      <c r="L14">
        <v>0.23</v>
      </c>
      <c r="N14" s="5">
        <f t="shared" ref="N14:N17" si="2">$C$13*M14/(SQRT(M14^2+L14^2))</f>
        <v>0</v>
      </c>
      <c r="O14" s="4"/>
      <c r="P14">
        <v>0.2</v>
      </c>
      <c r="R14" s="5">
        <f t="shared" ref="R14:R17" si="3">$C$13*Q14/(SQRT(Q14^2+P14^2))</f>
        <v>0</v>
      </c>
      <c r="S14" s="4"/>
      <c r="T14">
        <v>0.22700000000000001</v>
      </c>
      <c r="V14" s="5">
        <f t="shared" ref="V14:V17" si="4">$C$13*U14/(SQRT(U14^2+T14^2))</f>
        <v>0</v>
      </c>
      <c r="W14" s="4"/>
      <c r="Z14" s="5" t="e">
        <f t="shared" ref="Z14:Z17" si="5">$C$13*Y14/(SQRT(Y14^2+X14^2))</f>
        <v>#DIV/0!</v>
      </c>
    </row>
    <row r="15" spans="1:26" x14ac:dyDescent="0.2">
      <c r="C15" s="4"/>
      <c r="D15">
        <v>0.25900000000000001</v>
      </c>
      <c r="F15" s="5">
        <f t="shared" si="0"/>
        <v>0</v>
      </c>
      <c r="G15" s="4"/>
      <c r="J15" s="5" t="e">
        <f t="shared" si="1"/>
        <v>#DIV/0!</v>
      </c>
      <c r="K15" s="4"/>
      <c r="L15">
        <v>0.26</v>
      </c>
      <c r="N15" s="5">
        <f t="shared" si="2"/>
        <v>0</v>
      </c>
      <c r="O15" s="4"/>
      <c r="P15">
        <v>0.25</v>
      </c>
      <c r="R15" s="5">
        <f t="shared" si="3"/>
        <v>0</v>
      </c>
      <c r="S15" s="4"/>
      <c r="T15">
        <v>0.25900000000000001</v>
      </c>
      <c r="V15" s="5">
        <f t="shared" si="4"/>
        <v>0</v>
      </c>
      <c r="W15" s="4"/>
      <c r="Z15" s="5" t="e">
        <f t="shared" si="5"/>
        <v>#DIV/0!</v>
      </c>
    </row>
    <row r="16" spans="1:26" x14ac:dyDescent="0.2">
      <c r="C16" s="4"/>
      <c r="D16">
        <v>0.3</v>
      </c>
      <c r="F16" s="5">
        <f t="shared" si="0"/>
        <v>0</v>
      </c>
      <c r="G16" s="4"/>
      <c r="J16" s="5" t="e">
        <f t="shared" si="1"/>
        <v>#DIV/0!</v>
      </c>
      <c r="K16" s="4"/>
      <c r="L16">
        <v>0.28999999999999998</v>
      </c>
      <c r="N16" s="5">
        <f t="shared" si="2"/>
        <v>0</v>
      </c>
      <c r="O16" s="4"/>
      <c r="P16">
        <v>0.3</v>
      </c>
      <c r="R16" s="5">
        <f t="shared" si="3"/>
        <v>0</v>
      </c>
      <c r="S16" s="4"/>
      <c r="T16">
        <v>0.28000000000000003</v>
      </c>
      <c r="V16" s="5">
        <f t="shared" si="4"/>
        <v>0</v>
      </c>
      <c r="W16" s="4"/>
      <c r="Z16" s="5" t="e">
        <f t="shared" si="5"/>
        <v>#DIV/0!</v>
      </c>
    </row>
    <row r="17" spans="3:26" x14ac:dyDescent="0.2">
      <c r="C17" s="6"/>
      <c r="D17" s="7">
        <v>0.35</v>
      </c>
      <c r="E17" s="7"/>
      <c r="F17" s="8">
        <f t="shared" si="0"/>
        <v>0</v>
      </c>
      <c r="G17" s="6"/>
      <c r="H17" s="7"/>
      <c r="I17" s="7"/>
      <c r="J17" s="8" t="e">
        <f t="shared" si="1"/>
        <v>#DIV/0!</v>
      </c>
      <c r="K17" s="6"/>
      <c r="L17" s="7">
        <v>0.32</v>
      </c>
      <c r="M17" s="7"/>
      <c r="N17" s="8">
        <f t="shared" si="2"/>
        <v>0</v>
      </c>
      <c r="O17" s="6"/>
      <c r="P17" s="7">
        <v>0.35</v>
      </c>
      <c r="Q17" s="7"/>
      <c r="R17" s="8">
        <f t="shared" si="3"/>
        <v>0</v>
      </c>
      <c r="S17" s="6"/>
      <c r="T17" s="7">
        <v>0.3</v>
      </c>
      <c r="U17" s="7"/>
      <c r="V17" s="8">
        <f t="shared" si="4"/>
        <v>0</v>
      </c>
      <c r="W17" s="6"/>
      <c r="X17" s="7"/>
      <c r="Y17" s="7"/>
      <c r="Z17" s="8" t="e">
        <f t="shared" si="5"/>
        <v>#DIV/0!</v>
      </c>
    </row>
    <row r="19" spans="3:26" x14ac:dyDescent="0.2">
      <c r="C19" t="s">
        <v>16</v>
      </c>
    </row>
    <row r="20" spans="3:26" x14ac:dyDescent="0.2">
      <c r="E20" t="s">
        <v>17</v>
      </c>
    </row>
    <row r="22" spans="3:26" x14ac:dyDescent="0.2">
      <c r="D22" t="s">
        <v>18</v>
      </c>
    </row>
    <row r="24" spans="3:26" x14ac:dyDescent="0.2">
      <c r="D2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BA31-61F3-EA46-AD8F-3D4B531ECC87}">
  <dimension ref="A3:AG98"/>
  <sheetViews>
    <sheetView tabSelected="1" topLeftCell="C62" zoomScale="89" zoomScaleNormal="89" workbookViewId="0">
      <selection activeCell="N98" sqref="N98"/>
    </sheetView>
  </sheetViews>
  <sheetFormatPr baseColWidth="10" defaultRowHeight="16" x14ac:dyDescent="0.2"/>
  <cols>
    <col min="3" max="3" width="11.1640625" bestFit="1" customWidth="1"/>
    <col min="4" max="4" width="16.6640625" customWidth="1"/>
    <col min="5" max="5" width="21.1640625" customWidth="1"/>
    <col min="6" max="6" width="16" customWidth="1"/>
    <col min="7" max="7" width="12.5" bestFit="1" customWidth="1"/>
    <col min="8" max="8" width="15.6640625" customWidth="1"/>
    <col min="9" max="9" width="12.5" bestFit="1" customWidth="1"/>
    <col min="10" max="10" width="16.33203125" customWidth="1"/>
    <col min="11" max="11" width="12.6640625" bestFit="1" customWidth="1"/>
    <col min="12" max="12" width="16.1640625" customWidth="1"/>
    <col min="13" max="15" width="12.5" bestFit="1" customWidth="1"/>
    <col min="16" max="19" width="12.6640625" bestFit="1" customWidth="1"/>
    <col min="20" max="20" width="14.83203125" bestFit="1" customWidth="1"/>
    <col min="21" max="22" width="12.6640625" bestFit="1" customWidth="1"/>
    <col min="23" max="23" width="13.1640625" bestFit="1" customWidth="1"/>
    <col min="24" max="24" width="12.33203125" customWidth="1"/>
    <col min="26" max="26" width="12.6640625" bestFit="1" customWidth="1"/>
    <col min="27" max="27" width="22.1640625" customWidth="1"/>
    <col min="28" max="29" width="13.83203125" customWidth="1"/>
    <col min="30" max="30" width="12.1640625" bestFit="1" customWidth="1"/>
    <col min="31" max="31" width="12.33203125" customWidth="1"/>
  </cols>
  <sheetData>
    <row r="3" spans="1:33" x14ac:dyDescent="0.2">
      <c r="A3" s="9" t="s">
        <v>3</v>
      </c>
      <c r="B3" s="9"/>
      <c r="C3" s="9"/>
      <c r="D3" s="9"/>
      <c r="E3" s="9"/>
      <c r="F3" s="9"/>
      <c r="G3" s="9"/>
    </row>
    <row r="4" spans="1:33" ht="17" thickBot="1" x14ac:dyDescent="0.25"/>
    <row r="5" spans="1:33" ht="17" thickBot="1" x14ac:dyDescent="0.25">
      <c r="E5" s="53" t="s">
        <v>21</v>
      </c>
      <c r="F5" s="59">
        <v>0.14899999999999999</v>
      </c>
      <c r="G5" s="60"/>
      <c r="H5" s="60"/>
      <c r="I5" s="61"/>
      <c r="J5" s="59">
        <v>0.17899999999999999</v>
      </c>
      <c r="K5" s="60"/>
      <c r="L5" s="60"/>
      <c r="M5" s="62"/>
      <c r="N5" s="59">
        <v>0.20899999999999999</v>
      </c>
      <c r="O5" s="60"/>
      <c r="P5" s="60"/>
      <c r="Q5" s="62"/>
      <c r="R5" s="59">
        <v>0.23899999999999999</v>
      </c>
      <c r="S5" s="60"/>
      <c r="T5" s="60"/>
      <c r="U5" s="62"/>
      <c r="V5" s="59">
        <v>0.26900000000000002</v>
      </c>
      <c r="W5" s="60"/>
      <c r="X5" s="60"/>
      <c r="Y5" s="62"/>
      <c r="AG5" s="20"/>
    </row>
    <row r="6" spans="1:33" x14ac:dyDescent="0.2">
      <c r="A6" s="10" t="s">
        <v>20</v>
      </c>
      <c r="B6" s="11" t="s">
        <v>21</v>
      </c>
      <c r="C6" t="s">
        <v>41</v>
      </c>
      <c r="E6" s="52"/>
      <c r="F6" s="54" t="s">
        <v>23</v>
      </c>
      <c r="G6" s="54" t="s">
        <v>24</v>
      </c>
      <c r="H6" s="54" t="s">
        <v>25</v>
      </c>
      <c r="I6" s="10" t="s">
        <v>26</v>
      </c>
      <c r="J6" s="56" t="s">
        <v>23</v>
      </c>
      <c r="K6" s="54" t="s">
        <v>24</v>
      </c>
      <c r="L6" s="54" t="s">
        <v>25</v>
      </c>
      <c r="M6" s="54" t="s">
        <v>26</v>
      </c>
      <c r="N6" s="54" t="s">
        <v>23</v>
      </c>
      <c r="O6" s="54" t="s">
        <v>24</v>
      </c>
      <c r="P6" s="54" t="s">
        <v>25</v>
      </c>
      <c r="Q6" s="54" t="s">
        <v>26</v>
      </c>
      <c r="R6" s="54" t="s">
        <v>23</v>
      </c>
      <c r="S6" s="54" t="s">
        <v>24</v>
      </c>
      <c r="T6" s="54" t="s">
        <v>25</v>
      </c>
      <c r="U6" s="54" t="s">
        <v>26</v>
      </c>
      <c r="V6" s="54" t="s">
        <v>23</v>
      </c>
      <c r="W6" s="54" t="s">
        <v>24</v>
      </c>
      <c r="X6" s="54" t="s">
        <v>25</v>
      </c>
      <c r="Y6" s="54" t="s">
        <v>26</v>
      </c>
      <c r="AG6" s="20"/>
    </row>
    <row r="7" spans="1:33" x14ac:dyDescent="0.2">
      <c r="A7" s="11">
        <v>0.2</v>
      </c>
      <c r="B7" s="11">
        <f>A7-0.051</f>
        <v>0.14900000000000002</v>
      </c>
      <c r="C7">
        <v>1E-3</v>
      </c>
      <c r="E7" s="10" t="s">
        <v>29</v>
      </c>
      <c r="F7" s="10">
        <v>3.6999999999999998E-2</v>
      </c>
      <c r="G7" s="10">
        <v>0.04</v>
      </c>
      <c r="H7" s="10">
        <v>5.1999999999999998E-2</v>
      </c>
      <c r="I7" s="10">
        <v>5.5E-2</v>
      </c>
      <c r="J7" s="55">
        <v>4.8000000000000001E-2</v>
      </c>
      <c r="K7" s="10">
        <v>0.05</v>
      </c>
      <c r="L7" s="10">
        <v>6.4000000000000001E-2</v>
      </c>
      <c r="M7" s="10">
        <v>6.8000000000000005E-2</v>
      </c>
      <c r="N7" s="10">
        <v>5.3999999999999999E-2</v>
      </c>
      <c r="O7" s="10">
        <v>5.8999999999999997E-2</v>
      </c>
      <c r="P7" s="10">
        <v>7.4999999999999997E-2</v>
      </c>
      <c r="Q7" s="10">
        <v>0.08</v>
      </c>
      <c r="R7" s="10">
        <v>6.4000000000000001E-2</v>
      </c>
      <c r="S7" s="10">
        <v>6.7000000000000004E-2</v>
      </c>
      <c r="T7" s="10">
        <v>8.5999999999999993E-2</v>
      </c>
      <c r="U7" s="10">
        <v>9.1999999999999998E-2</v>
      </c>
      <c r="V7" s="10">
        <v>7.0000000000000007E-2</v>
      </c>
      <c r="W7" s="10">
        <v>7.5999999999999998E-2</v>
      </c>
      <c r="X7" s="10">
        <v>9.7000000000000003E-2</v>
      </c>
      <c r="Y7" s="10">
        <v>0.10299999999999999</v>
      </c>
      <c r="AG7" s="20"/>
    </row>
    <row r="8" spans="1:33" x14ac:dyDescent="0.2">
      <c r="A8" s="11">
        <v>0.23</v>
      </c>
      <c r="B8" s="11">
        <f t="shared" ref="B8:B11" si="0">A8-0.051</f>
        <v>0.17900000000000002</v>
      </c>
      <c r="E8" s="10" t="s">
        <v>28</v>
      </c>
      <c r="F8" s="10">
        <v>0.04</v>
      </c>
      <c r="G8" s="10">
        <v>4.2999999999999997E-2</v>
      </c>
      <c r="H8" s="10">
        <v>5.3999999999999999E-2</v>
      </c>
      <c r="I8" s="10">
        <v>5.7000000000000002E-2</v>
      </c>
      <c r="J8" s="55">
        <v>4.3999999999999997E-2</v>
      </c>
      <c r="K8" s="10">
        <v>4.8000000000000001E-2</v>
      </c>
      <c r="L8" s="10">
        <v>6.2E-2</v>
      </c>
      <c r="M8" s="10">
        <v>6.6000000000000003E-2</v>
      </c>
      <c r="N8" s="10">
        <v>5.1999999999999998E-2</v>
      </c>
      <c r="O8" s="10">
        <v>5.6000000000000001E-2</v>
      </c>
      <c r="P8" s="10">
        <v>7.1999999999999995E-2</v>
      </c>
      <c r="Q8" s="10">
        <v>7.5999999999999998E-2</v>
      </c>
      <c r="R8" s="10">
        <v>0.06</v>
      </c>
      <c r="S8" s="10">
        <v>6.5000000000000002E-2</v>
      </c>
      <c r="T8" s="10">
        <v>8.3000000000000004E-2</v>
      </c>
      <c r="U8" s="10">
        <v>8.7999999999999995E-2</v>
      </c>
      <c r="V8" s="10">
        <v>6.7000000000000004E-2</v>
      </c>
      <c r="W8" s="10">
        <v>7.1999999999999995E-2</v>
      </c>
      <c r="X8" s="10">
        <v>9.2999999999999999E-2</v>
      </c>
      <c r="Y8" s="10">
        <v>9.9000000000000005E-2</v>
      </c>
      <c r="AG8" s="20"/>
    </row>
    <row r="9" spans="1:33" x14ac:dyDescent="0.2">
      <c r="A9" s="11">
        <v>0.26</v>
      </c>
      <c r="B9" s="11">
        <f t="shared" si="0"/>
        <v>0.20900000000000002</v>
      </c>
      <c r="E9" s="10" t="s">
        <v>22</v>
      </c>
      <c r="F9" s="10">
        <f>(F7+F8)/2</f>
        <v>3.85E-2</v>
      </c>
      <c r="G9" s="10">
        <f t="shared" ref="G9:I9" si="1">(G7+G8)/2</f>
        <v>4.1499999999999995E-2</v>
      </c>
      <c r="H9" s="10">
        <f t="shared" si="1"/>
        <v>5.2999999999999999E-2</v>
      </c>
      <c r="I9" s="10">
        <f t="shared" si="1"/>
        <v>5.6000000000000001E-2</v>
      </c>
      <c r="J9" s="55">
        <f>(J7+J8)/2</f>
        <v>4.5999999999999999E-2</v>
      </c>
      <c r="K9" s="10">
        <f t="shared" ref="K9" si="2">(K7+K8)/2</f>
        <v>4.9000000000000002E-2</v>
      </c>
      <c r="L9" s="10">
        <f t="shared" ref="L9" si="3">(L7+L8)/2</f>
        <v>6.3E-2</v>
      </c>
      <c r="M9" s="10">
        <f t="shared" ref="M9" si="4">(M7+M8)/2</f>
        <v>6.7000000000000004E-2</v>
      </c>
      <c r="N9" s="55">
        <f>(N7+N8)/2</f>
        <v>5.2999999999999999E-2</v>
      </c>
      <c r="O9" s="10">
        <f t="shared" ref="O9" si="5">(O7+O8)/2</f>
        <v>5.7499999999999996E-2</v>
      </c>
      <c r="P9" s="10">
        <f t="shared" ref="P9" si="6">(P7+P8)/2</f>
        <v>7.3499999999999996E-2</v>
      </c>
      <c r="Q9" s="10">
        <f t="shared" ref="Q9" si="7">(Q7+Q8)/2</f>
        <v>7.8E-2</v>
      </c>
      <c r="R9" s="55">
        <f>(R7+R8)/2</f>
        <v>6.2E-2</v>
      </c>
      <c r="S9" s="10">
        <f t="shared" ref="S9" si="8">(S7+S8)/2</f>
        <v>6.6000000000000003E-2</v>
      </c>
      <c r="T9" s="10">
        <f t="shared" ref="T9" si="9">(T7+T8)/2</f>
        <v>8.4499999999999992E-2</v>
      </c>
      <c r="U9" s="10">
        <f t="shared" ref="U9" si="10">(U7+U8)/2</f>
        <v>0.09</v>
      </c>
      <c r="V9" s="55">
        <f>(V7+V8)/2</f>
        <v>6.8500000000000005E-2</v>
      </c>
      <c r="W9" s="10">
        <f t="shared" ref="W9" si="11">(W7+W8)/2</f>
        <v>7.3999999999999996E-2</v>
      </c>
      <c r="X9" s="10">
        <f t="shared" ref="X9" si="12">(X7+X8)/2</f>
        <v>9.5000000000000001E-2</v>
      </c>
      <c r="Y9" s="10">
        <f t="shared" ref="Y9" si="13">(Y7+Y8)/2</f>
        <v>0.10100000000000001</v>
      </c>
      <c r="AG9" s="20"/>
    </row>
    <row r="10" spans="1:33" x14ac:dyDescent="0.2">
      <c r="A10" s="11">
        <v>0.28999999999999998</v>
      </c>
      <c r="B10" s="11">
        <f t="shared" si="0"/>
        <v>0.23899999999999999</v>
      </c>
      <c r="E10" s="10" t="s">
        <v>27</v>
      </c>
      <c r="F10" s="10">
        <f>STDEV(F7:F8)/SQRT(2)</f>
        <v>1.5000000000000013E-3</v>
      </c>
      <c r="G10" s="10">
        <f t="shared" ref="G10:I10" si="14">STDEV(G7:G8)/SQRT(2)</f>
        <v>1.4999999999999976E-3</v>
      </c>
      <c r="H10" s="10">
        <f>STDEV(H7:H8)/SQRT(2)</f>
        <v>1.0000000000000009E-3</v>
      </c>
      <c r="I10" s="10">
        <f t="shared" si="14"/>
        <v>1.0000000000000009E-3</v>
      </c>
      <c r="J10" s="55">
        <f>STDEV(J7:J8)/SQRT(2)</f>
        <v>2.0000000000000018E-3</v>
      </c>
      <c r="K10" s="10">
        <f t="shared" ref="K10" si="15">STDEV(K7:K8)/SQRT(2)</f>
        <v>1.0000000000000009E-3</v>
      </c>
      <c r="L10" s="10">
        <f>STDEV(L7:L8)/SQRT(2)</f>
        <v>1.0000000000000009E-3</v>
      </c>
      <c r="M10" s="10">
        <f t="shared" ref="M10" si="16">STDEV(M7:M8)/SQRT(2)</f>
        <v>1.0000000000000009E-3</v>
      </c>
      <c r="N10" s="55">
        <f>STDEV(N7:N8)/SQRT(2)</f>
        <v>1.0000000000000009E-3</v>
      </c>
      <c r="O10" s="10">
        <f t="shared" ref="O10" si="17">STDEV(O7:O8)/SQRT(2)</f>
        <v>1.4999999999999976E-3</v>
      </c>
      <c r="P10" s="10">
        <f>STDEV(P7:P8)/SQRT(2)</f>
        <v>1.5000000000000013E-3</v>
      </c>
      <c r="Q10" s="10">
        <f t="shared" ref="Q10" si="18">STDEV(Q7:Q8)/SQRT(2)</f>
        <v>2.0000000000000018E-3</v>
      </c>
      <c r="R10" s="55">
        <f>STDEV(R7:R8)/SQRT(2)</f>
        <v>2.0000000000000018E-3</v>
      </c>
      <c r="S10" s="10">
        <f t="shared" ref="S10" si="19">STDEV(S7:S8)/SQRT(2)</f>
        <v>1.0000000000000009E-3</v>
      </c>
      <c r="T10" s="10">
        <f>STDEV(T7:T8)/SQRT(2)</f>
        <v>1.4999999999999942E-3</v>
      </c>
      <c r="U10" s="10">
        <f t="shared" ref="U10" si="20">STDEV(U7:U8)/SQRT(2)</f>
        <v>2.0000000000000018E-3</v>
      </c>
      <c r="V10" s="55">
        <f>STDEV(V7:V8)/SQRT(2)</f>
        <v>1.5000000000000013E-3</v>
      </c>
      <c r="W10" s="10">
        <f t="shared" ref="W10" si="21">STDEV(W7:W8)/SQRT(2)</f>
        <v>2.0000000000000018E-3</v>
      </c>
      <c r="X10" s="10">
        <f>STDEV(X7:X8)/SQRT(2)</f>
        <v>2.0000000000000018E-3</v>
      </c>
      <c r="Y10" s="10">
        <f t="shared" ref="Y10" si="22">STDEV(Y7:Y8)/SQRT(2)</f>
        <v>1.9999999999999944E-3</v>
      </c>
      <c r="AG10" s="20"/>
    </row>
    <row r="11" spans="1:33" x14ac:dyDescent="0.2">
      <c r="A11" s="11">
        <v>0.32</v>
      </c>
      <c r="B11" s="11">
        <f t="shared" si="0"/>
        <v>0.26900000000000002</v>
      </c>
      <c r="AG11" s="20"/>
    </row>
    <row r="12" spans="1:33" x14ac:dyDescent="0.2">
      <c r="E12" s="11" t="s">
        <v>39</v>
      </c>
      <c r="F12" s="11">
        <f>F9/(SQRT((F9^2)+($F$5^2)))</f>
        <v>0.25017279451653179</v>
      </c>
      <c r="G12" s="11">
        <f t="shared" ref="G12:H12" si="23">G9/(SQRT((G9^2)+($F$5^2)))</f>
        <v>0.26831070929742873</v>
      </c>
      <c r="H12" s="11">
        <f t="shared" si="23"/>
        <v>0.33513441179683684</v>
      </c>
      <c r="I12" s="11">
        <f>I9/(SQRT((I9^2)+($F$5^2)))</f>
        <v>0.35181182382001247</v>
      </c>
      <c r="J12" s="11">
        <f>J9/(SQRT((J9^2)+($J$5^2)))</f>
        <v>0.24889603134148708</v>
      </c>
      <c r="K12" s="11">
        <f t="shared" ref="K12:M12" si="24">K9/(SQRT((K9^2)+($J$5^2)))</f>
        <v>0.26402916292233414</v>
      </c>
      <c r="L12" s="11">
        <f t="shared" si="24"/>
        <v>0.33199304737386004</v>
      </c>
      <c r="M12" s="11">
        <f t="shared" si="24"/>
        <v>0.35054999608276588</v>
      </c>
      <c r="N12" s="11">
        <f>N9/(SQRT((N9^2)+($N$5^2)))</f>
        <v>0.24580804714687354</v>
      </c>
      <c r="O12" s="11">
        <f t="shared" ref="O12:Q12" si="25">O9/(SQRT((O9^2)+($N$5^2)))</f>
        <v>0.26526370466615107</v>
      </c>
      <c r="P12" s="11">
        <f t="shared" si="25"/>
        <v>0.33175744935170387</v>
      </c>
      <c r="Q12" s="11">
        <f t="shared" si="25"/>
        <v>0.34964924796721497</v>
      </c>
      <c r="R12" s="11">
        <f>R9/(SQRT((R9^2)+($R$5^2)))</f>
        <v>0.25110271035450743</v>
      </c>
      <c r="S12" s="11">
        <f t="shared" ref="S12:U12" si="26">S9/(SQRT((S9^2)+($R$5^2)))</f>
        <v>0.26618746626670553</v>
      </c>
      <c r="T12" s="11">
        <f t="shared" si="26"/>
        <v>0.33333592690283714</v>
      </c>
      <c r="U12" s="11">
        <f t="shared" si="26"/>
        <v>0.35241045384643704</v>
      </c>
      <c r="V12" s="11">
        <f>V9/(SQRT((V9^2)+($V$5^2)))</f>
        <v>0.24677155105125803</v>
      </c>
      <c r="W12" s="11">
        <f t="shared" ref="W12:Y12" si="27">W9/(SQRT((W9^2)+($V$5^2)))</f>
        <v>0.26523978991013614</v>
      </c>
      <c r="X12" s="11">
        <f t="shared" si="27"/>
        <v>0.3330034655786423</v>
      </c>
      <c r="Y12" s="11">
        <f t="shared" si="27"/>
        <v>0.35150480924134392</v>
      </c>
      <c r="AG12" s="20"/>
    </row>
    <row r="13" spans="1:33" x14ac:dyDescent="0.2">
      <c r="A13" s="11" t="s">
        <v>14</v>
      </c>
      <c r="D13">
        <f>($C$7*F9*$F$5)/(((F9^2)+($F$5^2)^(1.5))) + (F10*($F$5^2))/(((F9^2)+($F$5^2))^(1.5))</f>
        <v>1.0334512002980483E-2</v>
      </c>
      <c r="E13" s="11" t="s">
        <v>40</v>
      </c>
      <c r="F13" s="11">
        <f>($C$7*F9*$F$5)/(((F9^2)+($F$5^2))^(1.5)) + (F10*($F$5^2))/(((F9^2)+($F$5^2))^(1.5))</f>
        <v>1.0710891268939048E-2</v>
      </c>
      <c r="G13" s="11">
        <f>($C$7*G9*$F$5)/(((G9^2)+($F$5^2))^(1.5)) + (G10*($F$5^2))/(((G9^2)+($F$5^2))^(1.5))</f>
        <v>1.0670920252488125E-2</v>
      </c>
      <c r="H13" s="11">
        <f>($C$7*H9*$F$5)/(((H9^2)+($F$5^2))^(1.5)) + (H10*($F$5^2))/(((H9^2)+($F$5^2))^(1.5))</f>
        <v>7.6096923692871542E-3</v>
      </c>
      <c r="I13" s="11">
        <f>($C$7*I9*$F$5)/(((I9^2)+($F$5^2))^(1.5)) + (I10*($F$5^2))/(((I9^2)+($F$5^2))^(1.5))</f>
        <v>7.5736868150067718E-3</v>
      </c>
      <c r="J13" s="11">
        <f>($C$7*J9*$J$5)/(((J9^2)+($J$5^2))^(1.5)) + (J10*($J$5^2))/(((J9^2)+($J$5^2))^(1.5))</f>
        <v>1.1455520227244144E-2</v>
      </c>
      <c r="K13" s="11">
        <f>($C$7*K9*$J$5)/(((K9^2)+($J$5^2))^(1.5)) + (K10*($J$5^2))/(((K9^2)+($J$5^2))^(1.5))</f>
        <v>6.3849181511812861E-3</v>
      </c>
      <c r="L13" s="11">
        <f>($C$7*L9*$J$5)/(((L9^2)+($J$5^2))^(1.5)) + (L10*($J$5^2))/(((L9^2)+($J$5^2))^(1.5))</f>
        <v>6.3391892138166574E-3</v>
      </c>
      <c r="M13" s="11">
        <f>($C$7*M9*$J$5)/(((M9^2)+($J$5^2))^(1.5)) + (M10*($J$5^2))/(((M9^2)+($J$5^2))^(1.5))</f>
        <v>6.3068663774646545E-3</v>
      </c>
      <c r="N13" s="11">
        <f>($C$7*N9*$N$5)/(((N9^2)+($N$5^2))^(1.5)) + (N10*($N$5^2))/(((N9^2)+($N$5^2))^(1.5))</f>
        <v>5.4627114151830237E-3</v>
      </c>
      <c r="O13" s="11">
        <f>($C$7*O9*$N$5)/(((O9^2)+($N$5^2))^(1.5)) + (O10*($N$5^2))/(((O9^2)+($N$5^2))^(1.5))</f>
        <v>7.6129005009392871E-3</v>
      </c>
      <c r="P13" s="11">
        <f>($C$7*P9*$N$5)/(((P9^2)+($N$5^2))^(1.5)) + (P10*($N$5^2))/(((P9^2)+($N$5^2))^(1.5))</f>
        <v>7.438019010784191E-3</v>
      </c>
      <c r="Q13" s="11">
        <f>($C$7*Q9*$N$5)/(((Q9^2)+($N$5^2))^(1.5)) + (Q10*($N$5^2))/(((Q9^2)+($N$5^2))^(1.5))</f>
        <v>9.3377437137297601E-3</v>
      </c>
      <c r="R13" s="11">
        <f>($C$7*R9*$R$5)/(((R9^2)+($R$5^2))^(1.5)) + (R10*($R$5^2))/(((R9^2)+($R$5^2))^(1.5))</f>
        <v>8.573749559729605E-3</v>
      </c>
      <c r="S13" s="11">
        <f>($C$7*S9*$R$5)/(((S9^2)+($R$5^2))^(1.5)) + (S10*($R$5^2))/(((S9^2)+($R$5^2))^(1.5))</f>
        <v>4.7822110741369923E-3</v>
      </c>
      <c r="T13" s="11">
        <f>($C$7*T9*$R$5)/(((T9^2)+($R$5^2))^(1.5)) + (T10*($R$5^2))/(((T9^2)+($R$5^2))^(1.5))</f>
        <v>6.499468952182702E-3</v>
      </c>
      <c r="U13" s="11">
        <f>($C$7*U9*$R$5)/(((U9^2)+($R$5^2))^(1.5)) + (U10*($R$5^2))/(((U9^2)+($R$5^2))^(1.5))</f>
        <v>8.1501397693247331E-3</v>
      </c>
      <c r="V13" s="11">
        <f>($C$7*V9*$V$5)/(((V9^2)+($V$5^2))^1.5) + (V10*($V$5^2))/(((V9^2)+($V$5^2))^(1.5))</f>
        <v>5.9361905956308216E-3</v>
      </c>
      <c r="W13" s="11">
        <f t="shared" ref="W13:Y13" si="28">($C$7*W9*$V$5)/(((W9^2)+($V$5^2))^1.5) + (W10*($V$5^2))/(((W9^2)+($V$5^2))^(1.5))</f>
        <v>7.5809663460485038E-3</v>
      </c>
      <c r="X13" s="11">
        <f t="shared" si="28"/>
        <v>7.3338400511577086E-3</v>
      </c>
      <c r="Y13" s="11">
        <f t="shared" si="28"/>
        <v>7.2457414140496799E-3</v>
      </c>
      <c r="AG13" s="20"/>
    </row>
    <row r="14" spans="1:33" x14ac:dyDescent="0.2">
      <c r="E14" s="11" t="s">
        <v>85</v>
      </c>
      <c r="F14" s="11">
        <f>$W$19*F12</f>
        <v>4.1475090094577376E-7</v>
      </c>
      <c r="G14" s="11">
        <f t="shared" ref="G14:Y14" si="29">$W$19*G12</f>
        <v>4.4482098315112545E-7</v>
      </c>
      <c r="H14" s="11">
        <f t="shared" si="29"/>
        <v>5.5560517481242302E-7</v>
      </c>
      <c r="I14" s="11">
        <f t="shared" si="29"/>
        <v>5.832539512328299E-7</v>
      </c>
      <c r="J14" s="11">
        <f t="shared" si="29"/>
        <v>4.1263420924807121E-7</v>
      </c>
      <c r="K14" s="11">
        <f t="shared" si="29"/>
        <v>4.3772278840159905E-7</v>
      </c>
      <c r="L14" s="11">
        <f t="shared" si="29"/>
        <v>5.5039723952454929E-7</v>
      </c>
      <c r="M14" s="11">
        <f t="shared" si="29"/>
        <v>5.8116202036611519E-7</v>
      </c>
      <c r="N14" s="11">
        <f t="shared" si="29"/>
        <v>4.0751477078435915E-7</v>
      </c>
      <c r="O14" s="11">
        <f t="shared" si="29"/>
        <v>4.3976948297321603E-7</v>
      </c>
      <c r="P14" s="11">
        <f t="shared" si="29"/>
        <v>5.5000665152260791E-7</v>
      </c>
      <c r="Q14" s="11">
        <f t="shared" si="29"/>
        <v>5.796687081409713E-7</v>
      </c>
      <c r="R14" s="11">
        <f t="shared" si="29"/>
        <v>4.1629256910497341E-7</v>
      </c>
      <c r="S14" s="11">
        <f t="shared" si="29"/>
        <v>4.4130094828234161E-7</v>
      </c>
      <c r="T14" s="11">
        <f t="shared" si="29"/>
        <v>5.5262354273062422E-7</v>
      </c>
      <c r="U14" s="11">
        <f t="shared" si="29"/>
        <v>5.8424639464887997E-7</v>
      </c>
      <c r="V14" s="11">
        <f t="shared" si="29"/>
        <v>4.0911212317905298E-7</v>
      </c>
      <c r="W14" s="11">
        <f t="shared" si="29"/>
        <v>4.3972983571012232E-7</v>
      </c>
      <c r="X14" s="11">
        <f t="shared" si="29"/>
        <v>5.5207236915475282E-7</v>
      </c>
      <c r="Y14" s="11">
        <f t="shared" si="29"/>
        <v>5.8274496474070405E-7</v>
      </c>
      <c r="AG14" s="20"/>
    </row>
    <row r="15" spans="1:33" x14ac:dyDescent="0.2">
      <c r="E15" s="11" t="s">
        <v>86</v>
      </c>
      <c r="F15" s="11">
        <f>(F13*$W$19) + ($X$19*F12)</f>
        <v>4.888485928671501E-8</v>
      </c>
      <c r="G15" s="11">
        <f>(G13*$W$19) + ($X$19*G12)</f>
        <v>5.1075401295262793E-8</v>
      </c>
      <c r="H15" s="11">
        <f t="shared" ref="G15:Y15" si="30">(H13*$W$19) + ($X$19*H12)</f>
        <v>5.4314853616637924E-8</v>
      </c>
      <c r="I15" s="11">
        <f t="shared" si="30"/>
        <v>5.633024688495419E-8</v>
      </c>
      <c r="J15" s="11">
        <f>(J13*$W$19) + ($X$19*J12)</f>
        <v>4.9960487027600349E-8</v>
      </c>
      <c r="K15" s="11">
        <f>(K13*$W$19) + ($X$19*K12)</f>
        <v>4.3437088597938989E-8</v>
      </c>
      <c r="L15" s="11">
        <f t="shared" si="30"/>
        <v>5.1817676180639858E-8</v>
      </c>
      <c r="M15" s="11">
        <f t="shared" si="30"/>
        <v>5.4073036039057624E-8</v>
      </c>
      <c r="N15" s="11">
        <f t="shared" si="30"/>
        <v>3.9641040490347225E-8</v>
      </c>
      <c r="O15" s="11">
        <f t="shared" si="30"/>
        <v>4.5626516362772121E-8</v>
      </c>
      <c r="P15" s="11">
        <f t="shared" si="30"/>
        <v>5.3610065391478404E-8</v>
      </c>
      <c r="Q15" s="11">
        <f t="shared" si="30"/>
        <v>5.8985723960379446E-8</v>
      </c>
      <c r="R15" s="11">
        <f t="shared" si="30"/>
        <v>4.5457487073287568E-8</v>
      </c>
      <c r="S15" s="11">
        <f t="shared" si="30"/>
        <v>4.1048574964996078E-8</v>
      </c>
      <c r="T15" s="11">
        <f t="shared" si="30"/>
        <v>5.2250484837316596E-8</v>
      </c>
      <c r="U15" s="11">
        <f t="shared" si="30"/>
        <v>5.73604083529146E-8</v>
      </c>
      <c r="V15" s="11">
        <f t="shared" si="30"/>
        <v>4.0545885487892008E-8</v>
      </c>
      <c r="W15" s="11">
        <f t="shared" si="30"/>
        <v>4.5570598486100167E-8</v>
      </c>
      <c r="X15" s="11">
        <f t="shared" si="30"/>
        <v>5.3592386944864695E-8</v>
      </c>
      <c r="Y15" s="11">
        <f t="shared" si="30"/>
        <v>5.5748359808495829E-8</v>
      </c>
      <c r="AG15" s="20"/>
    </row>
    <row r="16" spans="1:33" ht="17" thickBot="1" x14ac:dyDescent="0.25">
      <c r="AG16" s="20"/>
    </row>
    <row r="17" spans="1:33" x14ac:dyDescent="0.2">
      <c r="D17" s="22" t="s">
        <v>21</v>
      </c>
      <c r="E17" s="23">
        <v>0.14899999999999999</v>
      </c>
      <c r="F17" s="22" t="s">
        <v>21</v>
      </c>
      <c r="G17" s="23">
        <v>0.17899999999999999</v>
      </c>
      <c r="H17" s="22" t="s">
        <v>21</v>
      </c>
      <c r="I17" s="23">
        <v>0.20899999999999999</v>
      </c>
      <c r="J17" s="22" t="s">
        <v>21</v>
      </c>
      <c r="K17" s="23">
        <v>0.23899999999999999</v>
      </c>
      <c r="L17" s="22" t="s">
        <v>21</v>
      </c>
      <c r="M17" s="23">
        <v>0.26900000000000002</v>
      </c>
      <c r="Q17" s="51"/>
      <c r="R17" s="51"/>
      <c r="S17" s="51" t="s">
        <v>83</v>
      </c>
      <c r="T17" s="51"/>
      <c r="U17" s="51"/>
      <c r="W17" s="51"/>
      <c r="X17" s="51" t="s">
        <v>84</v>
      </c>
      <c r="Y17" s="51"/>
      <c r="AA17" s="11" t="s">
        <v>36</v>
      </c>
      <c r="AB17" s="11" t="s">
        <v>23</v>
      </c>
      <c r="AC17" s="11" t="s">
        <v>24</v>
      </c>
      <c r="AD17" s="11" t="s">
        <v>25</v>
      </c>
      <c r="AE17" s="11" t="s">
        <v>26</v>
      </c>
      <c r="AG17" s="20"/>
    </row>
    <row r="18" spans="1:33" x14ac:dyDescent="0.2">
      <c r="A18" s="21" t="s">
        <v>36</v>
      </c>
      <c r="B18" s="21" t="s">
        <v>37</v>
      </c>
      <c r="C18" s="13" t="s">
        <v>38</v>
      </c>
      <c r="D18" s="11" t="s">
        <v>39</v>
      </c>
      <c r="E18" s="11" t="s">
        <v>40</v>
      </c>
      <c r="F18" s="11" t="s">
        <v>39</v>
      </c>
      <c r="G18" s="11" t="s">
        <v>40</v>
      </c>
      <c r="H18" s="11" t="s">
        <v>39</v>
      </c>
      <c r="I18" s="11" t="s">
        <v>40</v>
      </c>
      <c r="J18" s="11" t="s">
        <v>39</v>
      </c>
      <c r="K18" s="11" t="s">
        <v>40</v>
      </c>
      <c r="L18" s="11" t="s">
        <v>39</v>
      </c>
      <c r="M18" s="11" t="s">
        <v>40</v>
      </c>
      <c r="O18" s="50"/>
      <c r="Q18" s="11" t="s">
        <v>21</v>
      </c>
      <c r="R18" s="11" t="s">
        <v>76</v>
      </c>
      <c r="S18" s="11" t="s">
        <v>77</v>
      </c>
      <c r="T18" s="11" t="s">
        <v>78</v>
      </c>
      <c r="U18" s="11" t="s">
        <v>79</v>
      </c>
      <c r="W18" s="11" t="s">
        <v>80</v>
      </c>
      <c r="X18" s="11" t="s">
        <v>81</v>
      </c>
      <c r="Y18" s="11" t="s">
        <v>82</v>
      </c>
      <c r="AA18" s="11" t="s">
        <v>87</v>
      </c>
      <c r="AB18" s="11">
        <f>AVERAGE(F14,J14,N14,R14,V14)</f>
        <v>4.1206091465244606E-7</v>
      </c>
      <c r="AC18" s="11">
        <f>AVERAGE(G14,K14,O14,S14,W14)</f>
        <v>4.4066880770368088E-7</v>
      </c>
      <c r="AD18" s="11">
        <f>AVERAGE(H14,L14,P14,T14,X14)</f>
        <v>5.5214099554899141E-7</v>
      </c>
      <c r="AE18" s="11">
        <f>AVERAGE(I14,M14,Q14,U14,Y14)</f>
        <v>5.8221520782590002E-7</v>
      </c>
      <c r="AG18" s="20"/>
    </row>
    <row r="19" spans="1:33" x14ac:dyDescent="0.2">
      <c r="A19" s="11" t="s">
        <v>23</v>
      </c>
      <c r="B19" s="11">
        <v>4046.6</v>
      </c>
      <c r="C19" s="11">
        <f>B19*(10^(-10))</f>
        <v>4.0466000000000002E-7</v>
      </c>
      <c r="D19">
        <v>0.25017279451653179</v>
      </c>
      <c r="E19">
        <v>9.3791801911535574E-3</v>
      </c>
      <c r="F19">
        <v>0.24889603134148708</v>
      </c>
      <c r="G19">
        <v>1.0392242140464678E-2</v>
      </c>
      <c r="H19">
        <v>0.24580804714687354</v>
      </c>
      <c r="I19">
        <v>4.5959253998314091E-3</v>
      </c>
      <c r="J19">
        <v>0.25110271035450743</v>
      </c>
      <c r="K19">
        <v>7.8324135837642608E-3</v>
      </c>
      <c r="L19">
        <v>0.24677155105125803</v>
      </c>
      <c r="M19">
        <v>5.3138281744118795E-3</v>
      </c>
      <c r="O19" s="50"/>
      <c r="Q19" s="11">
        <v>0.14900000000000002</v>
      </c>
      <c r="R19" s="11">
        <v>1.6837711748243387E-6</v>
      </c>
      <c r="S19" s="11">
        <v>1.5170955604869447E-7</v>
      </c>
      <c r="T19" s="11">
        <v>-1.6634237930376759E-8</v>
      </c>
      <c r="U19" s="11">
        <v>4.884693316313291E-8</v>
      </c>
      <c r="W19" s="11">
        <f>AVERAGE(R19:R23)</f>
        <v>1.6578577288841309E-6</v>
      </c>
      <c r="X19" s="11">
        <f>AVERAGE(S19:S23)</f>
        <v>1.2442490189000101E-7</v>
      </c>
      <c r="Y19" s="11">
        <f>(X19/W19)*100</f>
        <v>7.5051616144256723</v>
      </c>
      <c r="AA19" s="11" t="s">
        <v>88</v>
      </c>
      <c r="AB19" s="11">
        <f>AVERAGE(F15,J15,N15,R15,V15)</f>
        <v>4.4897951873168437E-8</v>
      </c>
      <c r="AC19" s="11">
        <f t="shared" ref="AC19:AE19" si="31">AVERAGE(G15,K15,O15,S15,W15)</f>
        <v>4.5351635941414031E-8</v>
      </c>
      <c r="AD19" s="11">
        <f t="shared" si="31"/>
        <v>5.3117093394187493E-8</v>
      </c>
      <c r="AE19" s="11">
        <f t="shared" si="31"/>
        <v>5.649955500916034E-8</v>
      </c>
      <c r="AG19" s="20"/>
    </row>
    <row r="20" spans="1:33" x14ac:dyDescent="0.2">
      <c r="A20" s="11" t="s">
        <v>24</v>
      </c>
      <c r="B20" s="11">
        <v>4358.3999999999996</v>
      </c>
      <c r="C20" s="11">
        <f t="shared" ref="C20:C22" si="32">B20*(10^(-10))</f>
        <v>4.3583999999999996E-7</v>
      </c>
      <c r="D20">
        <v>0.26831070929742873</v>
      </c>
      <c r="E20">
        <v>9.2582862798750026E-3</v>
      </c>
      <c r="F20">
        <v>0.26402916292233414</v>
      </c>
      <c r="G20">
        <v>5.2673808373464972E-3</v>
      </c>
      <c r="H20">
        <v>0.26526370466615107</v>
      </c>
      <c r="I20">
        <v>6.6887643943310988E-3</v>
      </c>
      <c r="J20">
        <v>0.26618746626670553</v>
      </c>
      <c r="K20">
        <v>4.003955719488219E-3</v>
      </c>
      <c r="L20">
        <v>0.26523978991013614</v>
      </c>
      <c r="M20">
        <v>6.9200531108797973E-3</v>
      </c>
      <c r="O20" s="50"/>
      <c r="Q20" s="11">
        <v>0.17900000000000002</v>
      </c>
      <c r="R20" s="11">
        <v>1.6481325683018647E-6</v>
      </c>
      <c r="S20" s="11">
        <v>1.190502942874207E-7</v>
      </c>
      <c r="T20" s="11">
        <v>-8.1357752636451324E-10</v>
      </c>
      <c r="U20" s="11">
        <v>3.7514246315938664E-8</v>
      </c>
      <c r="AG20" s="20"/>
    </row>
    <row r="21" spans="1:33" x14ac:dyDescent="0.2">
      <c r="A21" s="11" t="s">
        <v>25</v>
      </c>
      <c r="B21" s="11">
        <v>5460.7</v>
      </c>
      <c r="C21" s="11">
        <f t="shared" si="32"/>
        <v>5.4606999999999997E-7</v>
      </c>
      <c r="D21">
        <v>0.33513441179683684</v>
      </c>
      <c r="E21">
        <v>5.9288436144799292E-3</v>
      </c>
      <c r="F21">
        <v>0.33199304737386004</v>
      </c>
      <c r="G21">
        <v>5.002067428759146E-3</v>
      </c>
      <c r="H21">
        <v>0.33175744935170387</v>
      </c>
      <c r="I21">
        <v>6.3383402626469741E-3</v>
      </c>
      <c r="J21">
        <v>0.33333592690283714</v>
      </c>
      <c r="K21">
        <v>5.5740000805099901E-3</v>
      </c>
      <c r="L21">
        <v>0.3330034655786423</v>
      </c>
      <c r="M21">
        <v>6.5471822446473166E-3</v>
      </c>
      <c r="O21" s="50"/>
      <c r="Q21" s="11">
        <v>0.20900000000000002</v>
      </c>
      <c r="R21" s="11">
        <v>1.6542646658831229E-6</v>
      </c>
      <c r="S21" s="11">
        <v>1.1794815487094762E-7</v>
      </c>
      <c r="T21" s="11">
        <v>-2.2805642099677918E-9</v>
      </c>
      <c r="U21" s="11">
        <v>3.3805308973343727E-8</v>
      </c>
      <c r="AG21" s="20"/>
    </row>
    <row r="22" spans="1:33" x14ac:dyDescent="0.2">
      <c r="A22" s="11" t="s">
        <v>26</v>
      </c>
      <c r="B22" s="11">
        <v>5769.7</v>
      </c>
      <c r="C22" s="11">
        <f t="shared" si="32"/>
        <v>5.7696999999999996E-7</v>
      </c>
      <c r="D22">
        <v>0.35181182382001247</v>
      </c>
      <c r="E22">
        <v>5.834098002235652E-3</v>
      </c>
      <c r="F22">
        <v>0.35054999608276588</v>
      </c>
      <c r="G22">
        <v>4.9174481103194294E-3</v>
      </c>
      <c r="H22">
        <v>0.34964924796721497</v>
      </c>
      <c r="I22">
        <v>8.1968878345948671E-3</v>
      </c>
      <c r="J22">
        <v>0.35241045384643704</v>
      </c>
      <c r="K22">
        <v>7.1885461343099604E-3</v>
      </c>
      <c r="L22">
        <v>0.35150480924134392</v>
      </c>
      <c r="M22">
        <v>6.4295572895623661E-3</v>
      </c>
      <c r="O22" s="50"/>
      <c r="Q22" s="11">
        <v>0.23899999999999999</v>
      </c>
      <c r="R22" s="11">
        <v>1.6621384058474976E-6</v>
      </c>
      <c r="S22" s="11">
        <v>1.2072868520223154E-7</v>
      </c>
      <c r="T22" s="11">
        <v>-8.030675928420811E-9</v>
      </c>
      <c r="U22" s="11">
        <v>3.5764255057204589E-8</v>
      </c>
    </row>
    <row r="23" spans="1:33" x14ac:dyDescent="0.2">
      <c r="O23" s="50"/>
      <c r="Q23" s="11">
        <v>0.26900000000000002</v>
      </c>
      <c r="R23" s="11">
        <v>1.640981829563831E-6</v>
      </c>
      <c r="S23" s="11">
        <v>1.1268781904071067E-7</v>
      </c>
      <c r="T23" s="11">
        <v>-2.9583292006728788E-11</v>
      </c>
      <c r="U23" s="11">
        <v>3.3548619208157353E-8</v>
      </c>
    </row>
    <row r="25" spans="1:33" x14ac:dyDescent="0.2">
      <c r="A25" s="18" t="s">
        <v>4</v>
      </c>
      <c r="B25" s="18"/>
      <c r="C25" s="18"/>
      <c r="D25" s="18"/>
      <c r="E25" s="18"/>
      <c r="F25" s="18"/>
      <c r="G25" s="18"/>
    </row>
    <row r="26" spans="1:33" ht="17" thickBot="1" x14ac:dyDescent="0.25"/>
    <row r="27" spans="1:33" ht="17" thickBot="1" x14ac:dyDescent="0.25">
      <c r="E27" s="12" t="s">
        <v>21</v>
      </c>
      <c r="F27" s="15">
        <v>0.124</v>
      </c>
      <c r="G27" s="16"/>
      <c r="H27" s="16"/>
      <c r="I27" s="16"/>
      <c r="J27" s="17"/>
      <c r="K27" s="15">
        <v>0.14899999999999999</v>
      </c>
      <c r="L27" s="16"/>
      <c r="M27" s="16"/>
      <c r="N27" s="16"/>
      <c r="O27" s="17"/>
      <c r="P27" s="15">
        <v>0.19900000000000001</v>
      </c>
      <c r="Q27" s="16"/>
      <c r="R27" s="16"/>
      <c r="S27" s="16"/>
      <c r="T27" s="17"/>
      <c r="U27" s="15">
        <v>0.249</v>
      </c>
      <c r="V27" s="16"/>
      <c r="W27" s="16"/>
      <c r="X27" s="16"/>
      <c r="Y27" s="17"/>
      <c r="Z27" s="15">
        <v>0.29899999999999999</v>
      </c>
      <c r="AA27" s="16"/>
      <c r="AB27" s="16"/>
      <c r="AC27" s="16"/>
      <c r="AD27" s="17"/>
    </row>
    <row r="28" spans="1:33" x14ac:dyDescent="0.2">
      <c r="A28" s="10" t="s">
        <v>20</v>
      </c>
      <c r="B28" s="11" t="s">
        <v>21</v>
      </c>
      <c r="F28" s="14" t="s">
        <v>30</v>
      </c>
      <c r="G28" s="14" t="s">
        <v>31</v>
      </c>
      <c r="H28" s="14" t="s">
        <v>32</v>
      </c>
      <c r="I28" s="14" t="s">
        <v>33</v>
      </c>
      <c r="J28" s="14" t="s">
        <v>34</v>
      </c>
      <c r="K28" s="14" t="s">
        <v>30</v>
      </c>
      <c r="L28" s="14" t="s">
        <v>31</v>
      </c>
      <c r="M28" s="14" t="s">
        <v>32</v>
      </c>
      <c r="N28" s="14" t="s">
        <v>33</v>
      </c>
      <c r="O28" s="14" t="s">
        <v>34</v>
      </c>
      <c r="P28" s="14" t="s">
        <v>30</v>
      </c>
      <c r="Q28" s="14" t="s">
        <v>31</v>
      </c>
      <c r="R28" s="14" t="s">
        <v>32</v>
      </c>
      <c r="S28" s="14" t="s">
        <v>33</v>
      </c>
      <c r="T28" s="14" t="s">
        <v>34</v>
      </c>
      <c r="U28" s="14" t="s">
        <v>30</v>
      </c>
      <c r="V28" s="14" t="s">
        <v>31</v>
      </c>
      <c r="W28" s="14" t="s">
        <v>32</v>
      </c>
      <c r="X28" s="14" t="s">
        <v>33</v>
      </c>
      <c r="Y28" s="14" t="s">
        <v>34</v>
      </c>
      <c r="Z28" s="14" t="s">
        <v>30</v>
      </c>
      <c r="AA28" s="14" t="s">
        <v>31</v>
      </c>
      <c r="AB28" s="14" t="s">
        <v>32</v>
      </c>
      <c r="AC28" s="14" t="s">
        <v>33</v>
      </c>
      <c r="AD28" s="14" t="s">
        <v>34</v>
      </c>
    </row>
    <row r="29" spans="1:33" x14ac:dyDescent="0.2">
      <c r="A29" s="11">
        <v>0.17499999999999999</v>
      </c>
      <c r="B29" s="11">
        <f>A29-0.051</f>
        <v>0.124</v>
      </c>
      <c r="E29" s="11" t="s">
        <v>29</v>
      </c>
      <c r="F29">
        <v>4.4999999999999998E-2</v>
      </c>
      <c r="G29">
        <v>4.5999999999999999E-2</v>
      </c>
      <c r="H29">
        <v>4.8000000000000001E-2</v>
      </c>
      <c r="I29">
        <v>4.9000000000000002E-2</v>
      </c>
      <c r="J29">
        <v>5.0999999999999997E-2</v>
      </c>
      <c r="K29">
        <v>5.6000000000000001E-2</v>
      </c>
      <c r="L29">
        <v>5.8000000000000003E-2</v>
      </c>
      <c r="M29">
        <v>5.8999999999999997E-2</v>
      </c>
      <c r="N29">
        <v>0.06</v>
      </c>
      <c r="O29">
        <v>6.3E-2</v>
      </c>
      <c r="P29">
        <v>7.4999999999999997E-2</v>
      </c>
      <c r="Q29">
        <v>7.5999999999999998E-2</v>
      </c>
      <c r="R29">
        <v>7.8E-2</v>
      </c>
      <c r="S29">
        <v>7.9000000000000001E-2</v>
      </c>
      <c r="T29">
        <v>8.3000000000000004E-2</v>
      </c>
      <c r="U29">
        <v>9.4E-2</v>
      </c>
      <c r="V29">
        <v>9.6000000000000002E-2</v>
      </c>
      <c r="W29">
        <v>9.8000000000000004E-2</v>
      </c>
      <c r="X29">
        <v>0.1</v>
      </c>
      <c r="Y29">
        <v>0.105</v>
      </c>
      <c r="Z29">
        <v>0.112</v>
      </c>
      <c r="AA29">
        <v>0.114</v>
      </c>
      <c r="AB29">
        <v>0.11700000000000001</v>
      </c>
      <c r="AC29">
        <v>0.11899999999999999</v>
      </c>
      <c r="AD29">
        <v>0.125</v>
      </c>
    </row>
    <row r="30" spans="1:33" x14ac:dyDescent="0.2">
      <c r="A30" s="11">
        <v>0.2</v>
      </c>
      <c r="B30" s="11">
        <f t="shared" ref="B30:B33" si="33">A30-0.051</f>
        <v>0.14900000000000002</v>
      </c>
      <c r="E30" s="11" t="s">
        <v>28</v>
      </c>
      <c r="F30">
        <v>4.3999999999999997E-2</v>
      </c>
      <c r="G30">
        <v>4.4999999999999998E-2</v>
      </c>
      <c r="H30">
        <v>4.5999999999999999E-2</v>
      </c>
      <c r="I30">
        <v>4.8000000000000001E-2</v>
      </c>
      <c r="J30">
        <v>4.9000000000000002E-2</v>
      </c>
      <c r="K30">
        <v>5.5E-2</v>
      </c>
      <c r="L30">
        <v>5.7000000000000002E-2</v>
      </c>
      <c r="M30">
        <v>5.8000000000000003E-2</v>
      </c>
      <c r="N30">
        <v>5.8999999999999997E-2</v>
      </c>
      <c r="O30">
        <v>6.2E-2</v>
      </c>
      <c r="P30">
        <v>7.3999999999999996E-2</v>
      </c>
      <c r="Q30">
        <v>7.4999999999999997E-2</v>
      </c>
      <c r="R30">
        <v>7.6999999999999999E-2</v>
      </c>
      <c r="S30">
        <v>7.8E-2</v>
      </c>
      <c r="T30">
        <v>8.2000000000000003E-2</v>
      </c>
      <c r="U30">
        <v>9.0999999999999998E-2</v>
      </c>
      <c r="V30">
        <v>9.2999999999999999E-2</v>
      </c>
      <c r="W30">
        <v>9.5000000000000001E-2</v>
      </c>
      <c r="X30">
        <v>9.6000000000000002E-2</v>
      </c>
      <c r="Y30">
        <v>0.10100000000000001</v>
      </c>
      <c r="Z30">
        <v>0.109</v>
      </c>
      <c r="AA30">
        <v>0.111</v>
      </c>
      <c r="AB30">
        <v>0.114</v>
      </c>
      <c r="AC30">
        <v>0.11600000000000001</v>
      </c>
      <c r="AD30">
        <v>0.121</v>
      </c>
    </row>
    <row r="31" spans="1:33" x14ac:dyDescent="0.2">
      <c r="A31" s="11">
        <v>0.25</v>
      </c>
      <c r="B31" s="11">
        <f t="shared" si="33"/>
        <v>0.19900000000000001</v>
      </c>
      <c r="E31" s="11" t="s">
        <v>22</v>
      </c>
      <c r="F31" s="11">
        <f>(F29+F30)/2</f>
        <v>4.4499999999999998E-2</v>
      </c>
      <c r="G31" s="11">
        <f t="shared" ref="G31" si="34">(G29+G30)/2</f>
        <v>4.5499999999999999E-2</v>
      </c>
      <c r="H31" s="11">
        <f t="shared" ref="H31" si="35">(H29+H30)/2</f>
        <v>4.7E-2</v>
      </c>
      <c r="I31" s="13">
        <f t="shared" ref="I31:J31" si="36">(I29+I30)/2</f>
        <v>4.8500000000000001E-2</v>
      </c>
      <c r="J31" s="13">
        <f t="shared" si="36"/>
        <v>0.05</v>
      </c>
      <c r="K31" s="11">
        <f>(K29+K30)/2</f>
        <v>5.5500000000000001E-2</v>
      </c>
      <c r="L31" s="11">
        <f t="shared" ref="L31" si="37">(L29+L30)/2</f>
        <v>5.7500000000000002E-2</v>
      </c>
      <c r="M31" s="11">
        <f t="shared" ref="M31" si="38">(M29+M30)/2</f>
        <v>5.8499999999999996E-2</v>
      </c>
      <c r="N31" s="13">
        <f t="shared" ref="N31" si="39">(N29+N30)/2</f>
        <v>5.9499999999999997E-2</v>
      </c>
      <c r="O31" s="13">
        <f t="shared" ref="O31" si="40">(O29+O30)/2</f>
        <v>6.25E-2</v>
      </c>
      <c r="P31" s="11">
        <f>(P29+P30)/2</f>
        <v>7.4499999999999997E-2</v>
      </c>
      <c r="Q31" s="11">
        <f t="shared" ref="Q31" si="41">(Q29+Q30)/2</f>
        <v>7.5499999999999998E-2</v>
      </c>
      <c r="R31" s="11">
        <f t="shared" ref="R31" si="42">(R29+R30)/2</f>
        <v>7.7499999999999999E-2</v>
      </c>
      <c r="S31" s="13">
        <f t="shared" ref="S31" si="43">(S29+S30)/2</f>
        <v>7.85E-2</v>
      </c>
      <c r="T31" s="13">
        <f t="shared" ref="T31" si="44">(T29+T30)/2</f>
        <v>8.2500000000000004E-2</v>
      </c>
      <c r="U31" s="11">
        <f>(U29+U30)/2</f>
        <v>9.2499999999999999E-2</v>
      </c>
      <c r="V31" s="11">
        <f t="shared" ref="V31" si="45">(V29+V30)/2</f>
        <v>9.4500000000000001E-2</v>
      </c>
      <c r="W31" s="11">
        <f t="shared" ref="W31" si="46">(W29+W30)/2</f>
        <v>9.6500000000000002E-2</v>
      </c>
      <c r="X31" s="13">
        <f t="shared" ref="X31" si="47">(X29+X30)/2</f>
        <v>9.8000000000000004E-2</v>
      </c>
      <c r="Y31" s="13">
        <f t="shared" ref="Y31" si="48">(Y29+Y30)/2</f>
        <v>0.10300000000000001</v>
      </c>
      <c r="Z31" s="11">
        <f>(Z29+Z30)/2</f>
        <v>0.1105</v>
      </c>
      <c r="AA31" s="11">
        <f t="shared" ref="AA31" si="49">(AA29+AA30)/2</f>
        <v>0.1125</v>
      </c>
      <c r="AB31" s="11">
        <f t="shared" ref="AB31" si="50">(AB29+AB30)/2</f>
        <v>0.11550000000000001</v>
      </c>
      <c r="AC31" s="13">
        <f t="shared" ref="AC31" si="51">(AC29+AC30)/2</f>
        <v>0.11749999999999999</v>
      </c>
      <c r="AD31" s="13">
        <f t="shared" ref="AD31" si="52">(AD29+AD30)/2</f>
        <v>0.123</v>
      </c>
    </row>
    <row r="32" spans="1:33" x14ac:dyDescent="0.2">
      <c r="A32" s="11">
        <v>0.3</v>
      </c>
      <c r="B32" s="11">
        <f t="shared" si="33"/>
        <v>0.249</v>
      </c>
      <c r="E32" s="11" t="s">
        <v>27</v>
      </c>
      <c r="F32" s="11">
        <f>STDEV(F29:F30)/SQRT(2)</f>
        <v>5.0000000000000044E-4</v>
      </c>
      <c r="G32" s="11">
        <f t="shared" ref="G32" si="53">STDEV(G29:G30)/SQRT(2)</f>
        <v>5.0000000000000044E-4</v>
      </c>
      <c r="H32" s="11">
        <f>STDEV(H29:H30)/SQRT(2)</f>
        <v>1.0000000000000009E-3</v>
      </c>
      <c r="I32" s="13">
        <f t="shared" ref="I32:J32" si="54">STDEV(I29:I30)/SQRT(2)</f>
        <v>5.0000000000000044E-4</v>
      </c>
      <c r="J32" s="13">
        <f t="shared" si="54"/>
        <v>9.999999999999972E-4</v>
      </c>
      <c r="K32" s="11">
        <f>STDEV(K29:K30)/SQRT(2)</f>
        <v>5.0000000000000044E-4</v>
      </c>
      <c r="L32" s="11">
        <f t="shared" ref="L32" si="55">STDEV(L29:L30)/SQRT(2)</f>
        <v>5.0000000000000044E-4</v>
      </c>
      <c r="M32" s="11">
        <f>STDEV(M29:M30)/SQRT(2)</f>
        <v>4.9999999999999697E-4</v>
      </c>
      <c r="N32" s="13">
        <f t="shared" ref="N32:O32" si="56">STDEV(N29:N30)/SQRT(2)</f>
        <v>5.0000000000000044E-4</v>
      </c>
      <c r="O32" s="13">
        <f t="shared" si="56"/>
        <v>5.0000000000000044E-4</v>
      </c>
      <c r="P32" s="11">
        <f>STDEV(P29:P30)/SQRT(2)</f>
        <v>5.0000000000000044E-4</v>
      </c>
      <c r="Q32" s="11">
        <f t="shared" ref="Q32" si="57">STDEV(Q29:Q30)/SQRT(2)</f>
        <v>5.0000000000000044E-4</v>
      </c>
      <c r="R32" s="11">
        <f>STDEV(R29:R30)/SQRT(2)</f>
        <v>5.0000000000000044E-4</v>
      </c>
      <c r="S32" s="13">
        <f t="shared" ref="S32:T32" si="58">STDEV(S29:S30)/SQRT(2)</f>
        <v>5.0000000000000044E-4</v>
      </c>
      <c r="T32" s="13">
        <f t="shared" si="58"/>
        <v>5.0000000000000044E-4</v>
      </c>
      <c r="U32" s="11">
        <f>STDEV(U29:U30)/SQRT(2)</f>
        <v>1.5000000000000013E-3</v>
      </c>
      <c r="V32" s="11">
        <f t="shared" ref="V32" si="59">STDEV(V29:V30)/SQRT(2)</f>
        <v>1.5000000000000013E-3</v>
      </c>
      <c r="W32" s="11">
        <f>STDEV(W29:W30)/SQRT(2)</f>
        <v>1.5000000000000013E-3</v>
      </c>
      <c r="X32" s="13">
        <f t="shared" ref="X32:Y32" si="60">STDEV(X29:X30)/SQRT(2)</f>
        <v>2.0000000000000018E-3</v>
      </c>
      <c r="Y32" s="13">
        <f t="shared" si="60"/>
        <v>1.9999999999999944E-3</v>
      </c>
      <c r="Z32" s="11">
        <f>STDEV(Z29:Z30)/SQRT(2)</f>
        <v>1.5000000000000013E-3</v>
      </c>
      <c r="AA32" s="11">
        <f t="shared" ref="AA32" si="61">STDEV(AA29:AA30)/SQRT(2)</f>
        <v>1.5000000000000013E-3</v>
      </c>
      <c r="AB32" s="11">
        <f>STDEV(AB29:AB30)/SQRT(2)</f>
        <v>1.5000000000000013E-3</v>
      </c>
      <c r="AC32" s="13">
        <f t="shared" ref="AC32:AD32" si="62">STDEV(AC29:AC30)/SQRT(2)</f>
        <v>1.4999999999999942E-3</v>
      </c>
      <c r="AD32" s="13">
        <f t="shared" si="62"/>
        <v>2.0000000000000018E-3</v>
      </c>
    </row>
    <row r="33" spans="1:30" x14ac:dyDescent="0.2">
      <c r="A33" s="11">
        <v>0.35</v>
      </c>
      <c r="B33" s="11">
        <f t="shared" si="33"/>
        <v>0.29899999999999999</v>
      </c>
    </row>
    <row r="34" spans="1:30" x14ac:dyDescent="0.2">
      <c r="E34" s="11" t="s">
        <v>39</v>
      </c>
      <c r="F34" s="11">
        <f>F31/(SQRT((F31^2)+($F$27^2)))</f>
        <v>0.33777854641317401</v>
      </c>
      <c r="G34" s="11">
        <f t="shared" ref="G34:J34" si="63">G31/(SQRT((G31^2)+($F$27^2)))</f>
        <v>0.34447709567089818</v>
      </c>
      <c r="H34" s="11">
        <f t="shared" si="63"/>
        <v>0.35442689626192081</v>
      </c>
      <c r="I34" s="11">
        <f t="shared" si="63"/>
        <v>0.36425775355671847</v>
      </c>
      <c r="J34" s="11">
        <f t="shared" si="63"/>
        <v>0.37396833549694042</v>
      </c>
      <c r="K34" s="11">
        <f>K31/(SQRT((K31^2)+($K$27^2)))</f>
        <v>0.34905487790230327</v>
      </c>
      <c r="L34" s="11">
        <f>L31/(SQRT((L31^2)+($K$27^2)))</f>
        <v>0.36002779059005663</v>
      </c>
      <c r="M34" s="11">
        <f t="shared" ref="M34:O34" si="64">M31/(SQRT((M31^2)+($K$27^2)))</f>
        <v>0.36545908212301215</v>
      </c>
      <c r="N34" s="11">
        <f t="shared" si="64"/>
        <v>0.37085330135528094</v>
      </c>
      <c r="O34" s="11">
        <f t="shared" si="64"/>
        <v>0.38681156777030445</v>
      </c>
      <c r="P34" s="11">
        <f>P31/(SQRT((P31^2)+($P$27^2)))</f>
        <v>0.35060764663543664</v>
      </c>
      <c r="Q34" s="11">
        <f t="shared" ref="Q34:T34" si="65">Q31/(SQRT((Q31^2)+($P$27^2)))</f>
        <v>0.35472505015422906</v>
      </c>
      <c r="R34" s="11">
        <f t="shared" si="65"/>
        <v>0.36289815432288214</v>
      </c>
      <c r="S34" s="11">
        <f t="shared" si="65"/>
        <v>0.36695366278472913</v>
      </c>
      <c r="T34" s="11">
        <f t="shared" si="65"/>
        <v>0.38296671688404327</v>
      </c>
      <c r="U34" s="11">
        <f>U31/(SQRT((U31^2)+($U$27^2)))</f>
        <v>0.34823379032930113</v>
      </c>
      <c r="V34" s="11">
        <f t="shared" ref="V34:Y34" si="66">V31/(SQRT((V31^2)+($U$27^2)))</f>
        <v>0.354824011732776</v>
      </c>
      <c r="W34" s="11">
        <f t="shared" si="66"/>
        <v>0.36136176494473959</v>
      </c>
      <c r="X34" s="11">
        <f t="shared" si="66"/>
        <v>0.36623040829709264</v>
      </c>
      <c r="Y34" s="11">
        <f t="shared" si="66"/>
        <v>0.38224252946135917</v>
      </c>
      <c r="Z34" s="11">
        <f>Z31/(SQRT((Z31^2)+($Z$27^2)))</f>
        <v>0.34665014087162893</v>
      </c>
      <c r="AA34" s="11">
        <f t="shared" ref="AA34:AC34" si="67">AA31/(SQRT((AA31^2)+($Z$27^2)))</f>
        <v>0.35215235052982502</v>
      </c>
      <c r="AB34" s="11">
        <f t="shared" si="67"/>
        <v>0.3603375833755329</v>
      </c>
      <c r="AC34" s="11">
        <f t="shared" si="67"/>
        <v>0.36574867668820782</v>
      </c>
      <c r="AD34" s="11">
        <f>AD31/(SQRT((AD31^2)+($Z$27^2)))</f>
        <v>0.38043865380668912</v>
      </c>
    </row>
    <row r="35" spans="1:30" x14ac:dyDescent="0.2">
      <c r="E35" s="11" t="s">
        <v>40</v>
      </c>
      <c r="F35" s="11">
        <f>($C$7*F31*$F$27)/(((F31^2)+($F$27^2))^1.5) + (F32*($F$27^2))/(((F31^2)+($F$27^2))^(1.5))</f>
        <v>5.775471529208067E-3</v>
      </c>
      <c r="G35" s="11">
        <f t="shared" ref="G35:J35" si="68">($C$7*G31*$F$27)/(((G31^2)+($F$27^2))^1.5) + (G32*($F$27^2))/(((G31^2)+($F$27^2))^(1.5))</f>
        <v>5.7846490015793558E-3</v>
      </c>
      <c r="H35" s="11">
        <f t="shared" si="68"/>
        <v>9.0929381403853371E-3</v>
      </c>
      <c r="I35" s="11">
        <f t="shared" si="68"/>
        <v>5.8047719448694711E-3</v>
      </c>
      <c r="J35" s="11">
        <f t="shared" si="68"/>
        <v>9.0274567091988972E-3</v>
      </c>
      <c r="K35" s="11">
        <f>($C$7*K31*$K$27)/(((K31^2)+($K$27^2))^1.5) + (K32*($K$27^2))/(((K31^2)+($K$27^2))^(1.5))</f>
        <v>4.8187212668061724E-3</v>
      </c>
      <c r="L35" s="11">
        <f t="shared" ref="L35:O35" si="69">($C$7*L31*$K$27)/(((L31^2)+($K$27^2))^1.5) + (L32*($K$27^2))/(((L31^2)+($K$27^2))^(1.5))</f>
        <v>4.8279719860211869E-3</v>
      </c>
      <c r="M35" s="11">
        <f t="shared" si="69"/>
        <v>4.8315512265089183E-3</v>
      </c>
      <c r="N35" s="11">
        <f t="shared" si="69"/>
        <v>4.8344449361210143E-3</v>
      </c>
      <c r="O35" s="11">
        <f t="shared" si="69"/>
        <v>4.8391060922281593E-3</v>
      </c>
      <c r="P35" s="11">
        <f>($C$7*P31*$P$27)/(((P31^2)+($P$27^2))^1.5) + (P32*($P$27^2))/(((P31^2)+($P$27^2))^(1.5))</f>
        <v>3.6090895451952798E-3</v>
      </c>
      <c r="Q35" s="11">
        <f t="shared" ref="Q35:T35" si="70">($C$7*Q31*$P$27)/(((Q31^2)+($P$27^2))^1.5) + (Q32*($P$27^2))/(((Q31^2)+($P$27^2))^(1.5))</f>
        <v>3.6118179045674286E-3</v>
      </c>
      <c r="R35" s="11">
        <f t="shared" si="70"/>
        <v>3.6163921135812299E-3</v>
      </c>
      <c r="S35" s="11">
        <f t="shared" si="70"/>
        <v>3.6182434910443911E-3</v>
      </c>
      <c r="T35" s="11">
        <f t="shared" si="70"/>
        <v>3.6228113004433647E-3</v>
      </c>
      <c r="U35" s="11">
        <f>($C$7*U31*$U$27)/(((U31^2)+($U$27^2))^1.5) + (U32*($U$27^2))/(((U31^2)+($U$27^2))^(1.5))</f>
        <v>6.1911709422961658E-3</v>
      </c>
      <c r="V35" s="11">
        <f t="shared" ref="V35:Y35" si="71">($C$7*V31*$U$27)/(((V31^2)+($U$27^2))^1.5) + (V32*($U$27^2))/(((V31^2)+($U$27^2))^(1.5))</f>
        <v>6.1686308307134941E-3</v>
      </c>
      <c r="W35" s="11">
        <f t="shared" si="71"/>
        <v>6.1452826253349854E-3</v>
      </c>
      <c r="X35" s="11">
        <f t="shared" si="71"/>
        <v>7.7451633768765155E-3</v>
      </c>
      <c r="Y35" s="11">
        <f t="shared" si="71"/>
        <v>7.6485509486594544E-3</v>
      </c>
      <c r="Z35" s="11">
        <f>($C$7*Z31*$Z$27)/(((Z31^2)+($Z$27^2))^1.5) + (Z32*($Z$27^2))/(((Z31^2)+($Z$27^2))^(1.5))</f>
        <v>5.1602448040495002E-3</v>
      </c>
      <c r="AA35" s="11">
        <f t="shared" ref="AA35:AD35" si="72">($C$7*AA31*$Z$27)/(((AA31^2)+($Z$27^2))^1.5) + (AA32*($Z$27^2))/(((AA31^2)+($Z$27^2))^(1.5))</f>
        <v>5.144797160462811E-3</v>
      </c>
      <c r="AB35" s="11">
        <f t="shared" si="72"/>
        <v>5.1207435237918403E-3</v>
      </c>
      <c r="AC35" s="11">
        <f t="shared" si="72"/>
        <v>5.1041368517294565E-3</v>
      </c>
      <c r="AD35" s="11">
        <f t="shared" si="72"/>
        <v>6.3788887423295668E-3</v>
      </c>
    </row>
    <row r="36" spans="1:30" x14ac:dyDescent="0.2">
      <c r="E36" s="11" t="s">
        <v>85</v>
      </c>
      <c r="F36" s="11">
        <f>$W$19*F34</f>
        <v>5.5998877382232761E-7</v>
      </c>
      <c r="G36" s="11">
        <f t="shared" ref="G36:J36" si="73">$W$19*G34</f>
        <v>5.7109401548155678E-7</v>
      </c>
      <c r="H36" s="11">
        <f t="shared" si="73"/>
        <v>5.8758936929223947E-7</v>
      </c>
      <c r="I36" s="11">
        <f t="shared" si="73"/>
        <v>6.0388753203997671E-7</v>
      </c>
      <c r="J36" s="11">
        <f t="shared" si="73"/>
        <v>6.1998629536153636E-7</v>
      </c>
      <c r="K36" s="11">
        <f>$W$19*K34</f>
        <v>5.7868332713504007E-7</v>
      </c>
      <c r="L36" s="11">
        <f t="shared" ref="L36:O36" si="74">$W$19*L34</f>
        <v>5.9687485524280274E-7</v>
      </c>
      <c r="M36" s="11">
        <f t="shared" si="74"/>
        <v>6.0587916388853598E-7</v>
      </c>
      <c r="N36" s="11">
        <f t="shared" si="74"/>
        <v>6.1482201193404826E-7</v>
      </c>
      <c r="O36" s="11">
        <f t="shared" si="74"/>
        <v>6.4127854724978706E-7</v>
      </c>
      <c r="P36" s="11">
        <f>$W$19*P34</f>
        <v>5.8125759678043484E-7</v>
      </c>
      <c r="Q36" s="11">
        <f>$W$19*Q34</f>
        <v>5.8808366602699957E-7</v>
      </c>
      <c r="R36" s="11">
        <f>$W$19*R34</f>
        <v>6.0163350994197623E-7</v>
      </c>
      <c r="S36" s="11">
        <f>$W$19*S34</f>
        <v>6.083569659900043E-7</v>
      </c>
      <c r="T36" s="11">
        <f t="shared" ref="T36" si="75">$W$19*T34</f>
        <v>6.3490433149159186E-7</v>
      </c>
      <c r="U36" s="11">
        <f>$W$19*U34</f>
        <v>5.7732208075604775E-7</v>
      </c>
      <c r="V36" s="11">
        <f>$W$19*V34</f>
        <v>5.8824773024485622E-7</v>
      </c>
      <c r="W36" s="11">
        <f t="shared" ref="W36:Y36" si="76">$W$19*W34</f>
        <v>5.9908639493684713E-7</v>
      </c>
      <c r="X36" s="11">
        <f t="shared" si="76"/>
        <v>6.0715791294772599E-7</v>
      </c>
      <c r="Y36" s="11">
        <f t="shared" si="76"/>
        <v>6.3370373177573442E-7</v>
      </c>
      <c r="Z36" s="11">
        <f>$W$19*Z34</f>
        <v>5.7469661526280275E-7</v>
      </c>
      <c r="AA36" s="11">
        <f t="shared" ref="AA36:AD36" si="77">$W$19*AA34</f>
        <v>5.838184960705841E-7</v>
      </c>
      <c r="AB36" s="11">
        <f t="shared" si="77"/>
        <v>5.9738844760655713E-7</v>
      </c>
      <c r="AC36" s="11">
        <f t="shared" si="77"/>
        <v>6.0635927047668853E-7</v>
      </c>
      <c r="AD36" s="11">
        <f t="shared" si="77"/>
        <v>6.3071316257969373E-7</v>
      </c>
    </row>
    <row r="37" spans="1:30" x14ac:dyDescent="0.2">
      <c r="E37" s="11" t="s">
        <v>86</v>
      </c>
      <c r="F37" s="11">
        <f>(F35*$W$19) + ($X$19*F34)</f>
        <v>5.1602972610654169E-8</v>
      </c>
      <c r="G37" s="11">
        <f t="shared" ref="G37:J37" si="78">(G35*$W$19) + ($X$19*G34)</f>
        <v>5.2451653888354203E-8</v>
      </c>
      <c r="H37" s="11">
        <f t="shared" si="78"/>
        <v>5.9174329568870186E-8</v>
      </c>
      <c r="I37" s="11">
        <f t="shared" si="78"/>
        <v>5.4946221282178487E-8</v>
      </c>
      <c r="J37" s="11">
        <f t="shared" si="78"/>
        <v>6.1497212331686084E-8</v>
      </c>
      <c r="K37" s="11">
        <f>(K35*$W$19) + ($X$19*K34)</f>
        <v>5.1419873232733309E-8</v>
      </c>
      <c r="L37" s="11">
        <f t="shared" ref="L37:O37" si="79">(L35*$W$19) + ($X$19*L34)</f>
        <v>5.280051319370292E-8</v>
      </c>
      <c r="M37" s="11">
        <f t="shared" si="79"/>
        <v>5.3482234981333023E-8</v>
      </c>
      <c r="N37" s="11">
        <f t="shared" si="79"/>
        <v>5.4158207538926781E-8</v>
      </c>
      <c r="O37" s="11">
        <f t="shared" si="79"/>
        <v>5.6151540805628347E-8</v>
      </c>
      <c r="P37" s="11">
        <f>(P35*$W$19) + ($X$19*P34)</f>
        <v>4.9607679031235257E-8</v>
      </c>
      <c r="Q37" s="11">
        <f t="shared" ref="Q37:T37" si="80">(Q35*$W$19) + ($X$19*Q34)</f>
        <v>5.012450979177484E-8</v>
      </c>
      <c r="R37" s="11">
        <f t="shared" si="80"/>
        <v>5.114903086386332E-8</v>
      </c>
      <c r="S37" s="11">
        <f t="shared" si="80"/>
        <v>5.1656706426779075E-8</v>
      </c>
      <c r="T37" s="11">
        <f t="shared" si="80"/>
        <v>5.3656701890161677E-8</v>
      </c>
      <c r="U37" s="11">
        <f>(U35*$W$19) + ($X$19*U34)</f>
        <v>5.3593035794035019E-8</v>
      </c>
      <c r="V37" s="11">
        <f t="shared" ref="V37:Y37" si="81">(V35*$W$19) + ($X$19*V34)</f>
        <v>5.4375655147398525E-8</v>
      </c>
      <c r="W37" s="11">
        <f t="shared" si="81"/>
        <v>5.5150406446635799E-8</v>
      </c>
      <c r="X37" s="11">
        <f t="shared" si="81"/>
        <v>5.8408561587325809E-8</v>
      </c>
      <c r="Y37" s="11">
        <f t="shared" si="81"/>
        <v>6.0240698531414567E-8</v>
      </c>
      <c r="Z37" s="11">
        <f>(Z35*$W$19) + ($X$19*Z34)</f>
        <v>5.1686861499435101E-8</v>
      </c>
      <c r="AA37" s="11">
        <f t="shared" ref="AA37:AD37" si="82">(AA35*$W$19) + ($X$19*AA34)</f>
        <v>5.2345863401021122E-8</v>
      </c>
      <c r="AB37" s="11">
        <f t="shared" si="82"/>
        <v>5.3324432687332403E-8</v>
      </c>
      <c r="AC37" s="11">
        <f t="shared" si="82"/>
        <v>5.3970175942249951E-8</v>
      </c>
      <c r="AD37" s="11">
        <f t="shared" si="82"/>
        <v>5.7911332178224402E-8</v>
      </c>
    </row>
    <row r="40" spans="1:30" x14ac:dyDescent="0.2">
      <c r="E40" s="11" t="s">
        <v>36</v>
      </c>
      <c r="F40" s="11" t="s">
        <v>30</v>
      </c>
      <c r="G40" s="11" t="s">
        <v>31</v>
      </c>
      <c r="H40" s="11" t="s">
        <v>32</v>
      </c>
      <c r="I40" s="11" t="s">
        <v>33</v>
      </c>
      <c r="J40" s="11" t="s">
        <v>34</v>
      </c>
    </row>
    <row r="41" spans="1:30" x14ac:dyDescent="0.2">
      <c r="E41" s="11" t="s">
        <v>87</v>
      </c>
      <c r="F41" s="11">
        <f>AVERAGE(F36,K36,P36,U36,Z36)</f>
        <v>5.7438967875133061E-7</v>
      </c>
      <c r="G41" s="11">
        <f t="shared" ref="G41:J41" si="83">AVERAGE(G36,L36,Q36,V36,AA36)</f>
        <v>5.8562375261335988E-7</v>
      </c>
      <c r="H41" s="11">
        <f t="shared" si="83"/>
        <v>5.9831537713323112E-7</v>
      </c>
      <c r="I41" s="11">
        <f t="shared" si="83"/>
        <v>6.0811673867768882E-7</v>
      </c>
      <c r="J41" s="11">
        <f t="shared" si="83"/>
        <v>6.3211721369166871E-7</v>
      </c>
    </row>
    <row r="42" spans="1:30" x14ac:dyDescent="0.2">
      <c r="E42" s="11" t="s">
        <v>88</v>
      </c>
      <c r="F42" s="11">
        <f>AVERAGE(F37,K37,P37,U37,Z37)</f>
        <v>5.1582084433618571E-8</v>
      </c>
      <c r="G42" s="11">
        <f>AVERAGE(G37,L37,Q37,V37,AA37)</f>
        <v>5.2419639084450333E-8</v>
      </c>
      <c r="H42" s="11">
        <f t="shared" ref="G42:J42" si="84">AVERAGE(H37,M37,R37,W37,AB37)</f>
        <v>5.4456086909606939E-8</v>
      </c>
      <c r="I42" s="11">
        <f t="shared" si="84"/>
        <v>5.4627974555492025E-8</v>
      </c>
      <c r="J42" s="11">
        <f t="shared" si="84"/>
        <v>5.7891497147423009E-8</v>
      </c>
    </row>
    <row r="51" spans="1:20" x14ac:dyDescent="0.2">
      <c r="A51" s="19" t="s">
        <v>1</v>
      </c>
      <c r="B51" s="19"/>
      <c r="C51" s="19"/>
      <c r="D51" s="19"/>
      <c r="E51" s="19"/>
      <c r="F51" s="19"/>
      <c r="G51" s="19"/>
      <c r="H51" s="19"/>
    </row>
    <row r="52" spans="1:20" ht="17" thickBot="1" x14ac:dyDescent="0.25"/>
    <row r="53" spans="1:20" ht="17" thickBot="1" x14ac:dyDescent="0.25">
      <c r="A53" s="10" t="s">
        <v>20</v>
      </c>
      <c r="B53" s="11" t="s">
        <v>21</v>
      </c>
      <c r="E53" s="12" t="s">
        <v>21</v>
      </c>
      <c r="F53" s="15">
        <v>0.14900000000000002</v>
      </c>
      <c r="G53" s="16"/>
      <c r="H53" s="17"/>
      <c r="I53" s="15">
        <v>0.17400000000000002</v>
      </c>
      <c r="J53" s="16"/>
      <c r="K53" s="17"/>
      <c r="L53" s="15">
        <v>0.20800000000000002</v>
      </c>
      <c r="M53" s="16"/>
      <c r="N53" s="17"/>
      <c r="O53" s="15">
        <v>0.249</v>
      </c>
      <c r="P53" s="16"/>
      <c r="Q53" s="17"/>
      <c r="R53" s="15">
        <v>0.29899999999999999</v>
      </c>
      <c r="S53" s="16"/>
      <c r="T53" s="17"/>
    </row>
    <row r="54" spans="1:20" x14ac:dyDescent="0.2">
      <c r="A54" s="11">
        <v>0.2</v>
      </c>
      <c r="B54" s="11">
        <f>A54-0.051</f>
        <v>0.14900000000000002</v>
      </c>
      <c r="F54" s="14" t="s">
        <v>23</v>
      </c>
      <c r="G54" s="14" t="s">
        <v>24</v>
      </c>
      <c r="H54" s="14" t="s">
        <v>34</v>
      </c>
      <c r="I54" s="14" t="s">
        <v>23</v>
      </c>
      <c r="J54" s="14" t="s">
        <v>24</v>
      </c>
      <c r="K54" s="14" t="s">
        <v>34</v>
      </c>
      <c r="L54" s="14" t="s">
        <v>23</v>
      </c>
      <c r="M54" s="14" t="s">
        <v>24</v>
      </c>
      <c r="N54" s="14" t="s">
        <v>34</v>
      </c>
      <c r="O54" s="14" t="s">
        <v>23</v>
      </c>
      <c r="P54" s="14" t="s">
        <v>24</v>
      </c>
      <c r="Q54" s="14" t="s">
        <v>34</v>
      </c>
      <c r="R54" s="14" t="s">
        <v>23</v>
      </c>
      <c r="S54" s="14" t="s">
        <v>24</v>
      </c>
      <c r="T54" s="14" t="s">
        <v>34</v>
      </c>
    </row>
    <row r="55" spans="1:20" x14ac:dyDescent="0.2">
      <c r="A55" s="11">
        <v>0.22500000000000001</v>
      </c>
      <c r="B55" s="11">
        <f t="shared" ref="B55:B58" si="85">A55-0.051</f>
        <v>0.17400000000000002</v>
      </c>
      <c r="E55" s="11" t="s">
        <v>29</v>
      </c>
      <c r="F55">
        <v>4.1000000000000002E-2</v>
      </c>
      <c r="G55">
        <v>4.7E-2</v>
      </c>
      <c r="H55">
        <v>6.6000000000000003E-2</v>
      </c>
      <c r="I55">
        <v>4.8000000000000001E-2</v>
      </c>
      <c r="J55">
        <v>5.3999999999999999E-2</v>
      </c>
      <c r="K55">
        <v>7.5999999999999998E-2</v>
      </c>
      <c r="L55">
        <v>5.7000000000000002E-2</v>
      </c>
      <c r="M55">
        <v>6.4000000000000001E-2</v>
      </c>
      <c r="N55">
        <v>9.0999999999999998E-2</v>
      </c>
      <c r="O55">
        <v>6.9000000000000006E-2</v>
      </c>
      <c r="P55">
        <v>7.8E-2</v>
      </c>
      <c r="Q55">
        <v>0.11</v>
      </c>
      <c r="R55">
        <v>8.4000000000000005E-2</v>
      </c>
      <c r="S55">
        <v>9.4E-2</v>
      </c>
      <c r="T55">
        <v>0.13400000000000001</v>
      </c>
    </row>
    <row r="56" spans="1:20" x14ac:dyDescent="0.2">
      <c r="A56" s="11">
        <v>0.25900000000000001</v>
      </c>
      <c r="B56" s="11">
        <f t="shared" si="85"/>
        <v>0.20800000000000002</v>
      </c>
      <c r="E56" s="11" t="s">
        <v>28</v>
      </c>
      <c r="F56">
        <v>4.2000000000000003E-2</v>
      </c>
      <c r="G56">
        <v>4.5999999999999999E-2</v>
      </c>
      <c r="H56">
        <v>6.4000000000000001E-2</v>
      </c>
      <c r="I56">
        <v>4.7E-2</v>
      </c>
      <c r="J56">
        <v>5.2999999999999999E-2</v>
      </c>
      <c r="K56">
        <v>7.3999999999999996E-2</v>
      </c>
      <c r="L56">
        <v>5.6000000000000001E-2</v>
      </c>
      <c r="M56">
        <v>6.3E-2</v>
      </c>
      <c r="N56">
        <v>8.8999999999999996E-2</v>
      </c>
      <c r="O56">
        <v>6.7000000000000004E-2</v>
      </c>
      <c r="P56">
        <v>7.6999999999999999E-2</v>
      </c>
      <c r="Q56">
        <v>0.107</v>
      </c>
      <c r="R56">
        <v>8.1000000000000003E-2</v>
      </c>
      <c r="S56">
        <v>9.0999999999999998E-2</v>
      </c>
      <c r="T56">
        <v>0.127</v>
      </c>
    </row>
    <row r="57" spans="1:20" x14ac:dyDescent="0.2">
      <c r="A57" s="11">
        <v>0.3</v>
      </c>
      <c r="B57" s="11">
        <f t="shared" si="85"/>
        <v>0.249</v>
      </c>
      <c r="E57" s="11" t="s">
        <v>22</v>
      </c>
      <c r="F57" s="11">
        <f>(F55+F56)/2</f>
        <v>4.1500000000000002E-2</v>
      </c>
      <c r="G57" s="11">
        <f t="shared" ref="G57" si="86">(G55+G56)/2</f>
        <v>4.65E-2</v>
      </c>
      <c r="H57" s="11">
        <f t="shared" ref="H57" si="87">(H55+H56)/2</f>
        <v>6.5000000000000002E-2</v>
      </c>
      <c r="I57" s="11">
        <f>(I55+I56)/2</f>
        <v>4.7500000000000001E-2</v>
      </c>
      <c r="J57" s="11">
        <f t="shared" ref="J57" si="88">(J55+J56)/2</f>
        <v>5.3499999999999999E-2</v>
      </c>
      <c r="K57" s="11">
        <f t="shared" ref="K57" si="89">(K55+K56)/2</f>
        <v>7.4999999999999997E-2</v>
      </c>
      <c r="L57" s="11">
        <f>(L55+L56)/2</f>
        <v>5.6500000000000002E-2</v>
      </c>
      <c r="M57" s="11">
        <f t="shared" ref="M57" si="90">(M55+M56)/2</f>
        <v>6.3500000000000001E-2</v>
      </c>
      <c r="N57" s="11">
        <f t="shared" ref="N57" si="91">(N55+N56)/2</f>
        <v>0.09</v>
      </c>
      <c r="O57" s="11">
        <f>(O55+O56)/2</f>
        <v>6.8000000000000005E-2</v>
      </c>
      <c r="P57" s="11">
        <f t="shared" ref="P57" si="92">(P55+P56)/2</f>
        <v>7.7499999999999999E-2</v>
      </c>
      <c r="Q57" s="11">
        <f t="shared" ref="Q57" si="93">(Q55+Q56)/2</f>
        <v>0.1085</v>
      </c>
      <c r="R57" s="11">
        <f>(R55+R56)/2</f>
        <v>8.2500000000000004E-2</v>
      </c>
      <c r="S57" s="11">
        <f t="shared" ref="S57" si="94">(S55+S56)/2</f>
        <v>9.2499999999999999E-2</v>
      </c>
      <c r="T57" s="11">
        <f t="shared" ref="T57" si="95">(T55+T56)/2</f>
        <v>0.1305</v>
      </c>
    </row>
    <row r="58" spans="1:20" x14ac:dyDescent="0.2">
      <c r="A58" s="11">
        <v>0.35</v>
      </c>
      <c r="B58" s="11">
        <f t="shared" si="85"/>
        <v>0.29899999999999999</v>
      </c>
      <c r="E58" s="11" t="s">
        <v>27</v>
      </c>
      <c r="F58" s="11">
        <f>STDEV(F55:F56)/SQRT(2)</f>
        <v>5.0000000000000044E-4</v>
      </c>
      <c r="G58" s="11">
        <f t="shared" ref="G58" si="96">STDEV(G55:G56)/SQRT(2)</f>
        <v>5.0000000000000044E-4</v>
      </c>
      <c r="H58" s="11">
        <f>STDEV(H55:H56)/SQRT(2)</f>
        <v>1.0000000000000009E-3</v>
      </c>
      <c r="I58" s="11">
        <f>STDEV(I55:I56)/SQRT(2)</f>
        <v>5.0000000000000044E-4</v>
      </c>
      <c r="J58" s="11">
        <f t="shared" ref="J58" si="97">STDEV(J55:J56)/SQRT(2)</f>
        <v>5.0000000000000044E-4</v>
      </c>
      <c r="K58" s="11">
        <f>STDEV(K55:K56)/SQRT(2)</f>
        <v>1.0000000000000009E-3</v>
      </c>
      <c r="L58" s="11">
        <f>STDEV(L55:L56)/SQRT(2)</f>
        <v>5.0000000000000044E-4</v>
      </c>
      <c r="M58" s="11">
        <f t="shared" ref="M58" si="98">STDEV(M55:M56)/SQRT(2)</f>
        <v>5.0000000000000044E-4</v>
      </c>
      <c r="N58" s="11">
        <f>STDEV(N55:N56)/SQRT(2)</f>
        <v>1.0000000000000009E-3</v>
      </c>
      <c r="O58" s="11">
        <f>STDEV(O55:O56)/SQRT(2)</f>
        <v>1.0000000000000009E-3</v>
      </c>
      <c r="P58" s="11">
        <f t="shared" ref="P58" si="99">STDEV(P55:P56)/SQRT(2)</f>
        <v>5.0000000000000044E-4</v>
      </c>
      <c r="Q58" s="11">
        <f>STDEV(Q55:Q56)/SQRT(2)</f>
        <v>1.5000000000000013E-3</v>
      </c>
      <c r="R58" s="11">
        <f>STDEV(R55:R56)/SQRT(2)</f>
        <v>1.5000000000000013E-3</v>
      </c>
      <c r="S58" s="11">
        <f t="shared" ref="S58" si="100">STDEV(S55:S56)/SQRT(2)</f>
        <v>1.5000000000000013E-3</v>
      </c>
      <c r="T58" s="11">
        <f>STDEV(T55:T56)/SQRT(2)</f>
        <v>3.5000000000000027E-3</v>
      </c>
    </row>
    <row r="60" spans="1:20" x14ac:dyDescent="0.2">
      <c r="E60" s="11" t="s">
        <v>39</v>
      </c>
      <c r="F60" s="11">
        <f>F57/(SQRT((F57^2)+($F$53^2)))</f>
        <v>0.26831070929742867</v>
      </c>
      <c r="G60" s="11">
        <f>G57/(SQRT((G57^2)+($F$53^2)))</f>
        <v>0.29791017872464509</v>
      </c>
      <c r="H60" s="11">
        <f>H57/(SQRT((H57^2)+($F$53^2)))</f>
        <v>0.39985049805858586</v>
      </c>
      <c r="I60" s="11">
        <f>I57/(SQRT((I57^2)+($I$53^2)))</f>
        <v>0.26335196251631371</v>
      </c>
      <c r="J60" s="11">
        <f>J57/(SQRT((J57^2)+($I$53^2)))</f>
        <v>0.29389283416004391</v>
      </c>
      <c r="K60" s="11">
        <f>K57/(SQRT((K57^2)+($I$53^2)))</f>
        <v>0.39582934757177557</v>
      </c>
      <c r="L60" s="11">
        <f>L57/(SQRT((L57^2)+($L$53^2)))</f>
        <v>0.26213582170685717</v>
      </c>
      <c r="M60" s="11">
        <f t="shared" ref="M60" si="101">M57/(SQRT((M57^2)+($L$53^2)))</f>
        <v>0.29198488575166587</v>
      </c>
      <c r="N60" s="11">
        <f>N57/(SQRT((N57^2)+($L$53^2)))</f>
        <v>0.39711207309554314</v>
      </c>
      <c r="O60" s="11">
        <f>O57/(SQRT((O57^2)+($O$53^2)))</f>
        <v>0.26344520703686031</v>
      </c>
      <c r="P60" s="11">
        <f t="shared" ref="P60:Q60" si="102">P57/(SQRT((P57^2)+($O$53^2)))</f>
        <v>0.29718309111964508</v>
      </c>
      <c r="Q60" s="11">
        <f t="shared" si="102"/>
        <v>0.39946642238856711</v>
      </c>
      <c r="R60" s="11">
        <f>R57/(SQRT((R57^2)+($R$53^2)))</f>
        <v>0.26598065311948743</v>
      </c>
      <c r="S60" s="11">
        <f>S57/(SQRT((S57^2)+($R$53^2)))</f>
        <v>0.29554488030128767</v>
      </c>
      <c r="T60" s="11">
        <f>T57/(SQRT((T57^2)+($R$53^2)))</f>
        <v>0.40001468056917067</v>
      </c>
    </row>
    <row r="61" spans="1:20" x14ac:dyDescent="0.2">
      <c r="E61" s="11" t="s">
        <v>40</v>
      </c>
      <c r="F61" s="11">
        <f>($C$7*F57*$F$53)/(((F57^2)+($F$53^2))^1.5) + (F58*($F$53^2))/(((F57^2)+($F$53^2))^(1.5))</f>
        <v>4.671044336938204E-3</v>
      </c>
      <c r="G61" s="11">
        <f t="shared" ref="G61:H61" si="103">($C$7*G57*$F$53)/(((G57^2)+($F$53^2))^1.5) + (G58*($F$53^2))/(((G57^2)+($F$53^2))^(1.5))</f>
        <v>4.7409874556362391E-3</v>
      </c>
      <c r="H61" s="11">
        <f>($C$7*H57*$F$53)/(((H57^2)+($F$53^2))^1.5) + (H58*($F$53^2))/(((H57^2)+($F$53^2))^(1.5))</f>
        <v>7.4225459664410201E-3</v>
      </c>
      <c r="I61" s="11">
        <f>($C$7*I57*$I$53)/(((I57^2)+($I$53^2))^1.5) + (I58*($I$53^2))/(((I57^2)+($I$53^2))^(1.5))</f>
        <v>3.9884153684060335E-3</v>
      </c>
      <c r="J61" s="11">
        <f t="shared" ref="J61:K61" si="104">($C$7*J57*$I$53)/(((J57^2)+($I$53^2))^1.5) + (J58*($I$53^2))/(((J57^2)+($I$53^2))^(1.5))</f>
        <v>4.0525764607706374E-3</v>
      </c>
      <c r="K61" s="11">
        <f t="shared" si="104"/>
        <v>6.3692570542676621E-3</v>
      </c>
      <c r="L61" s="11">
        <f>($C$7*L57*$L$53)/(((L57^2)+($L$53^2))^1.5) + (L58*($L$53^2))/(((L57^2)+($L$53^2))^(1.5))</f>
        <v>3.3340502911505024E-3</v>
      </c>
      <c r="M61" s="11">
        <f t="shared" ref="M61:N61" si="105">($C$7*M57*$L$53)/(((M57^2)+($L$53^2))^1.5) + (M58*($L$53^2))/(((M57^2)+($L$53^2))^(1.5))</f>
        <v>3.3871785025949208E-3</v>
      </c>
      <c r="N61" s="11">
        <f>($C$7*N57*$L$53)/(((N57^2)+($L$53^2))^1.5) + (N58*($L$53^2))/(((N57^2)+($L$53^2))^(1.5))</f>
        <v>5.3246533972679021E-3</v>
      </c>
      <c r="O61" s="11">
        <f>($C$7*O57*$O$53)/(((O57^2)+($O$53^2))^1.5) + (O58*($O$53^2))/(((O57^2)+($O$53^2))^(1.5))</f>
        <v>4.5898952713917911E-3</v>
      </c>
      <c r="P61" s="11">
        <f>($C$7*P57*$O$53)/(((P57^2)+($O$53^2))^1.5) + (P58*($O$53^2))/(((P57^2)+($O$53^2))^(1.5))</f>
        <v>2.8360762043299053E-3</v>
      </c>
      <c r="Q61" s="11">
        <f t="shared" ref="P61:Q61" si="106">($C$7*Q57*$O$53)/(((Q57^2)+($O$53^2))^1.5) + (Q58*($O$53^2))/(((Q57^2)+($O$53^2))^(1.5))</f>
        <v>5.9896026319945696E-3</v>
      </c>
      <c r="R61" s="11">
        <f>($C$7*R57*$R$53)/(((R57^2)+($R$53^2))^1.5) + (R58*($R$53^2))/(((R57^2)+($R$53^2))^(1.5))</f>
        <v>5.320519117952561E-3</v>
      </c>
      <c r="S61" s="11">
        <f t="shared" ref="S61:T61" si="107">($C$7*S57*$R$53)/(((S57^2)+($R$53^2))^1.5) + (S58*($R$53^2))/(((S57^2)+($R$53^2))^(1.5))</f>
        <v>5.2761067840507679E-3</v>
      </c>
      <c r="T61" s="11">
        <f t="shared" si="107"/>
        <v>1.0135470336399817E-2</v>
      </c>
    </row>
    <row r="62" spans="1:20" x14ac:dyDescent="0.2">
      <c r="E62" s="11" t="s">
        <v>85</v>
      </c>
      <c r="F62" s="11">
        <f>$W$19*F60</f>
        <v>4.4482098315112534E-7</v>
      </c>
      <c r="G62" s="11">
        <f t="shared" ref="G62:T62" si="108">$W$19*G60</f>
        <v>4.938926923119056E-7</v>
      </c>
      <c r="H62" s="11">
        <f t="shared" si="108"/>
        <v>6.6289523860459573E-7</v>
      </c>
      <c r="I62" s="11">
        <f t="shared" si="108"/>
        <v>4.3660008647447464E-7</v>
      </c>
      <c r="J62" s="11">
        <f t="shared" si="108"/>
        <v>4.8723250657589097E-7</v>
      </c>
      <c r="K62" s="11">
        <f t="shared" si="108"/>
        <v>6.5622874319103106E-7</v>
      </c>
      <c r="L62" s="11">
        <f t="shared" si="108"/>
        <v>4.345838980341057E-7</v>
      </c>
      <c r="M62" s="11">
        <f t="shared" si="108"/>
        <v>4.8406939956074916E-7</v>
      </c>
      <c r="N62" s="11">
        <f t="shared" si="108"/>
        <v>6.5835531961464611E-7</v>
      </c>
      <c r="O62" s="11">
        <f t="shared" si="108"/>
        <v>4.3675467262353891E-7</v>
      </c>
      <c r="P62" s="11">
        <f t="shared" si="108"/>
        <v>4.9268728450638054E-7</v>
      </c>
      <c r="Q62" s="11">
        <f t="shared" si="108"/>
        <v>6.6225849578657883E-7</v>
      </c>
      <c r="R62" s="11">
        <f t="shared" si="108"/>
        <v>4.4095808150779125E-7</v>
      </c>
      <c r="S62" s="11">
        <f t="shared" si="108"/>
        <v>4.8997136403962511E-7</v>
      </c>
      <c r="T62" s="11">
        <f t="shared" si="108"/>
        <v>6.6316742984871639E-7</v>
      </c>
    </row>
    <row r="63" spans="1:20" x14ac:dyDescent="0.2">
      <c r="E63" s="11" t="s">
        <v>86</v>
      </c>
      <c r="F63" s="11">
        <f>(F61*$W$19) + ($X$19*F60)</f>
        <v>4.11284606363226E-8</v>
      </c>
      <c r="G63" s="11">
        <f t="shared" ref="G63:T63" si="109">(G61*$W$19) + ($X$19*G60)</f>
        <v>4.4927327455715886E-8</v>
      </c>
      <c r="H63" s="11">
        <f t="shared" si="109"/>
        <v>6.2056884190069562E-8</v>
      </c>
      <c r="I63" s="11">
        <f t="shared" si="109"/>
        <v>3.9379767343143748E-8</v>
      </c>
      <c r="J63" s="11">
        <f t="shared" si="109"/>
        <v>4.3286182263920299E-8</v>
      </c>
      <c r="K63" s="11">
        <f t="shared" si="109"/>
        <v>5.9810349771468701E-8</v>
      </c>
      <c r="L63" s="11">
        <f t="shared" si="109"/>
        <v>3.8143604941402748E-8</v>
      </c>
      <c r="M63" s="11">
        <f t="shared" si="109"/>
        <v>4.194565082265134E-8</v>
      </c>
      <c r="N63" s="11">
        <f t="shared" si="109"/>
        <v>5.8238148522537599E-8</v>
      </c>
      <c r="O63" s="11">
        <f t="shared" si="109"/>
        <v>4.0388537389397953E-8</v>
      </c>
      <c r="P63" s="11">
        <f t="shared" si="109"/>
        <v>4.1678787810981776E-8</v>
      </c>
      <c r="Q63" s="11">
        <f t="shared" si="109"/>
        <v>5.9633479430444097E-8</v>
      </c>
      <c r="R63" s="11">
        <f t="shared" si="109"/>
        <v>4.1915280410404051E-8</v>
      </c>
      <c r="S63" s="11">
        <f t="shared" si="109"/>
        <v>4.5520177145936372E-8</v>
      </c>
      <c r="T63" s="11">
        <f t="shared" si="109"/>
        <v>6.6574955217455428E-8</v>
      </c>
    </row>
    <row r="65" spans="5:8" x14ac:dyDescent="0.2">
      <c r="E65" s="11" t="s">
        <v>36</v>
      </c>
      <c r="F65" s="11" t="s">
        <v>23</v>
      </c>
      <c r="G65" s="11" t="s">
        <v>24</v>
      </c>
      <c r="H65" s="11" t="s">
        <v>34</v>
      </c>
    </row>
    <row r="66" spans="5:8" x14ac:dyDescent="0.2">
      <c r="E66" s="11" t="s">
        <v>87</v>
      </c>
      <c r="F66" s="11">
        <f t="shared" ref="F66:H67" si="110">AVERAGE(F62,I62,L62,O62,R62)</f>
        <v>4.3874354435820712E-7</v>
      </c>
      <c r="G66" s="11">
        <f t="shared" si="110"/>
        <v>4.8957064939891025E-7</v>
      </c>
      <c r="H66" s="11">
        <f t="shared" si="110"/>
        <v>6.6058104540911367E-7</v>
      </c>
    </row>
    <row r="67" spans="5:8" x14ac:dyDescent="0.2">
      <c r="E67" s="11" t="s">
        <v>88</v>
      </c>
      <c r="F67" s="11">
        <f>AVERAGE(F63,I63,L63,O63,R63)</f>
        <v>4.0191130144134224E-8</v>
      </c>
      <c r="G67" s="11">
        <f t="shared" si="110"/>
        <v>4.3471625099841133E-8</v>
      </c>
      <c r="H67" s="11">
        <f t="shared" si="110"/>
        <v>6.126276342639506E-8</v>
      </c>
    </row>
    <row r="81" spans="1:15" x14ac:dyDescent="0.2">
      <c r="A81" s="20" t="s">
        <v>5</v>
      </c>
      <c r="B81" s="20"/>
      <c r="C81" s="20"/>
      <c r="D81" s="20"/>
      <c r="E81" s="20"/>
      <c r="F81" s="20"/>
      <c r="G81" s="20"/>
    </row>
    <row r="82" spans="1:15" ht="17" thickBot="1" x14ac:dyDescent="0.25"/>
    <row r="83" spans="1:15" ht="17" thickBot="1" x14ac:dyDescent="0.25">
      <c r="A83" s="10" t="s">
        <v>20</v>
      </c>
      <c r="B83" s="11" t="s">
        <v>21</v>
      </c>
      <c r="E83" s="12" t="s">
        <v>21</v>
      </c>
      <c r="F83" s="15">
        <v>0.13600000000000001</v>
      </c>
      <c r="G83" s="17"/>
      <c r="H83" s="15">
        <v>0.17599999999999999</v>
      </c>
      <c r="I83" s="17"/>
      <c r="J83" s="15">
        <v>0.20799999999999999</v>
      </c>
      <c r="K83" s="17"/>
      <c r="L83" s="15">
        <v>0.22900000000000001</v>
      </c>
      <c r="M83" s="17"/>
      <c r="N83" s="15">
        <v>0.249</v>
      </c>
      <c r="O83" s="17"/>
    </row>
    <row r="84" spans="1:15" x14ac:dyDescent="0.2">
      <c r="A84" s="11">
        <v>0.187</v>
      </c>
      <c r="B84" s="11">
        <f>A84-0.051</f>
        <v>0.13600000000000001</v>
      </c>
      <c r="F84" s="14" t="s">
        <v>24</v>
      </c>
      <c r="G84" s="14" t="s">
        <v>35</v>
      </c>
      <c r="H84" s="14" t="s">
        <v>24</v>
      </c>
      <c r="I84" s="14" t="s">
        <v>35</v>
      </c>
      <c r="J84" s="14" t="s">
        <v>24</v>
      </c>
      <c r="K84" s="14" t="s">
        <v>35</v>
      </c>
      <c r="L84" s="14" t="s">
        <v>24</v>
      </c>
      <c r="M84" s="14" t="s">
        <v>35</v>
      </c>
      <c r="N84" s="14" t="s">
        <v>24</v>
      </c>
      <c r="O84" s="14" t="s">
        <v>35</v>
      </c>
    </row>
    <row r="85" spans="1:15" x14ac:dyDescent="0.2">
      <c r="A85" s="11">
        <v>0.22700000000000001</v>
      </c>
      <c r="B85" s="11">
        <f t="shared" ref="B85:B88" si="111">A85-0.051</f>
        <v>0.17600000000000002</v>
      </c>
      <c r="E85" s="11" t="s">
        <v>29</v>
      </c>
      <c r="F85">
        <v>3.5999999999999997E-2</v>
      </c>
      <c r="G85">
        <v>5.2999999999999999E-2</v>
      </c>
      <c r="H85">
        <v>4.4999999999999998E-2</v>
      </c>
      <c r="I85">
        <v>6.9000000000000006E-2</v>
      </c>
      <c r="J85">
        <v>5.1999999999999998E-2</v>
      </c>
      <c r="K85">
        <v>0.08</v>
      </c>
      <c r="L85">
        <v>5.8999999999999997E-2</v>
      </c>
      <c r="M85">
        <v>9.0999999999999998E-2</v>
      </c>
      <c r="N85">
        <v>6.6000000000000003E-2</v>
      </c>
      <c r="O85">
        <v>9.9000000000000005E-2</v>
      </c>
    </row>
    <row r="86" spans="1:15" x14ac:dyDescent="0.2">
      <c r="A86" s="11">
        <v>0.25900000000000001</v>
      </c>
      <c r="B86" s="11">
        <f t="shared" si="111"/>
        <v>0.20800000000000002</v>
      </c>
      <c r="E86" s="11" t="s">
        <v>28</v>
      </c>
      <c r="F86">
        <v>3.5000000000000003E-2</v>
      </c>
      <c r="G86">
        <v>5.1999999999999998E-2</v>
      </c>
      <c r="H86">
        <v>4.7E-2</v>
      </c>
      <c r="I86">
        <v>7.0999999999999994E-2</v>
      </c>
      <c r="J86">
        <v>5.3999999999999999E-2</v>
      </c>
      <c r="K86">
        <v>7.8E-2</v>
      </c>
      <c r="L86">
        <v>6.0999999999999999E-2</v>
      </c>
      <c r="M86">
        <v>8.8999999999999996E-2</v>
      </c>
      <c r="N86">
        <v>6.4000000000000001E-2</v>
      </c>
      <c r="O86">
        <v>9.6000000000000002E-2</v>
      </c>
    </row>
    <row r="87" spans="1:15" x14ac:dyDescent="0.2">
      <c r="A87" s="11">
        <v>0.28000000000000003</v>
      </c>
      <c r="B87" s="11">
        <f t="shared" si="111"/>
        <v>0.22900000000000004</v>
      </c>
      <c r="E87" s="11" t="s">
        <v>22</v>
      </c>
      <c r="F87" s="11">
        <f>(F85+F86)/2</f>
        <v>3.5500000000000004E-2</v>
      </c>
      <c r="G87" s="11">
        <f t="shared" ref="G87" si="112">(G85+G86)/2</f>
        <v>5.2499999999999998E-2</v>
      </c>
      <c r="H87" s="11">
        <f>(H85+H86)/2</f>
        <v>4.5999999999999999E-2</v>
      </c>
      <c r="I87" s="11">
        <f t="shared" ref="I87" si="113">(I85+I86)/2</f>
        <v>7.0000000000000007E-2</v>
      </c>
      <c r="J87" s="11">
        <f>(J85+J86)/2</f>
        <v>5.2999999999999999E-2</v>
      </c>
      <c r="K87" s="11">
        <f>(K85+K86)/2</f>
        <v>7.9000000000000001E-2</v>
      </c>
      <c r="L87" s="11">
        <f>(L85+L86)/2</f>
        <v>0.06</v>
      </c>
      <c r="M87" s="11">
        <f t="shared" ref="M87" si="114">(M85+M86)/2</f>
        <v>0.09</v>
      </c>
      <c r="N87" s="11">
        <f>(N85+N86)/2</f>
        <v>6.5000000000000002E-2</v>
      </c>
      <c r="O87" s="11">
        <f>(O85+O86)/2</f>
        <v>9.7500000000000003E-2</v>
      </c>
    </row>
    <row r="88" spans="1:15" x14ac:dyDescent="0.2">
      <c r="A88" s="11">
        <v>0.3</v>
      </c>
      <c r="B88" s="11">
        <f t="shared" si="111"/>
        <v>0.249</v>
      </c>
      <c r="E88" s="11" t="s">
        <v>27</v>
      </c>
      <c r="F88" s="11">
        <f>STDEV(F85:F86)/SQRT(2)</f>
        <v>4.9999999999999697E-4</v>
      </c>
      <c r="G88" s="11">
        <f t="shared" ref="G88:I88" si="115">STDEV(G85:G86)/SQRT(2)</f>
        <v>5.0000000000000044E-4</v>
      </c>
      <c r="H88" s="11">
        <f>STDEV(H85:H86)/SQRT(2)</f>
        <v>1.0000000000000009E-3</v>
      </c>
      <c r="I88" s="11">
        <f t="shared" si="115"/>
        <v>9.9999999999999395E-4</v>
      </c>
      <c r="J88" s="11">
        <f>STDEV(J85:J86)/SQRT(2)</f>
        <v>1.0000000000000009E-3</v>
      </c>
      <c r="K88" s="11">
        <f t="shared" ref="K88" si="116">STDEV(K85:K86)/SQRT(2)</f>
        <v>1.0000000000000009E-3</v>
      </c>
      <c r="L88" s="11">
        <f>STDEV(L85:L86)/SQRT(2)</f>
        <v>1.0000000000000009E-3</v>
      </c>
      <c r="M88" s="11">
        <f t="shared" ref="M88" si="117">STDEV(M85:M86)/SQRT(2)</f>
        <v>1.0000000000000009E-3</v>
      </c>
      <c r="N88" s="11">
        <f>STDEV(N85:N86)/SQRT(2)</f>
        <v>1.0000000000000009E-3</v>
      </c>
      <c r="O88" s="11">
        <f t="shared" ref="O88" si="118">STDEV(O85:O86)/SQRT(2)</f>
        <v>1.5000000000000013E-3</v>
      </c>
    </row>
    <row r="90" spans="1:15" x14ac:dyDescent="0.2">
      <c r="E90" s="11" t="s">
        <v>39</v>
      </c>
      <c r="F90" s="11">
        <f>F87/(SQRT((F87^2)+($F$83^2)))</f>
        <v>0.25256670384759572</v>
      </c>
      <c r="G90" s="11">
        <f>G87/(SQRT((G87^2)+($F$83^2)))</f>
        <v>0.36012796370584088</v>
      </c>
      <c r="H90" s="11">
        <f>H87/(SQRT((H87^2)+($H$83^2)))</f>
        <v>0.25286942665299678</v>
      </c>
      <c r="I90" s="11">
        <f t="shared" ref="I90" si="119">I87/(SQRT((I87^2)+($H$83^2)))</f>
        <v>0.36956942338645454</v>
      </c>
      <c r="J90" s="11">
        <f>J87/(SQRT((J87^2)+($J$83^2)))</f>
        <v>0.24691792784482336</v>
      </c>
      <c r="K90" s="11">
        <f>K87/(SQRT((K87^2)+($J$83^2)))</f>
        <v>0.35506066232677214</v>
      </c>
      <c r="L90" s="11">
        <f>L87/(SQRT((L87^2)+($L$83^2)))</f>
        <v>0.25345351130581678</v>
      </c>
      <c r="M90" s="11">
        <f>M87/(SQRT((M87^2)+($L$83^2)))</f>
        <v>0.36577811232915142</v>
      </c>
      <c r="N90" s="11">
        <f>N87/(SQRT((N87^2)+($N$83^2)))</f>
        <v>0.25258007871094734</v>
      </c>
      <c r="O90" s="11">
        <f>O87/(SQRT((O87^2)+($N$83^2)))</f>
        <v>0.36461084105720692</v>
      </c>
    </row>
    <row r="91" spans="1:15" x14ac:dyDescent="0.2">
      <c r="E91" s="11" t="s">
        <v>40</v>
      </c>
      <c r="F91" s="11">
        <f>($C$7*F87*$F$83)/(((F87^2)+($F$83^2))^1.5) + (F88*($F$83^2))/(((F87^2)+($F$83^2))^(1.5))</f>
        <v>5.0690023012631875E-3</v>
      </c>
      <c r="G91" s="11">
        <f>($C$7*G87*$F$83)/(((G87^2)+($F$83^2))^1.5) + (G88*($F$83^2))/(((G87^2)+($F$83^2))^(1.5))</f>
        <v>5.2895482275199567E-3</v>
      </c>
      <c r="H91" s="11">
        <f>($C$7*H87*$H$83)/(((H87^2)+($H$83^2))^1.5) + (H88*($H$83^2))/(((H87^2)+($H$83^2))^(1.5))</f>
        <v>6.490544304801042E-3</v>
      </c>
      <c r="I91" s="11">
        <f>($C$7*I87*$H$83)/(((I87^2)+($H$83^2))^1.5) + (I88*($H$83^2))/(((I87^2)+($H$83^2))^(1.5))</f>
        <v>6.3715009456938457E-3</v>
      </c>
      <c r="J91" s="11">
        <f>($C$7*J87*$J$83)/(((J87^2)+($J$83^2))^1.5) + (J88*($J$83^2))/(((J87^2)+($J$83^2))^(1.5))</f>
        <v>5.4895166230619977E-3</v>
      </c>
      <c r="K91" s="11">
        <f>($C$7*K87*$J$83)/(((K87^2)+($J$83^2))^1.5) + (K88*($J$83^2))/(((K87^2)+($J$83^2))^(1.5))</f>
        <v>5.4196549123049836E-3</v>
      </c>
      <c r="L91" s="11">
        <f>($C$7*L87*$L$83)/(((L87^2)+($L$83^2))^1.5) + (L88*($L$83^2))/(((L87^2)+($L$83^2))^(1.5))</f>
        <v>4.9885520814315311E-3</v>
      </c>
      <c r="M91" s="11">
        <f>($C$7*M87*$L$83)/(((M87^2)+($L$83^2))^1.5) + (M88*($L$83^2))/(((M87^2)+($L$83^2))^(1.5))</f>
        <v>4.904014888671749E-3</v>
      </c>
      <c r="N91" s="11">
        <f>($C$7*N87*$N$83)/(((N87^2)+($N$83^2))^1.5) + (N88*($N$83^2))/(((N87^2)+($N$83^2))^(1.5))</f>
        <v>4.5876070133027309E-3</v>
      </c>
      <c r="O91" s="11">
        <f>($C$7*O87*$N$83)/(((O87^2)+($N$83^2))^1.5) + (O88*($N$83^2))/(((O87^2)+($N$83^2))^(1.5))</f>
        <v>6.1333131565516445E-3</v>
      </c>
    </row>
    <row r="92" spans="1:15" x14ac:dyDescent="0.2">
      <c r="E92" s="11" t="s">
        <v>85</v>
      </c>
      <c r="F92" s="11">
        <f t="shared" ref="F92:O92" si="120">$W$19*F90</f>
        <v>4.1871966203252593E-7</v>
      </c>
      <c r="G92" s="11">
        <f t="shared" si="120"/>
        <v>5.9704092801703212E-7</v>
      </c>
      <c r="H92" s="11">
        <f t="shared" si="120"/>
        <v>4.1922153337516955E-7</v>
      </c>
      <c r="I92" s="11">
        <f t="shared" si="120"/>
        <v>6.126935249204853E-7</v>
      </c>
      <c r="J92" s="11">
        <f t="shared" si="120"/>
        <v>4.0935479507759454E-7</v>
      </c>
      <c r="K92" s="11">
        <f t="shared" si="120"/>
        <v>5.8864006326115775E-7</v>
      </c>
      <c r="L92" s="11">
        <f t="shared" si="120"/>
        <v>4.2018986263116981E-7</v>
      </c>
      <c r="M92" s="11">
        <f t="shared" si="120"/>
        <v>6.064080705815315E-7</v>
      </c>
      <c r="N92" s="11">
        <f t="shared" si="120"/>
        <v>4.1874183565310617E-7</v>
      </c>
      <c r="O92" s="11">
        <f t="shared" si="120"/>
        <v>6.0447290088163387E-7</v>
      </c>
    </row>
    <row r="93" spans="1:15" x14ac:dyDescent="0.2">
      <c r="E93" s="11" t="s">
        <v>86</v>
      </c>
      <c r="F93" s="11">
        <f t="shared" ref="F93:O93" si="121">(F91*$W$19) + ($X$19*F90)</f>
        <v>3.9829271989798659E-8</v>
      </c>
      <c r="G93" s="11">
        <f t="shared" si="121"/>
        <v>5.3578204963244409E-8</v>
      </c>
      <c r="H93" s="11">
        <f t="shared" si="121"/>
        <v>4.2223652642659219E-8</v>
      </c>
      <c r="I93" s="11">
        <f t="shared" si="121"/>
        <v>5.6546681333814948E-8</v>
      </c>
      <c r="J93" s="11">
        <f t="shared" si="121"/>
        <v>3.9823576508355741E-8</v>
      </c>
      <c r="K93" s="11">
        <f t="shared" si="121"/>
        <v>5.3163404859257063E-8</v>
      </c>
      <c r="L93" s="11">
        <f t="shared" si="121"/>
        <v>3.9806237902044791E-8</v>
      </c>
      <c r="M93" s="11">
        <f t="shared" si="121"/>
        <v>5.3642064725811745E-8</v>
      </c>
      <c r="N93" s="11">
        <f t="shared" si="121"/>
        <v>3.9032851257065333E-8</v>
      </c>
      <c r="O93" s="11">
        <f t="shared" si="121"/>
        <v>5.5534828746829597E-8</v>
      </c>
    </row>
    <row r="96" spans="1:15" x14ac:dyDescent="0.2">
      <c r="E96" s="11" t="s">
        <v>36</v>
      </c>
      <c r="F96" s="11" t="s">
        <v>24</v>
      </c>
      <c r="G96" s="11" t="s">
        <v>35</v>
      </c>
    </row>
    <row r="97" spans="5:7" x14ac:dyDescent="0.2">
      <c r="E97" s="11" t="s">
        <v>87</v>
      </c>
      <c r="F97" s="11">
        <f>AVERAGE(F92,H92,J92,L92,N92)</f>
        <v>4.1724553775391318E-7</v>
      </c>
      <c r="G97" s="11">
        <f>AVERAGE(G92,I92,K92,M92,O92)</f>
        <v>6.0185109753236811E-7</v>
      </c>
    </row>
    <row r="98" spans="5:7" x14ac:dyDescent="0.2">
      <c r="E98" s="11" t="s">
        <v>88</v>
      </c>
      <c r="F98" s="11">
        <f>AVERAGE(F93,H93,J93,L93,N93)</f>
        <v>4.0143118059984745E-8</v>
      </c>
      <c r="G98" s="11">
        <f>AVERAGE(G93,I93,K93,M93,O93)</f>
        <v>5.4493036925791548E-8</v>
      </c>
    </row>
  </sheetData>
  <mergeCells count="5">
    <mergeCell ref="F5:I5"/>
    <mergeCell ref="J5:M5"/>
    <mergeCell ref="N5:Q5"/>
    <mergeCell ref="R5:U5"/>
    <mergeCell ref="V5:Y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6C21-6BE0-3041-85B3-15F0CAC9DD5A}">
  <dimension ref="B4:AQ110"/>
  <sheetViews>
    <sheetView workbookViewId="0">
      <selection activeCell="C98" sqref="C98"/>
    </sheetView>
  </sheetViews>
  <sheetFormatPr baseColWidth="10" defaultRowHeight="16" x14ac:dyDescent="0.2"/>
  <cols>
    <col min="5" max="5" width="15.5" customWidth="1"/>
    <col min="6" max="6" width="16.5" customWidth="1"/>
    <col min="19" max="19" width="11.1640625" bestFit="1" customWidth="1"/>
  </cols>
  <sheetData>
    <row r="4" spans="3:43" ht="17" thickBot="1" x14ac:dyDescent="0.25"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</row>
    <row r="5" spans="3:43" ht="17" thickBot="1" x14ac:dyDescent="0.25">
      <c r="C5" s="24"/>
      <c r="D5" s="24"/>
      <c r="E5" s="24"/>
      <c r="F5" s="24"/>
      <c r="G5" s="72" t="s">
        <v>42</v>
      </c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4"/>
      <c r="T5" s="75" t="s">
        <v>43</v>
      </c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7"/>
      <c r="AI5" s="24"/>
      <c r="AJ5" s="24"/>
      <c r="AK5" s="24"/>
      <c r="AL5" s="24"/>
    </row>
    <row r="6" spans="3:43" ht="18" thickBot="1" x14ac:dyDescent="0.25">
      <c r="C6" s="27" t="s">
        <v>44</v>
      </c>
      <c r="D6" s="27" t="s">
        <v>45</v>
      </c>
      <c r="E6" s="27" t="s">
        <v>46</v>
      </c>
      <c r="F6" s="27" t="s">
        <v>47</v>
      </c>
      <c r="G6" s="28" t="s">
        <v>48</v>
      </c>
      <c r="H6" s="28" t="s">
        <v>49</v>
      </c>
      <c r="I6" s="28" t="s">
        <v>50</v>
      </c>
      <c r="J6" s="28" t="s">
        <v>51</v>
      </c>
      <c r="K6" s="28" t="s">
        <v>52</v>
      </c>
      <c r="L6" s="28" t="s">
        <v>53</v>
      </c>
      <c r="M6" s="28" t="s">
        <v>54</v>
      </c>
      <c r="N6" s="28" t="s">
        <v>55</v>
      </c>
      <c r="O6" s="29" t="s">
        <v>56</v>
      </c>
      <c r="P6" s="29" t="s">
        <v>57</v>
      </c>
      <c r="Q6" s="29" t="s">
        <v>58</v>
      </c>
      <c r="R6" s="28" t="s">
        <v>59</v>
      </c>
      <c r="S6" s="28" t="s">
        <v>60</v>
      </c>
      <c r="T6" s="30" t="s">
        <v>61</v>
      </c>
      <c r="U6" s="25" t="s">
        <v>48</v>
      </c>
      <c r="V6" s="25" t="s">
        <v>62</v>
      </c>
      <c r="W6" s="25" t="s">
        <v>49</v>
      </c>
      <c r="X6" s="31" t="s">
        <v>63</v>
      </c>
      <c r="Y6" s="30" t="s">
        <v>50</v>
      </c>
      <c r="Z6" s="26" t="s">
        <v>64</v>
      </c>
      <c r="AA6" s="26" t="s">
        <v>52</v>
      </c>
      <c r="AB6" s="26" t="s">
        <v>65</v>
      </c>
      <c r="AC6" s="26" t="s">
        <v>66</v>
      </c>
      <c r="AD6" s="30" t="s">
        <v>59</v>
      </c>
      <c r="AE6" s="30" t="s">
        <v>60</v>
      </c>
      <c r="AF6" s="25" t="s">
        <v>55</v>
      </c>
      <c r="AG6" s="32" t="s">
        <v>67</v>
      </c>
      <c r="AH6" s="32" t="s">
        <v>68</v>
      </c>
      <c r="AI6" s="33" t="s">
        <v>69</v>
      </c>
      <c r="AJ6" s="33" t="s">
        <v>70</v>
      </c>
      <c r="AK6" s="34" t="s">
        <v>71</v>
      </c>
      <c r="AL6" s="33" t="s">
        <v>72</v>
      </c>
      <c r="AM6" s="33" t="s">
        <v>92</v>
      </c>
    </row>
    <row r="7" spans="3:43" x14ac:dyDescent="0.2">
      <c r="C7" s="35">
        <v>0.25017279451653179</v>
      </c>
      <c r="D7" s="36">
        <v>4.0466000000000002E-7</v>
      </c>
      <c r="E7" s="36">
        <v>9.3791801911535574E-3</v>
      </c>
      <c r="F7" s="36">
        <v>0</v>
      </c>
      <c r="G7" s="78">
        <f>COUNTA(D7:D16)</f>
        <v>4</v>
      </c>
      <c r="H7" s="65">
        <f>SUM(C7:C16)</f>
        <v>1.20542973943081</v>
      </c>
      <c r="I7" s="65">
        <f>SUM(D7:D16)</f>
        <v>1.9635400000000002E-6</v>
      </c>
      <c r="J7" s="37">
        <f t="shared" ref="J7:J16" si="0">C7*D7</f>
        <v>1.0123492302905976E-7</v>
      </c>
      <c r="K7" s="65">
        <f>SUM(J7:J16)</f>
        <v>6.0416717880858233E-7</v>
      </c>
      <c r="L7" s="37">
        <f t="shared" ref="L7:L16" si="1">C7^2</f>
        <v>6.2586427116210847E-2</v>
      </c>
      <c r="M7" s="65">
        <f>SUM(L7:L16)</f>
        <v>0.37066369718987546</v>
      </c>
      <c r="N7" s="65">
        <f>(G7*M7)-(H7^2)</f>
        <v>2.9593932055271388E-2</v>
      </c>
      <c r="O7" s="65">
        <f>SQRT($F$7^2+(S7*$E$7)^2)</f>
        <v>1.5770143214456325E-8</v>
      </c>
      <c r="P7" s="65">
        <f>O7*SQRT(M7/N7)</f>
        <v>5.5811581340573015E-8</v>
      </c>
      <c r="Q7" s="65">
        <f>O7*SQRT(G7/N7)</f>
        <v>1.8334298458118954E-7</v>
      </c>
      <c r="R7" s="65">
        <f>(M7*I7-H7*K7)/N7</f>
        <v>-1.5817058131873002E-8</v>
      </c>
      <c r="S7" s="65">
        <f>((G7*K7)-(H7*I7))/N7</f>
        <v>1.6813988955378772E-6</v>
      </c>
      <c r="T7" s="38">
        <f>1/(F7^2+($S$7*E7)^2)</f>
        <v>4020950486920638</v>
      </c>
      <c r="U7" s="65">
        <f>SUM(T7:T16)</f>
        <v>2.8602673895631824E+16</v>
      </c>
      <c r="V7" s="39">
        <f>T7*C7</f>
        <v>1005932419925545.2</v>
      </c>
      <c r="W7" s="65">
        <f>SUM(V7:V16)</f>
        <v>9141672451016052</v>
      </c>
      <c r="X7" s="37">
        <f t="shared" ref="X7:X16" si="2">T7*D7</f>
        <v>1627117824.0373054</v>
      </c>
      <c r="Y7" s="65">
        <f>SUM(X7:X16)</f>
        <v>14916700879.68177</v>
      </c>
      <c r="Z7" s="40">
        <f t="shared" ref="Z7:Z16" si="3">T7*C7*D7</f>
        <v>407060613.04707116</v>
      </c>
      <c r="AA7" s="65">
        <f>SUM(Z7:Z16)</f>
        <v>4840669306.3683128</v>
      </c>
      <c r="AB7" s="40">
        <f>T7*L7</f>
        <v>251656924587551.03</v>
      </c>
      <c r="AC7" s="65">
        <f>SUM(AB7:AB16)</f>
        <v>2965209367906495</v>
      </c>
      <c r="AD7" s="65">
        <f>((AC7*Y7)-(W7*AA7))/AF7</f>
        <v>-1.6634237930376759E-8</v>
      </c>
      <c r="AE7" s="65">
        <f>((U7*AA7)-(W7*Y7))/AF7</f>
        <v>1.6837711748243387E-6</v>
      </c>
      <c r="AF7" s="69">
        <f>(U7*AC7)-(W7^2)</f>
        <v>1.2427413808362094E+30</v>
      </c>
      <c r="AG7" s="65">
        <f>SQRT((AC7/AF7))</f>
        <v>4.884693316313291E-8</v>
      </c>
      <c r="AH7" s="65">
        <f>SQRT((U7/AF7))</f>
        <v>1.5170955604869447E-7</v>
      </c>
      <c r="AI7" s="68">
        <f>_xlfn.STDEV.S(C7:C16)</f>
        <v>4.9660457152607335E-2</v>
      </c>
      <c r="AJ7" s="68">
        <f>_xlfn.STDEV.S(D7:D16)</f>
        <v>8.3507912000400667E-8</v>
      </c>
      <c r="AK7" s="68">
        <f>_xlfn.COVARIANCE.S(C7:C16,D7:D16)</f>
        <v>4.1466003893630974E-9</v>
      </c>
      <c r="AL7" s="68">
        <f>CORREL(C7:C16,D7:D16)</f>
        <v>0.99989373231964429</v>
      </c>
      <c r="AM7" s="63">
        <f>AL7^2</f>
        <v>0.99978747593210848</v>
      </c>
    </row>
    <row r="8" spans="3:43" x14ac:dyDescent="0.2">
      <c r="C8" s="41">
        <v>0.26831070929742873</v>
      </c>
      <c r="D8" s="42">
        <v>4.3583999999999996E-7</v>
      </c>
      <c r="E8" s="42">
        <v>9.2582862798750026E-3</v>
      </c>
      <c r="F8" s="42">
        <v>0</v>
      </c>
      <c r="G8" s="79"/>
      <c r="H8" s="66"/>
      <c r="I8" s="66"/>
      <c r="J8" s="38">
        <f t="shared" si="0"/>
        <v>1.1694053954019133E-7</v>
      </c>
      <c r="K8" s="66"/>
      <c r="L8" s="38">
        <f t="shared" si="1"/>
        <v>7.1990636723689314E-2</v>
      </c>
      <c r="M8" s="66"/>
      <c r="N8" s="66"/>
      <c r="O8" s="66"/>
      <c r="P8" s="66"/>
      <c r="Q8" s="66"/>
      <c r="R8" s="66"/>
      <c r="S8" s="66"/>
      <c r="T8" s="38">
        <f t="shared" ref="T8:T10" si="4">1/(F8^2+($S$7*E8)^2)</f>
        <v>4126646551573268.5</v>
      </c>
      <c r="U8" s="66"/>
      <c r="V8" s="43">
        <f t="shared" ref="V8:V16" si="5">T8*C8</f>
        <v>1107223463272412</v>
      </c>
      <c r="W8" s="66"/>
      <c r="X8" s="38">
        <f t="shared" si="2"/>
        <v>1798557633.0376933</v>
      </c>
      <c r="Y8" s="66"/>
      <c r="Z8" s="44">
        <f t="shared" si="3"/>
        <v>482572274.23264802</v>
      </c>
      <c r="AA8" s="66"/>
      <c r="AB8" s="44">
        <f t="shared" ref="AB8:AB16" si="6">T8*L8</f>
        <v>297079912781376.44</v>
      </c>
      <c r="AC8" s="66"/>
      <c r="AD8" s="66"/>
      <c r="AE8" s="66"/>
      <c r="AF8" s="70"/>
      <c r="AG8" s="66"/>
      <c r="AH8" s="66"/>
      <c r="AI8" s="63"/>
      <c r="AJ8" s="63"/>
      <c r="AK8" s="63"/>
      <c r="AL8" s="63"/>
      <c r="AM8" s="63"/>
      <c r="AN8" s="58" t="s">
        <v>10</v>
      </c>
      <c r="AO8" s="11" t="s">
        <v>73</v>
      </c>
      <c r="AP8" s="11" t="s">
        <v>74</v>
      </c>
      <c r="AQ8" s="11" t="s">
        <v>75</v>
      </c>
    </row>
    <row r="9" spans="3:43" x14ac:dyDescent="0.2">
      <c r="C9" s="41">
        <v>0.33513441179683684</v>
      </c>
      <c r="D9" s="42">
        <v>5.4606999999999997E-7</v>
      </c>
      <c r="E9" s="42">
        <v>5.9288436144799292E-3</v>
      </c>
      <c r="F9" s="42">
        <v>0</v>
      </c>
      <c r="G9" s="79"/>
      <c r="H9" s="66"/>
      <c r="I9" s="66"/>
      <c r="J9" s="38">
        <f t="shared" si="0"/>
        <v>1.8300684824989867E-7</v>
      </c>
      <c r="K9" s="66"/>
      <c r="L9" s="38">
        <f t="shared" si="1"/>
        <v>0.11231507397041181</v>
      </c>
      <c r="M9" s="66"/>
      <c r="N9" s="66"/>
      <c r="O9" s="66"/>
      <c r="P9" s="66"/>
      <c r="Q9" s="66"/>
      <c r="R9" s="66"/>
      <c r="S9" s="66"/>
      <c r="T9" s="38">
        <f t="shared" si="4"/>
        <v>1.0062791962980362E+16</v>
      </c>
      <c r="U9" s="66"/>
      <c r="V9" s="43">
        <f t="shared" si="5"/>
        <v>3372387865547361</v>
      </c>
      <c r="W9" s="66"/>
      <c r="X9" s="38">
        <f t="shared" si="2"/>
        <v>5494988807.2246857</v>
      </c>
      <c r="Y9" s="66"/>
      <c r="Z9" s="44">
        <f t="shared" si="3"/>
        <v>1841559841.7394474</v>
      </c>
      <c r="AA9" s="66"/>
      <c r="AB9" s="44">
        <f t="shared" si="6"/>
        <v>1130203223671004.8</v>
      </c>
      <c r="AC9" s="66"/>
      <c r="AD9" s="66"/>
      <c r="AE9" s="66"/>
      <c r="AF9" s="70"/>
      <c r="AG9" s="66"/>
      <c r="AH9" s="66"/>
      <c r="AI9" s="63"/>
      <c r="AJ9" s="63"/>
      <c r="AK9" s="63"/>
      <c r="AL9" s="63"/>
      <c r="AM9" s="63"/>
      <c r="AN9" s="58">
        <v>1.6837711748243387E-6</v>
      </c>
      <c r="AO9" s="11">
        <v>1.5170955604869447E-7</v>
      </c>
      <c r="AP9" s="11">
        <v>-1.6634237930376759E-8</v>
      </c>
      <c r="AQ9" s="11">
        <v>4.884693316313291E-8</v>
      </c>
    </row>
    <row r="10" spans="3:43" x14ac:dyDescent="0.2">
      <c r="C10" s="41">
        <v>0.35181182382001247</v>
      </c>
      <c r="D10" s="42">
        <v>5.7696999999999996E-7</v>
      </c>
      <c r="E10" s="42">
        <v>5.834098002235652E-3</v>
      </c>
      <c r="F10" s="42">
        <v>0</v>
      </c>
      <c r="G10" s="79"/>
      <c r="H10" s="66"/>
      <c r="I10" s="66"/>
      <c r="J10" s="38">
        <f t="shared" si="0"/>
        <v>2.0298486798943259E-7</v>
      </c>
      <c r="K10" s="66"/>
      <c r="L10" s="38">
        <f t="shared" si="1"/>
        <v>0.12377155937956349</v>
      </c>
      <c r="M10" s="66"/>
      <c r="N10" s="66"/>
      <c r="O10" s="66"/>
      <c r="P10" s="66"/>
      <c r="Q10" s="66"/>
      <c r="R10" s="66"/>
      <c r="S10" s="66"/>
      <c r="T10" s="38">
        <f t="shared" si="4"/>
        <v>1.0392284894157556E+16</v>
      </c>
      <c r="U10" s="66"/>
      <c r="V10" s="43">
        <f t="shared" si="5"/>
        <v>3656128702270735</v>
      </c>
      <c r="W10" s="66"/>
      <c r="X10" s="38">
        <f t="shared" si="2"/>
        <v>5996036615.3820848</v>
      </c>
      <c r="Y10" s="66"/>
      <c r="Z10" s="44">
        <f t="shared" si="3"/>
        <v>2109476577.3491459</v>
      </c>
      <c r="AA10" s="66"/>
      <c r="AB10" s="44">
        <f t="shared" si="6"/>
        <v>1286269306866562.8</v>
      </c>
      <c r="AC10" s="66"/>
      <c r="AD10" s="66"/>
      <c r="AE10" s="66"/>
      <c r="AF10" s="70"/>
      <c r="AG10" s="66"/>
      <c r="AH10" s="66"/>
      <c r="AI10" s="63"/>
      <c r="AJ10" s="63"/>
      <c r="AK10" s="63"/>
      <c r="AL10" s="63"/>
      <c r="AM10" s="63"/>
    </row>
    <row r="11" spans="3:43" x14ac:dyDescent="0.2">
      <c r="C11" s="41"/>
      <c r="D11" s="42"/>
      <c r="E11" s="42"/>
      <c r="F11" s="42"/>
      <c r="G11" s="79"/>
      <c r="H11" s="66"/>
      <c r="I11" s="66"/>
      <c r="J11" s="38">
        <f t="shared" si="0"/>
        <v>0</v>
      </c>
      <c r="K11" s="66"/>
      <c r="L11" s="38">
        <f t="shared" si="1"/>
        <v>0</v>
      </c>
      <c r="M11" s="66"/>
      <c r="N11" s="66"/>
      <c r="O11" s="66"/>
      <c r="P11" s="66"/>
      <c r="Q11" s="66"/>
      <c r="R11" s="66"/>
      <c r="S11" s="66"/>
      <c r="T11" s="38"/>
      <c r="U11" s="66"/>
      <c r="V11" s="43">
        <f t="shared" si="5"/>
        <v>0</v>
      </c>
      <c r="W11" s="66"/>
      <c r="X11" s="38">
        <f t="shared" si="2"/>
        <v>0</v>
      </c>
      <c r="Y11" s="66"/>
      <c r="Z11" s="44">
        <f t="shared" si="3"/>
        <v>0</v>
      </c>
      <c r="AA11" s="66"/>
      <c r="AB11" s="44">
        <f t="shared" si="6"/>
        <v>0</v>
      </c>
      <c r="AC11" s="66"/>
      <c r="AD11" s="66"/>
      <c r="AE11" s="66"/>
      <c r="AF11" s="70"/>
      <c r="AG11" s="66"/>
      <c r="AH11" s="66"/>
      <c r="AI11" s="63"/>
      <c r="AJ11" s="63"/>
      <c r="AK11" s="63"/>
      <c r="AL11" s="63"/>
      <c r="AM11" s="63"/>
    </row>
    <row r="12" spans="3:43" x14ac:dyDescent="0.2">
      <c r="C12" s="41"/>
      <c r="D12" s="42"/>
      <c r="E12" s="42"/>
      <c r="F12" s="42"/>
      <c r="G12" s="79"/>
      <c r="H12" s="66"/>
      <c r="I12" s="66"/>
      <c r="J12" s="38">
        <f t="shared" si="0"/>
        <v>0</v>
      </c>
      <c r="K12" s="66"/>
      <c r="L12" s="38">
        <f t="shared" si="1"/>
        <v>0</v>
      </c>
      <c r="M12" s="66"/>
      <c r="N12" s="66"/>
      <c r="O12" s="66"/>
      <c r="P12" s="66"/>
      <c r="Q12" s="66"/>
      <c r="R12" s="66"/>
      <c r="S12" s="66"/>
      <c r="T12" s="38"/>
      <c r="U12" s="66"/>
      <c r="V12" s="43">
        <f t="shared" si="5"/>
        <v>0</v>
      </c>
      <c r="W12" s="66"/>
      <c r="X12" s="38">
        <f t="shared" si="2"/>
        <v>0</v>
      </c>
      <c r="Y12" s="66"/>
      <c r="Z12" s="44">
        <f t="shared" si="3"/>
        <v>0</v>
      </c>
      <c r="AA12" s="66"/>
      <c r="AB12" s="44">
        <f t="shared" si="6"/>
        <v>0</v>
      </c>
      <c r="AC12" s="66"/>
      <c r="AD12" s="66"/>
      <c r="AE12" s="66"/>
      <c r="AF12" s="70"/>
      <c r="AG12" s="66"/>
      <c r="AH12" s="66"/>
      <c r="AI12" s="63"/>
      <c r="AJ12" s="63"/>
      <c r="AK12" s="63"/>
      <c r="AL12" s="63"/>
      <c r="AM12" s="63"/>
    </row>
    <row r="13" spans="3:43" x14ac:dyDescent="0.2">
      <c r="C13" s="41"/>
      <c r="D13" s="42"/>
      <c r="E13" s="42"/>
      <c r="F13" s="42"/>
      <c r="G13" s="79"/>
      <c r="H13" s="66"/>
      <c r="I13" s="66"/>
      <c r="J13" s="38">
        <f t="shared" si="0"/>
        <v>0</v>
      </c>
      <c r="K13" s="66"/>
      <c r="L13" s="38">
        <f t="shared" si="1"/>
        <v>0</v>
      </c>
      <c r="M13" s="66"/>
      <c r="N13" s="66"/>
      <c r="O13" s="66"/>
      <c r="P13" s="66"/>
      <c r="Q13" s="66"/>
      <c r="R13" s="66"/>
      <c r="S13" s="66"/>
      <c r="T13" s="38"/>
      <c r="U13" s="66"/>
      <c r="V13" s="43">
        <f t="shared" si="5"/>
        <v>0</v>
      </c>
      <c r="W13" s="66"/>
      <c r="X13" s="38">
        <f t="shared" si="2"/>
        <v>0</v>
      </c>
      <c r="Y13" s="66"/>
      <c r="Z13" s="44">
        <f t="shared" si="3"/>
        <v>0</v>
      </c>
      <c r="AA13" s="66"/>
      <c r="AB13" s="44">
        <f t="shared" si="6"/>
        <v>0</v>
      </c>
      <c r="AC13" s="66"/>
      <c r="AD13" s="66"/>
      <c r="AE13" s="66"/>
      <c r="AF13" s="70"/>
      <c r="AG13" s="66"/>
      <c r="AH13" s="66"/>
      <c r="AI13" s="63"/>
      <c r="AJ13" s="63"/>
      <c r="AK13" s="63"/>
      <c r="AL13" s="63"/>
      <c r="AM13" s="63"/>
    </row>
    <row r="14" spans="3:43" x14ac:dyDescent="0.2">
      <c r="C14" s="41"/>
      <c r="D14" s="42"/>
      <c r="E14" s="42"/>
      <c r="F14" s="42"/>
      <c r="G14" s="79"/>
      <c r="H14" s="66"/>
      <c r="I14" s="66"/>
      <c r="J14" s="38">
        <f t="shared" si="0"/>
        <v>0</v>
      </c>
      <c r="K14" s="66"/>
      <c r="L14" s="38">
        <f t="shared" si="1"/>
        <v>0</v>
      </c>
      <c r="M14" s="66"/>
      <c r="N14" s="66"/>
      <c r="O14" s="66"/>
      <c r="P14" s="66"/>
      <c r="Q14" s="66"/>
      <c r="R14" s="66"/>
      <c r="S14" s="66"/>
      <c r="T14" s="38"/>
      <c r="U14" s="66"/>
      <c r="V14" s="43">
        <f t="shared" si="5"/>
        <v>0</v>
      </c>
      <c r="W14" s="66"/>
      <c r="X14" s="38">
        <f t="shared" si="2"/>
        <v>0</v>
      </c>
      <c r="Y14" s="66"/>
      <c r="Z14" s="44">
        <f t="shared" si="3"/>
        <v>0</v>
      </c>
      <c r="AA14" s="66"/>
      <c r="AB14" s="44">
        <f t="shared" si="6"/>
        <v>0</v>
      </c>
      <c r="AC14" s="66"/>
      <c r="AD14" s="66"/>
      <c r="AE14" s="66"/>
      <c r="AF14" s="70"/>
      <c r="AG14" s="66"/>
      <c r="AH14" s="66"/>
      <c r="AI14" s="63"/>
      <c r="AJ14" s="63"/>
      <c r="AK14" s="63"/>
      <c r="AL14" s="63"/>
      <c r="AM14" s="63"/>
    </row>
    <row r="15" spans="3:43" x14ac:dyDescent="0.2">
      <c r="C15" s="41"/>
      <c r="D15" s="42"/>
      <c r="E15" s="42"/>
      <c r="F15" s="42"/>
      <c r="G15" s="79"/>
      <c r="H15" s="66"/>
      <c r="I15" s="66"/>
      <c r="J15" s="38">
        <f t="shared" si="0"/>
        <v>0</v>
      </c>
      <c r="K15" s="66"/>
      <c r="L15" s="38">
        <f t="shared" si="1"/>
        <v>0</v>
      </c>
      <c r="M15" s="66"/>
      <c r="N15" s="66"/>
      <c r="O15" s="66"/>
      <c r="P15" s="66"/>
      <c r="Q15" s="66"/>
      <c r="R15" s="66"/>
      <c r="S15" s="66"/>
      <c r="T15" s="38"/>
      <c r="U15" s="66"/>
      <c r="V15" s="43">
        <f t="shared" si="5"/>
        <v>0</v>
      </c>
      <c r="W15" s="66"/>
      <c r="X15" s="38">
        <f t="shared" si="2"/>
        <v>0</v>
      </c>
      <c r="Y15" s="66"/>
      <c r="Z15" s="44">
        <f t="shared" si="3"/>
        <v>0</v>
      </c>
      <c r="AA15" s="66"/>
      <c r="AB15" s="44">
        <f t="shared" si="6"/>
        <v>0</v>
      </c>
      <c r="AC15" s="66"/>
      <c r="AD15" s="66"/>
      <c r="AE15" s="66"/>
      <c r="AF15" s="70"/>
      <c r="AG15" s="66"/>
      <c r="AH15" s="66"/>
      <c r="AI15" s="63"/>
      <c r="AJ15" s="63"/>
      <c r="AK15" s="63"/>
      <c r="AL15" s="63"/>
      <c r="AM15" s="63"/>
    </row>
    <row r="16" spans="3:43" ht="17" thickBot="1" x14ac:dyDescent="0.25">
      <c r="C16" s="45"/>
      <c r="D16" s="46"/>
      <c r="E16" s="46"/>
      <c r="F16" s="46"/>
      <c r="G16" s="80"/>
      <c r="H16" s="67"/>
      <c r="I16" s="67"/>
      <c r="J16" s="47">
        <f t="shared" si="0"/>
        <v>0</v>
      </c>
      <c r="K16" s="67"/>
      <c r="L16" s="47">
        <f t="shared" si="1"/>
        <v>0</v>
      </c>
      <c r="M16" s="67"/>
      <c r="N16" s="67"/>
      <c r="O16" s="67"/>
      <c r="P16" s="67"/>
      <c r="Q16" s="67"/>
      <c r="R16" s="67"/>
      <c r="S16" s="67"/>
      <c r="T16" s="47"/>
      <c r="U16" s="67"/>
      <c r="V16" s="48">
        <f t="shared" si="5"/>
        <v>0</v>
      </c>
      <c r="W16" s="67"/>
      <c r="X16" s="47">
        <f t="shared" si="2"/>
        <v>0</v>
      </c>
      <c r="Y16" s="67"/>
      <c r="Z16" s="49">
        <f t="shared" si="3"/>
        <v>0</v>
      </c>
      <c r="AA16" s="67"/>
      <c r="AB16" s="49">
        <f t="shared" si="6"/>
        <v>0</v>
      </c>
      <c r="AC16" s="67"/>
      <c r="AD16" s="67"/>
      <c r="AE16" s="67"/>
      <c r="AF16" s="71"/>
      <c r="AG16" s="67"/>
      <c r="AH16" s="67"/>
      <c r="AI16" s="64"/>
      <c r="AJ16" s="64"/>
      <c r="AK16" s="64"/>
      <c r="AL16" s="64"/>
      <c r="AM16" s="64"/>
    </row>
    <row r="22" spans="3:43" ht="17" thickBot="1" x14ac:dyDescent="0.25"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</row>
    <row r="23" spans="3:43" ht="17" thickBot="1" x14ac:dyDescent="0.25">
      <c r="C23" s="24"/>
      <c r="D23" s="24"/>
      <c r="E23" s="24"/>
      <c r="F23" s="24"/>
      <c r="G23" s="72" t="s">
        <v>42</v>
      </c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4"/>
      <c r="T23" s="75" t="s">
        <v>43</v>
      </c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7"/>
      <c r="AI23" s="24"/>
      <c r="AJ23" s="24"/>
      <c r="AK23" s="24"/>
      <c r="AL23" s="24"/>
    </row>
    <row r="24" spans="3:43" ht="18" thickBot="1" x14ac:dyDescent="0.25">
      <c r="C24" s="27" t="s">
        <v>44</v>
      </c>
      <c r="D24" s="27" t="s">
        <v>45</v>
      </c>
      <c r="E24" s="27" t="s">
        <v>46</v>
      </c>
      <c r="F24" s="27" t="s">
        <v>47</v>
      </c>
      <c r="G24" s="28" t="s">
        <v>48</v>
      </c>
      <c r="H24" s="28" t="s">
        <v>49</v>
      </c>
      <c r="I24" s="28" t="s">
        <v>50</v>
      </c>
      <c r="J24" s="28" t="s">
        <v>51</v>
      </c>
      <c r="K24" s="28" t="s">
        <v>52</v>
      </c>
      <c r="L24" s="28" t="s">
        <v>53</v>
      </c>
      <c r="M24" s="28" t="s">
        <v>54</v>
      </c>
      <c r="N24" s="28" t="s">
        <v>55</v>
      </c>
      <c r="O24" s="29" t="s">
        <v>56</v>
      </c>
      <c r="P24" s="29" t="s">
        <v>57</v>
      </c>
      <c r="Q24" s="29" t="s">
        <v>58</v>
      </c>
      <c r="R24" s="28" t="s">
        <v>59</v>
      </c>
      <c r="S24" s="28" t="s">
        <v>60</v>
      </c>
      <c r="T24" s="30" t="s">
        <v>61</v>
      </c>
      <c r="U24" s="25" t="s">
        <v>48</v>
      </c>
      <c r="V24" s="25" t="s">
        <v>62</v>
      </c>
      <c r="W24" s="25" t="s">
        <v>49</v>
      </c>
      <c r="X24" s="31" t="s">
        <v>63</v>
      </c>
      <c r="Y24" s="30" t="s">
        <v>50</v>
      </c>
      <c r="Z24" s="26" t="s">
        <v>64</v>
      </c>
      <c r="AA24" s="26" t="s">
        <v>52</v>
      </c>
      <c r="AB24" s="26" t="s">
        <v>65</v>
      </c>
      <c r="AC24" s="26" t="s">
        <v>66</v>
      </c>
      <c r="AD24" s="30" t="s">
        <v>59</v>
      </c>
      <c r="AE24" s="30" t="s">
        <v>60</v>
      </c>
      <c r="AF24" s="25" t="s">
        <v>55</v>
      </c>
      <c r="AG24" s="32" t="s">
        <v>67</v>
      </c>
      <c r="AH24" s="32" t="s">
        <v>68</v>
      </c>
      <c r="AI24" s="33" t="s">
        <v>69</v>
      </c>
      <c r="AJ24" s="33" t="s">
        <v>70</v>
      </c>
      <c r="AK24" s="34" t="s">
        <v>71</v>
      </c>
      <c r="AL24" s="33" t="s">
        <v>72</v>
      </c>
      <c r="AM24" s="33" t="s">
        <v>92</v>
      </c>
    </row>
    <row r="25" spans="3:43" x14ac:dyDescent="0.2">
      <c r="C25" s="35">
        <v>0.24889603134148708</v>
      </c>
      <c r="D25" s="36">
        <v>4.0466000000000002E-7</v>
      </c>
      <c r="E25" s="36">
        <v>1.0392242140464678E-2</v>
      </c>
      <c r="F25" s="36">
        <v>0</v>
      </c>
      <c r="G25" s="78">
        <f>COUNTA(D25:D34)</f>
        <v>4</v>
      </c>
      <c r="H25" s="65">
        <f>SUM(C25:C34)</f>
        <v>1.1954682377204471</v>
      </c>
      <c r="I25" s="65">
        <f>SUM(D25:D34)</f>
        <v>1.9635400000000002E-6</v>
      </c>
      <c r="J25" s="37">
        <f t="shared" ref="J25:J34" si="7">C25*D25</f>
        <v>1.0071826804264617E-7</v>
      </c>
      <c r="K25" s="65">
        <f>SUM(J25:J34)</f>
        <v>5.9934101303003339E-7</v>
      </c>
      <c r="L25" s="37">
        <f t="shared" ref="L25:L34" si="8">C25^2</f>
        <v>6.194923441754252E-2</v>
      </c>
      <c r="M25" s="65">
        <f>SUM(L25:L34)</f>
        <v>0.36476531654922023</v>
      </c>
      <c r="N25" s="65">
        <f>(G25*M25)-(H25^2)</f>
        <v>2.9916958798449578E-2</v>
      </c>
      <c r="O25" s="65">
        <f>SQRT($F$25^2+(S25*$E$25)^2)</f>
        <v>1.7373464493035987E-8</v>
      </c>
      <c r="P25" s="65">
        <f>O25*SQRT(M25/N25)</f>
        <v>6.0664479800115604E-8</v>
      </c>
      <c r="Q25" s="65">
        <f>O25*SQRT(G25/N25)</f>
        <v>2.0088971609630275E-7</v>
      </c>
      <c r="R25" s="65">
        <f>(M25*I25-H25*K25)/N25</f>
        <v>-8.7527273513892124E-9</v>
      </c>
      <c r="S25" s="65">
        <f>((G25*K25)-(H25*I25))/N25</f>
        <v>1.6717724874200393E-6</v>
      </c>
      <c r="T25" s="38">
        <f>1/(F25^2+($S$25*E25)^2)</f>
        <v>3313043498571612</v>
      </c>
      <c r="U25" s="65">
        <f>SUM(T25:T34)</f>
        <v>4.5306166885186032E+16</v>
      </c>
      <c r="V25" s="39">
        <f>T25*C25</f>
        <v>824603378456190</v>
      </c>
      <c r="W25" s="65">
        <f>SUM(V25:V34)</f>
        <v>1.4164146095816158E+16</v>
      </c>
      <c r="X25" s="37">
        <f t="shared" ref="X25:X34" si="9">T25*D25</f>
        <v>1340656182.1319885</v>
      </c>
      <c r="Y25" s="65">
        <f>SUM(X25:X34)</f>
        <v>23307530403.516617</v>
      </c>
      <c r="Z25" s="40">
        <f t="shared" ref="Z25:Z34" si="10">T25*C25*D25</f>
        <v>333684003.12608188</v>
      </c>
      <c r="AA25" s="65">
        <f>SUM(Z25:Z34)</f>
        <v>7402960952.0680141</v>
      </c>
      <c r="AB25" s="40">
        <f>T25*L25</f>
        <v>205240508328528</v>
      </c>
      <c r="AC25" s="65">
        <f>SUM(AB25:AB34)</f>
        <v>4498718565249400.5</v>
      </c>
      <c r="AD25" s="65">
        <f>((AC25*Y25)-(W25*AA25))/AF25</f>
        <v>-8.1357752636451324E-10</v>
      </c>
      <c r="AE25" s="65">
        <f>((U25*AA25)-(W25*Y25))/AF25</f>
        <v>1.6481325683018647E-6</v>
      </c>
      <c r="AF25" s="69">
        <f>(U25*AC25)-(W25^2)</f>
        <v>3.1966594630498921E+30</v>
      </c>
      <c r="AG25" s="65">
        <f>SQRT((AC25/AF25))</f>
        <v>3.7514246315938664E-8</v>
      </c>
      <c r="AH25" s="65">
        <f>SQRT((U25/AF25))</f>
        <v>1.190502942874207E-7</v>
      </c>
      <c r="AI25" s="68">
        <f>_xlfn.STDEV.S(C25:C34)</f>
        <v>4.9930751044529646E-2</v>
      </c>
      <c r="AJ25" s="68">
        <f>_xlfn.STDEV.S(D25:D34)</f>
        <v>8.3507912000400667E-8</v>
      </c>
      <c r="AK25" s="68">
        <f>_xlfn.COVARIANCE.S(C25:C34,D25:D34)</f>
        <v>4.1678623855439191E-9</v>
      </c>
      <c r="AL25" s="68">
        <f>CORREL(C25:C34,D25:D34)</f>
        <v>0.99958020590987828</v>
      </c>
      <c r="AM25" s="63">
        <f>AL25^2</f>
        <v>0.99916058804683472</v>
      </c>
    </row>
    <row r="26" spans="3:43" x14ac:dyDescent="0.2">
      <c r="C26" s="41">
        <v>0.26402916292233414</v>
      </c>
      <c r="D26" s="42">
        <v>4.3583999999999996E-7</v>
      </c>
      <c r="E26" s="42">
        <v>5.2673808373464972E-3</v>
      </c>
      <c r="F26" s="42">
        <v>0</v>
      </c>
      <c r="G26" s="79"/>
      <c r="H26" s="66"/>
      <c r="I26" s="66"/>
      <c r="J26" s="38">
        <f t="shared" si="7"/>
        <v>1.1507447036807011E-7</v>
      </c>
      <c r="K26" s="66"/>
      <c r="L26" s="38">
        <f t="shared" si="8"/>
        <v>6.9711398873468458E-2</v>
      </c>
      <c r="M26" s="66"/>
      <c r="N26" s="66"/>
      <c r="O26" s="66"/>
      <c r="P26" s="66"/>
      <c r="Q26" s="66"/>
      <c r="R26" s="66"/>
      <c r="S26" s="66"/>
      <c r="T26" s="38">
        <f t="shared" ref="T26:T28" si="11">1/(F26^2+($S$25*E26)^2)</f>
        <v>1.2896035312462854E+16</v>
      </c>
      <c r="U26" s="66"/>
      <c r="V26" s="43">
        <f t="shared" ref="V26:V34" si="12">T26*C26</f>
        <v>3404929408566429</v>
      </c>
      <c r="W26" s="66"/>
      <c r="X26" s="38">
        <f t="shared" si="9"/>
        <v>5620608030.5838099</v>
      </c>
      <c r="Y26" s="66"/>
      <c r="Z26" s="44">
        <f t="shared" si="10"/>
        <v>1484004433.4295924</v>
      </c>
      <c r="AA26" s="66"/>
      <c r="AB26" s="44">
        <f t="shared" ref="AB26:AB34" si="13">T26*L26</f>
        <v>899000661553432.5</v>
      </c>
      <c r="AC26" s="66"/>
      <c r="AD26" s="66"/>
      <c r="AE26" s="66"/>
      <c r="AF26" s="70"/>
      <c r="AG26" s="66"/>
      <c r="AH26" s="66"/>
      <c r="AI26" s="63"/>
      <c r="AJ26" s="63"/>
      <c r="AK26" s="63"/>
      <c r="AL26" s="63"/>
      <c r="AM26" s="63"/>
      <c r="AN26" s="11" t="s">
        <v>10</v>
      </c>
      <c r="AO26" s="11" t="s">
        <v>73</v>
      </c>
      <c r="AP26" s="11" t="s">
        <v>74</v>
      </c>
      <c r="AQ26" s="11" t="s">
        <v>75</v>
      </c>
    </row>
    <row r="27" spans="3:43" x14ac:dyDescent="0.2">
      <c r="C27" s="41">
        <v>0.33199304737386004</v>
      </c>
      <c r="D27" s="42">
        <v>5.4606999999999997E-7</v>
      </c>
      <c r="E27" s="42">
        <v>5.002067428759146E-3</v>
      </c>
      <c r="F27" s="42">
        <v>0</v>
      </c>
      <c r="G27" s="79"/>
      <c r="H27" s="66"/>
      <c r="I27" s="66"/>
      <c r="J27" s="38">
        <f t="shared" si="7"/>
        <v>1.8129144337944373E-7</v>
      </c>
      <c r="K27" s="66"/>
      <c r="L27" s="38">
        <f t="shared" si="8"/>
        <v>0.11021938350458207</v>
      </c>
      <c r="M27" s="66"/>
      <c r="N27" s="66"/>
      <c r="O27" s="66"/>
      <c r="P27" s="66"/>
      <c r="Q27" s="66"/>
      <c r="R27" s="66"/>
      <c r="S27" s="66"/>
      <c r="T27" s="38">
        <f t="shared" si="11"/>
        <v>1.4300346774835246E+16</v>
      </c>
      <c r="U27" s="66"/>
      <c r="V27" s="43">
        <f t="shared" si="12"/>
        <v>4747615704280504</v>
      </c>
      <c r="W27" s="66"/>
      <c r="X27" s="38">
        <f t="shared" si="9"/>
        <v>7808990363.3342819</v>
      </c>
      <c r="Y27" s="66"/>
      <c r="Z27" s="44">
        <f t="shared" si="10"/>
        <v>2592530507.6364546</v>
      </c>
      <c r="AA27" s="66"/>
      <c r="AB27" s="44">
        <f t="shared" si="13"/>
        <v>1576175405424079.5</v>
      </c>
      <c r="AC27" s="66"/>
      <c r="AD27" s="66"/>
      <c r="AE27" s="66"/>
      <c r="AF27" s="70"/>
      <c r="AG27" s="66"/>
      <c r="AH27" s="66"/>
      <c r="AI27" s="63"/>
      <c r="AJ27" s="63"/>
      <c r="AK27" s="63"/>
      <c r="AL27" s="63"/>
      <c r="AM27" s="63"/>
      <c r="AN27" s="11">
        <v>1.6481325683018647E-6</v>
      </c>
      <c r="AO27" s="11">
        <v>1.190502942874207E-7</v>
      </c>
      <c r="AP27" s="11">
        <v>-8.1357752636451324E-10</v>
      </c>
      <c r="AQ27" s="11">
        <v>3.7514246315938664E-8</v>
      </c>
    </row>
    <row r="28" spans="3:43" x14ac:dyDescent="0.2">
      <c r="C28" s="41">
        <v>0.35054999608276588</v>
      </c>
      <c r="D28" s="42">
        <v>5.7696999999999996E-7</v>
      </c>
      <c r="E28" s="42">
        <v>4.9174481103194294E-3</v>
      </c>
      <c r="F28" s="42">
        <v>0</v>
      </c>
      <c r="G28" s="79"/>
      <c r="H28" s="66"/>
      <c r="I28" s="66"/>
      <c r="J28" s="38">
        <f t="shared" si="7"/>
        <v>2.0225683123987341E-7</v>
      </c>
      <c r="K28" s="66"/>
      <c r="L28" s="38">
        <f t="shared" si="8"/>
        <v>0.12288529975362718</v>
      </c>
      <c r="M28" s="66"/>
      <c r="N28" s="66"/>
      <c r="O28" s="66"/>
      <c r="P28" s="66"/>
      <c r="Q28" s="66"/>
      <c r="R28" s="66"/>
      <c r="S28" s="66"/>
      <c r="T28" s="38">
        <f t="shared" si="11"/>
        <v>1.4796741299316318E+16</v>
      </c>
      <c r="U28" s="66"/>
      <c r="V28" s="43">
        <f t="shared" si="12"/>
        <v>5186997604513035</v>
      </c>
      <c r="W28" s="66"/>
      <c r="X28" s="38">
        <f t="shared" si="9"/>
        <v>8537275827.4665356</v>
      </c>
      <c r="Y28" s="66"/>
      <c r="Z28" s="44">
        <f t="shared" si="10"/>
        <v>2992742007.8758855</v>
      </c>
      <c r="AA28" s="66"/>
      <c r="AB28" s="44">
        <f t="shared" si="13"/>
        <v>1818301989943360.5</v>
      </c>
      <c r="AC28" s="66"/>
      <c r="AD28" s="66"/>
      <c r="AE28" s="66"/>
      <c r="AF28" s="70"/>
      <c r="AG28" s="66"/>
      <c r="AH28" s="66"/>
      <c r="AI28" s="63"/>
      <c r="AJ28" s="63"/>
      <c r="AK28" s="63"/>
      <c r="AL28" s="63"/>
      <c r="AM28" s="63"/>
    </row>
    <row r="29" spans="3:43" x14ac:dyDescent="0.2">
      <c r="C29" s="41"/>
      <c r="D29" s="42"/>
      <c r="E29" s="42"/>
      <c r="F29" s="42"/>
      <c r="G29" s="79"/>
      <c r="H29" s="66"/>
      <c r="I29" s="66"/>
      <c r="J29" s="38">
        <f t="shared" si="7"/>
        <v>0</v>
      </c>
      <c r="K29" s="66"/>
      <c r="L29" s="38">
        <f t="shared" si="8"/>
        <v>0</v>
      </c>
      <c r="M29" s="66"/>
      <c r="N29" s="66"/>
      <c r="O29" s="66"/>
      <c r="P29" s="66"/>
      <c r="Q29" s="66"/>
      <c r="R29" s="66"/>
      <c r="S29" s="66"/>
      <c r="T29" s="38"/>
      <c r="U29" s="66"/>
      <c r="V29" s="43">
        <f t="shared" si="12"/>
        <v>0</v>
      </c>
      <c r="W29" s="66"/>
      <c r="X29" s="38">
        <f t="shared" si="9"/>
        <v>0</v>
      </c>
      <c r="Y29" s="66"/>
      <c r="Z29" s="44">
        <f t="shared" si="10"/>
        <v>0</v>
      </c>
      <c r="AA29" s="66"/>
      <c r="AB29" s="44">
        <f t="shared" si="13"/>
        <v>0</v>
      </c>
      <c r="AC29" s="66"/>
      <c r="AD29" s="66"/>
      <c r="AE29" s="66"/>
      <c r="AF29" s="70"/>
      <c r="AG29" s="66"/>
      <c r="AH29" s="66"/>
      <c r="AI29" s="63"/>
      <c r="AJ29" s="63"/>
      <c r="AK29" s="63"/>
      <c r="AL29" s="63"/>
      <c r="AM29" s="63"/>
    </row>
    <row r="30" spans="3:43" x14ac:dyDescent="0.2">
      <c r="C30" s="41"/>
      <c r="D30" s="42"/>
      <c r="E30" s="42"/>
      <c r="F30" s="42"/>
      <c r="G30" s="79"/>
      <c r="H30" s="66"/>
      <c r="I30" s="66"/>
      <c r="J30" s="38">
        <f t="shared" si="7"/>
        <v>0</v>
      </c>
      <c r="K30" s="66"/>
      <c r="L30" s="38">
        <f t="shared" si="8"/>
        <v>0</v>
      </c>
      <c r="M30" s="66"/>
      <c r="N30" s="66"/>
      <c r="O30" s="66"/>
      <c r="P30" s="66"/>
      <c r="Q30" s="66"/>
      <c r="R30" s="66"/>
      <c r="S30" s="66"/>
      <c r="T30" s="38"/>
      <c r="U30" s="66"/>
      <c r="V30" s="43">
        <f t="shared" si="12"/>
        <v>0</v>
      </c>
      <c r="W30" s="66"/>
      <c r="X30" s="38">
        <f t="shared" si="9"/>
        <v>0</v>
      </c>
      <c r="Y30" s="66"/>
      <c r="Z30" s="44">
        <f t="shared" si="10"/>
        <v>0</v>
      </c>
      <c r="AA30" s="66"/>
      <c r="AB30" s="44">
        <f t="shared" si="13"/>
        <v>0</v>
      </c>
      <c r="AC30" s="66"/>
      <c r="AD30" s="66"/>
      <c r="AE30" s="66"/>
      <c r="AF30" s="70"/>
      <c r="AG30" s="66"/>
      <c r="AH30" s="66"/>
      <c r="AI30" s="63"/>
      <c r="AJ30" s="63"/>
      <c r="AK30" s="63"/>
      <c r="AL30" s="63"/>
      <c r="AM30" s="63"/>
    </row>
    <row r="31" spans="3:43" x14ac:dyDescent="0.2">
      <c r="C31" s="41"/>
      <c r="D31" s="42"/>
      <c r="E31" s="42"/>
      <c r="F31" s="42"/>
      <c r="G31" s="79"/>
      <c r="H31" s="66"/>
      <c r="I31" s="66"/>
      <c r="J31" s="38">
        <f t="shared" si="7"/>
        <v>0</v>
      </c>
      <c r="K31" s="66"/>
      <c r="L31" s="38">
        <f t="shared" si="8"/>
        <v>0</v>
      </c>
      <c r="M31" s="66"/>
      <c r="N31" s="66"/>
      <c r="O31" s="66"/>
      <c r="P31" s="66"/>
      <c r="Q31" s="66"/>
      <c r="R31" s="66"/>
      <c r="S31" s="66"/>
      <c r="T31" s="38"/>
      <c r="U31" s="66"/>
      <c r="V31" s="43">
        <f t="shared" si="12"/>
        <v>0</v>
      </c>
      <c r="W31" s="66"/>
      <c r="X31" s="38">
        <f t="shared" si="9"/>
        <v>0</v>
      </c>
      <c r="Y31" s="66"/>
      <c r="Z31" s="44">
        <f t="shared" si="10"/>
        <v>0</v>
      </c>
      <c r="AA31" s="66"/>
      <c r="AB31" s="44">
        <f t="shared" si="13"/>
        <v>0</v>
      </c>
      <c r="AC31" s="66"/>
      <c r="AD31" s="66"/>
      <c r="AE31" s="66"/>
      <c r="AF31" s="70"/>
      <c r="AG31" s="66"/>
      <c r="AH31" s="66"/>
      <c r="AI31" s="63"/>
      <c r="AJ31" s="63"/>
      <c r="AK31" s="63"/>
      <c r="AL31" s="63"/>
      <c r="AM31" s="63"/>
    </row>
    <row r="32" spans="3:43" x14ac:dyDescent="0.2">
      <c r="C32" s="41"/>
      <c r="D32" s="42"/>
      <c r="E32" s="42"/>
      <c r="F32" s="42"/>
      <c r="G32" s="79"/>
      <c r="H32" s="66"/>
      <c r="I32" s="66"/>
      <c r="J32" s="38">
        <f t="shared" si="7"/>
        <v>0</v>
      </c>
      <c r="K32" s="66"/>
      <c r="L32" s="38">
        <f t="shared" si="8"/>
        <v>0</v>
      </c>
      <c r="M32" s="66"/>
      <c r="N32" s="66"/>
      <c r="O32" s="66"/>
      <c r="P32" s="66"/>
      <c r="Q32" s="66"/>
      <c r="R32" s="66"/>
      <c r="S32" s="66"/>
      <c r="T32" s="38"/>
      <c r="U32" s="66"/>
      <c r="V32" s="43">
        <f t="shared" si="12"/>
        <v>0</v>
      </c>
      <c r="W32" s="66"/>
      <c r="X32" s="38">
        <f t="shared" si="9"/>
        <v>0</v>
      </c>
      <c r="Y32" s="66"/>
      <c r="Z32" s="44">
        <f t="shared" si="10"/>
        <v>0</v>
      </c>
      <c r="AA32" s="66"/>
      <c r="AB32" s="44">
        <f t="shared" si="13"/>
        <v>0</v>
      </c>
      <c r="AC32" s="66"/>
      <c r="AD32" s="66"/>
      <c r="AE32" s="66"/>
      <c r="AF32" s="70"/>
      <c r="AG32" s="66"/>
      <c r="AH32" s="66"/>
      <c r="AI32" s="63"/>
      <c r="AJ32" s="63"/>
      <c r="AK32" s="63"/>
      <c r="AL32" s="63"/>
      <c r="AM32" s="63"/>
    </row>
    <row r="33" spans="3:43" x14ac:dyDescent="0.2">
      <c r="C33" s="41"/>
      <c r="D33" s="42"/>
      <c r="E33" s="42"/>
      <c r="F33" s="42"/>
      <c r="G33" s="79"/>
      <c r="H33" s="66"/>
      <c r="I33" s="66"/>
      <c r="J33" s="38">
        <f t="shared" si="7"/>
        <v>0</v>
      </c>
      <c r="K33" s="66"/>
      <c r="L33" s="38">
        <f t="shared" si="8"/>
        <v>0</v>
      </c>
      <c r="M33" s="66"/>
      <c r="N33" s="66"/>
      <c r="O33" s="66"/>
      <c r="P33" s="66"/>
      <c r="Q33" s="66"/>
      <c r="R33" s="66"/>
      <c r="S33" s="66"/>
      <c r="T33" s="38"/>
      <c r="U33" s="66"/>
      <c r="V33" s="43">
        <f t="shared" si="12"/>
        <v>0</v>
      </c>
      <c r="W33" s="66"/>
      <c r="X33" s="38">
        <f t="shared" si="9"/>
        <v>0</v>
      </c>
      <c r="Y33" s="66"/>
      <c r="Z33" s="44">
        <f t="shared" si="10"/>
        <v>0</v>
      </c>
      <c r="AA33" s="66"/>
      <c r="AB33" s="44">
        <f t="shared" si="13"/>
        <v>0</v>
      </c>
      <c r="AC33" s="66"/>
      <c r="AD33" s="66"/>
      <c r="AE33" s="66"/>
      <c r="AF33" s="70"/>
      <c r="AG33" s="66"/>
      <c r="AH33" s="66"/>
      <c r="AI33" s="63"/>
      <c r="AJ33" s="63"/>
      <c r="AK33" s="63"/>
      <c r="AL33" s="63"/>
      <c r="AM33" s="63"/>
    </row>
    <row r="34" spans="3:43" ht="17" thickBot="1" x14ac:dyDescent="0.25">
      <c r="C34" s="45"/>
      <c r="D34" s="46"/>
      <c r="E34" s="46"/>
      <c r="F34" s="46"/>
      <c r="G34" s="80"/>
      <c r="H34" s="67"/>
      <c r="I34" s="67"/>
      <c r="J34" s="47">
        <f t="shared" si="7"/>
        <v>0</v>
      </c>
      <c r="K34" s="67"/>
      <c r="L34" s="47">
        <f t="shared" si="8"/>
        <v>0</v>
      </c>
      <c r="M34" s="67"/>
      <c r="N34" s="67"/>
      <c r="O34" s="67"/>
      <c r="P34" s="67"/>
      <c r="Q34" s="67"/>
      <c r="R34" s="67"/>
      <c r="S34" s="67"/>
      <c r="T34" s="38"/>
      <c r="U34" s="67"/>
      <c r="V34" s="48">
        <f t="shared" si="12"/>
        <v>0</v>
      </c>
      <c r="W34" s="67"/>
      <c r="X34" s="47">
        <f t="shared" si="9"/>
        <v>0</v>
      </c>
      <c r="Y34" s="67"/>
      <c r="Z34" s="49">
        <f t="shared" si="10"/>
        <v>0</v>
      </c>
      <c r="AA34" s="67"/>
      <c r="AB34" s="49">
        <f t="shared" si="13"/>
        <v>0</v>
      </c>
      <c r="AC34" s="67"/>
      <c r="AD34" s="67"/>
      <c r="AE34" s="67"/>
      <c r="AF34" s="71"/>
      <c r="AG34" s="67"/>
      <c r="AH34" s="67"/>
      <c r="AI34" s="64"/>
      <c r="AJ34" s="64"/>
      <c r="AK34" s="64"/>
      <c r="AL34" s="64"/>
      <c r="AM34" s="64"/>
    </row>
    <row r="39" spans="3:43" ht="17" thickBot="1" x14ac:dyDescent="0.25"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3:43" ht="17" thickBot="1" x14ac:dyDescent="0.25">
      <c r="C40" s="24"/>
      <c r="D40" s="24"/>
      <c r="E40" s="24"/>
      <c r="F40" s="24"/>
      <c r="G40" s="72" t="s">
        <v>42</v>
      </c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4"/>
      <c r="T40" s="75" t="s">
        <v>43</v>
      </c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7"/>
      <c r="AI40" s="24"/>
      <c r="AJ40" s="24"/>
      <c r="AK40" s="24"/>
      <c r="AL40" s="24"/>
    </row>
    <row r="41" spans="3:43" ht="18" thickBot="1" x14ac:dyDescent="0.25">
      <c r="C41" s="27" t="s">
        <v>44</v>
      </c>
      <c r="D41" s="27" t="s">
        <v>45</v>
      </c>
      <c r="E41" s="27" t="s">
        <v>46</v>
      </c>
      <c r="F41" s="27" t="s">
        <v>47</v>
      </c>
      <c r="G41" s="28" t="s">
        <v>48</v>
      </c>
      <c r="H41" s="28" t="s">
        <v>49</v>
      </c>
      <c r="I41" s="28" t="s">
        <v>50</v>
      </c>
      <c r="J41" s="28" t="s">
        <v>51</v>
      </c>
      <c r="K41" s="28" t="s">
        <v>52</v>
      </c>
      <c r="L41" s="28" t="s">
        <v>53</v>
      </c>
      <c r="M41" s="28" t="s">
        <v>54</v>
      </c>
      <c r="N41" s="28" t="s">
        <v>55</v>
      </c>
      <c r="O41" s="29" t="s">
        <v>56</v>
      </c>
      <c r="P41" s="29" t="s">
        <v>57</v>
      </c>
      <c r="Q41" s="29" t="s">
        <v>58</v>
      </c>
      <c r="R41" s="28" t="s">
        <v>59</v>
      </c>
      <c r="S41" s="28" t="s">
        <v>60</v>
      </c>
      <c r="T41" s="30" t="s">
        <v>61</v>
      </c>
      <c r="U41" s="25" t="s">
        <v>48</v>
      </c>
      <c r="V41" s="25" t="s">
        <v>62</v>
      </c>
      <c r="W41" s="25" t="s">
        <v>49</v>
      </c>
      <c r="X41" s="31" t="s">
        <v>63</v>
      </c>
      <c r="Y41" s="30" t="s">
        <v>50</v>
      </c>
      <c r="Z41" s="26" t="s">
        <v>64</v>
      </c>
      <c r="AA41" s="26" t="s">
        <v>52</v>
      </c>
      <c r="AB41" s="26" t="s">
        <v>65</v>
      </c>
      <c r="AC41" s="26" t="s">
        <v>66</v>
      </c>
      <c r="AD41" s="30" t="s">
        <v>59</v>
      </c>
      <c r="AE41" s="30" t="s">
        <v>60</v>
      </c>
      <c r="AF41" s="25" t="s">
        <v>55</v>
      </c>
      <c r="AG41" s="32" t="s">
        <v>67</v>
      </c>
      <c r="AH41" s="32" t="s">
        <v>68</v>
      </c>
      <c r="AI41" s="33" t="s">
        <v>69</v>
      </c>
      <c r="AJ41" s="33" t="s">
        <v>70</v>
      </c>
      <c r="AK41" s="34" t="s">
        <v>71</v>
      </c>
      <c r="AL41" s="33" t="s">
        <v>72</v>
      </c>
      <c r="AM41" s="33" t="s">
        <v>92</v>
      </c>
    </row>
    <row r="42" spans="3:43" x14ac:dyDescent="0.2">
      <c r="C42" s="35">
        <v>0.24580804714687354</v>
      </c>
      <c r="D42" s="36">
        <v>4.0466000000000002E-7</v>
      </c>
      <c r="E42" s="36">
        <v>4.5959253998314091E-3</v>
      </c>
      <c r="F42" s="36">
        <v>0</v>
      </c>
      <c r="G42" s="78">
        <f>COUNTA(D42:D51)</f>
        <v>4</v>
      </c>
      <c r="H42" s="65">
        <f>SUM(C42:C51)</f>
        <v>1.1924784491319436</v>
      </c>
      <c r="I42" s="65">
        <f>SUM(D42:D51)</f>
        <v>1.9635400000000002E-6</v>
      </c>
      <c r="J42" s="37">
        <f t="shared" ref="J42:J51" si="14">C42*D42</f>
        <v>9.9468684358453855E-8</v>
      </c>
      <c r="K42" s="65">
        <f>SUM(J42:J51)</f>
        <v>5.9798113436727814E-7</v>
      </c>
      <c r="L42" s="37">
        <f t="shared" ref="L42:L51" si="15">C42^2</f>
        <v>6.0421596042159603E-2</v>
      </c>
      <c r="M42" s="65">
        <f>SUM(L42:L51)</f>
        <v>0.36310403085975795</v>
      </c>
      <c r="N42" s="65">
        <f>(G42*M42)-(H42^2)</f>
        <v>3.0411271794906547E-2</v>
      </c>
      <c r="O42" s="65">
        <f>SQRT($F$42^2+(S42*$E$42)^2)</f>
        <v>7.6235980077635038E-9</v>
      </c>
      <c r="P42" s="65">
        <f>O42*SQRT(M42/N42)</f>
        <v>2.6342575388452638E-8</v>
      </c>
      <c r="Q42" s="65">
        <f>O42*SQRT(G42/N42)</f>
        <v>8.7432458863736151E-8</v>
      </c>
      <c r="R42" s="65">
        <f>(M42*I42-H42*K42)/N42</f>
        <v>-3.6278313786754049E-9</v>
      </c>
      <c r="S42" s="65">
        <f>((G42*K42)-(H42*I42))/N42</f>
        <v>1.6587732272684752E-6</v>
      </c>
      <c r="T42" s="38">
        <f>1/(F42^2+($S$42*E42)^2)</f>
        <v>1.7206004185809848E+16</v>
      </c>
      <c r="U42" s="65">
        <f>SUM(T42:T51)</f>
        <v>3.9784853352355176E+16</v>
      </c>
      <c r="V42" s="39">
        <f>T42*C42</f>
        <v>4229374288114850.5</v>
      </c>
      <c r="W42" s="65">
        <f>SUM(V42:V51)</f>
        <v>1.1276704165997294E+16</v>
      </c>
      <c r="X42" s="37">
        <f t="shared" ref="X42:X51" si="16">T42*D42</f>
        <v>6962581653.829814</v>
      </c>
      <c r="Y42" s="65">
        <f>SUM(X42:X51)</f>
        <v>18563921336.772232</v>
      </c>
      <c r="Z42" s="40">
        <f t="shared" ref="Z42:Z51" si="17">T42*C42*D42</f>
        <v>1711458599.4285555</v>
      </c>
      <c r="AA42" s="65">
        <f>SUM(Z42:Z51)</f>
        <v>5380708860.7375755</v>
      </c>
      <c r="AB42" s="40">
        <f>T42*L42</f>
        <v>1039614234414709.9</v>
      </c>
      <c r="AC42" s="65">
        <f>SUM(AB42:AB51)</f>
        <v>3268174809125065.5</v>
      </c>
      <c r="AD42" s="65">
        <f>((AC42*Y42)-(W42*AA42))/AF42</f>
        <v>-2.2805642099677918E-9</v>
      </c>
      <c r="AE42" s="65">
        <f>((U42*AA42)-(W42*Y42))/AF42</f>
        <v>1.6542646658831229E-6</v>
      </c>
      <c r="AF42" s="69">
        <f>(U42*AC42)-(W42^2)</f>
        <v>2.8597986634813819E+30</v>
      </c>
      <c r="AG42" s="65">
        <f>SQRT((AC42/AF42))</f>
        <v>3.3805308973343727E-8</v>
      </c>
      <c r="AH42" s="65">
        <f>SQRT((U42/AF42))</f>
        <v>1.1794815487094762E-7</v>
      </c>
      <c r="AI42" s="68">
        <f>_xlfn.STDEV.S(C42:C51)</f>
        <v>5.034155986434613E-2</v>
      </c>
      <c r="AJ42" s="68">
        <f>_xlfn.STDEV.S(D42:D51)</f>
        <v>8.3507912000400667E-8</v>
      </c>
      <c r="AK42" s="68">
        <f>_xlfn.COVARIANCE.S(C42:C51,D42:D51)</f>
        <v>4.2037836217146728E-9</v>
      </c>
      <c r="AL42" s="68">
        <f>CORREL(C42:C51,D42:D51)</f>
        <v>0.99996790389765555</v>
      </c>
      <c r="AM42" s="63">
        <f>AL42^2</f>
        <v>0.99993580882547084</v>
      </c>
      <c r="AN42" s="11" t="s">
        <v>10</v>
      </c>
      <c r="AO42" s="11" t="s">
        <v>73</v>
      </c>
      <c r="AP42" s="11" t="s">
        <v>74</v>
      </c>
      <c r="AQ42" s="11" t="s">
        <v>75</v>
      </c>
    </row>
    <row r="43" spans="3:43" x14ac:dyDescent="0.2">
      <c r="C43" s="41">
        <v>0.26526370466615107</v>
      </c>
      <c r="D43" s="42">
        <v>4.3583999999999996E-7</v>
      </c>
      <c r="E43" s="42">
        <v>6.6887643943310988E-3</v>
      </c>
      <c r="F43" s="42">
        <v>0</v>
      </c>
      <c r="G43" s="79"/>
      <c r="H43" s="66"/>
      <c r="I43" s="66"/>
      <c r="J43" s="38">
        <f t="shared" si="14"/>
        <v>1.1561253304169527E-7</v>
      </c>
      <c r="K43" s="66"/>
      <c r="L43" s="38">
        <f t="shared" si="15"/>
        <v>7.0364833013211017E-2</v>
      </c>
      <c r="M43" s="66"/>
      <c r="N43" s="66"/>
      <c r="O43" s="66"/>
      <c r="P43" s="66"/>
      <c r="Q43" s="66"/>
      <c r="R43" s="66"/>
      <c r="S43" s="66"/>
      <c r="T43" s="38">
        <f t="shared" ref="T43:T44" si="18">1/(F43^2+($S$42*E43)^2)</f>
        <v>8123331349671272</v>
      </c>
      <c r="U43" s="66"/>
      <c r="V43" s="43">
        <f t="shared" ref="V43:V51" si="19">T43*C43</f>
        <v>2154824968044486.8</v>
      </c>
      <c r="W43" s="66"/>
      <c r="X43" s="38">
        <f t="shared" si="16"/>
        <v>3540472735.4407268</v>
      </c>
      <c r="Y43" s="66"/>
      <c r="Z43" s="44">
        <f t="shared" si="17"/>
        <v>939158914.07250905</v>
      </c>
      <c r="AA43" s="66"/>
      <c r="AB43" s="44">
        <f t="shared" ref="AB43:AB51" si="20">T43*L43</f>
        <v>571596853930601.12</v>
      </c>
      <c r="AC43" s="66"/>
      <c r="AD43" s="66"/>
      <c r="AE43" s="66"/>
      <c r="AF43" s="70"/>
      <c r="AG43" s="66"/>
      <c r="AH43" s="66"/>
      <c r="AI43" s="63"/>
      <c r="AJ43" s="63"/>
      <c r="AK43" s="63"/>
      <c r="AL43" s="63"/>
      <c r="AM43" s="63"/>
      <c r="AN43" s="11">
        <v>1.6542646658831229E-6</v>
      </c>
      <c r="AO43" s="11">
        <v>1.1794815487094762E-7</v>
      </c>
      <c r="AP43" s="11">
        <v>-2.2805642099677918E-9</v>
      </c>
      <c r="AQ43" s="11">
        <v>3.3805308973343727E-8</v>
      </c>
    </row>
    <row r="44" spans="3:43" x14ac:dyDescent="0.2">
      <c r="C44" s="41">
        <v>0.33175744935170387</v>
      </c>
      <c r="D44" s="42">
        <v>5.4606999999999997E-7</v>
      </c>
      <c r="E44" s="42">
        <v>6.3383402626469741E-3</v>
      </c>
      <c r="F44" s="42">
        <v>0</v>
      </c>
      <c r="G44" s="79"/>
      <c r="H44" s="66"/>
      <c r="I44" s="66"/>
      <c r="J44" s="38">
        <f t="shared" si="14"/>
        <v>1.8116279036748492E-7</v>
      </c>
      <c r="K44" s="66"/>
      <c r="L44" s="38">
        <f t="shared" si="15"/>
        <v>0.11006300520034835</v>
      </c>
      <c r="M44" s="66"/>
      <c r="N44" s="66"/>
      <c r="O44" s="66"/>
      <c r="P44" s="66"/>
      <c r="Q44" s="66"/>
      <c r="R44" s="66"/>
      <c r="S44" s="66"/>
      <c r="T44" s="38">
        <f t="shared" si="18"/>
        <v>9046380818774394</v>
      </c>
      <c r="U44" s="66"/>
      <c r="V44" s="43">
        <f t="shared" si="19"/>
        <v>3001204226300771.5</v>
      </c>
      <c r="W44" s="66"/>
      <c r="X44" s="38">
        <f t="shared" si="16"/>
        <v>4939957173.7081327</v>
      </c>
      <c r="Y44" s="66"/>
      <c r="Z44" s="44">
        <f t="shared" si="17"/>
        <v>1638867591.8560622</v>
      </c>
      <c r="AA44" s="66"/>
      <c r="AB44" s="44">
        <f t="shared" si="20"/>
        <v>995671859101097.75</v>
      </c>
      <c r="AC44" s="66"/>
      <c r="AD44" s="66"/>
      <c r="AE44" s="66"/>
      <c r="AF44" s="70"/>
      <c r="AG44" s="66"/>
      <c r="AH44" s="66"/>
      <c r="AI44" s="63"/>
      <c r="AJ44" s="63"/>
      <c r="AK44" s="63"/>
      <c r="AL44" s="63"/>
      <c r="AM44" s="63"/>
    </row>
    <row r="45" spans="3:43" x14ac:dyDescent="0.2">
      <c r="C45" s="41">
        <v>0.34964924796721497</v>
      </c>
      <c r="D45" s="42">
        <v>5.7696999999999996E-7</v>
      </c>
      <c r="E45" s="42">
        <v>8.1968878345948671E-3</v>
      </c>
      <c r="F45" s="42">
        <v>0</v>
      </c>
      <c r="G45" s="79"/>
      <c r="H45" s="66"/>
      <c r="I45" s="66"/>
      <c r="J45" s="38">
        <f t="shared" si="14"/>
        <v>2.0173712659964401E-7</v>
      </c>
      <c r="K45" s="66"/>
      <c r="L45" s="38">
        <f t="shared" si="15"/>
        <v>0.12225459660403898</v>
      </c>
      <c r="M45" s="66"/>
      <c r="N45" s="66"/>
      <c r="O45" s="66"/>
      <c r="P45" s="66"/>
      <c r="Q45" s="66"/>
      <c r="R45" s="66"/>
      <c r="S45" s="66"/>
      <c r="T45" s="38">
        <f>1/(F45^2+($S$42*E45)^2)</f>
        <v>5409136998099662</v>
      </c>
      <c r="U45" s="66"/>
      <c r="V45" s="43">
        <f t="shared" si="19"/>
        <v>1891300683537185.5</v>
      </c>
      <c r="W45" s="66"/>
      <c r="X45" s="38">
        <f t="shared" si="16"/>
        <v>3120909773.7935619</v>
      </c>
      <c r="Y45" s="66"/>
      <c r="Z45" s="44">
        <f t="shared" si="17"/>
        <v>1091223755.3804498</v>
      </c>
      <c r="AA45" s="66"/>
      <c r="AB45" s="44">
        <f t="shared" si="20"/>
        <v>661291861678656.5</v>
      </c>
      <c r="AC45" s="66"/>
      <c r="AD45" s="66"/>
      <c r="AE45" s="66"/>
      <c r="AF45" s="70"/>
      <c r="AG45" s="66"/>
      <c r="AH45" s="66"/>
      <c r="AI45" s="63"/>
      <c r="AJ45" s="63"/>
      <c r="AK45" s="63"/>
      <c r="AL45" s="63"/>
      <c r="AM45" s="63"/>
    </row>
    <row r="46" spans="3:43" x14ac:dyDescent="0.2">
      <c r="C46" s="41"/>
      <c r="D46" s="42"/>
      <c r="E46" s="42"/>
      <c r="F46" s="42"/>
      <c r="G46" s="79"/>
      <c r="H46" s="66"/>
      <c r="I46" s="66"/>
      <c r="J46" s="38">
        <f t="shared" si="14"/>
        <v>0</v>
      </c>
      <c r="K46" s="66"/>
      <c r="L46" s="38">
        <f t="shared" si="15"/>
        <v>0</v>
      </c>
      <c r="M46" s="66"/>
      <c r="N46" s="66"/>
      <c r="O46" s="66"/>
      <c r="P46" s="66"/>
      <c r="Q46" s="66"/>
      <c r="R46" s="66"/>
      <c r="S46" s="66"/>
      <c r="T46" s="38"/>
      <c r="U46" s="66"/>
      <c r="V46" s="43">
        <f t="shared" si="19"/>
        <v>0</v>
      </c>
      <c r="W46" s="66"/>
      <c r="X46" s="38">
        <f t="shared" si="16"/>
        <v>0</v>
      </c>
      <c r="Y46" s="66"/>
      <c r="Z46" s="44">
        <f t="shared" si="17"/>
        <v>0</v>
      </c>
      <c r="AA46" s="66"/>
      <c r="AB46" s="44">
        <f t="shared" si="20"/>
        <v>0</v>
      </c>
      <c r="AC46" s="66"/>
      <c r="AD46" s="66"/>
      <c r="AE46" s="66"/>
      <c r="AF46" s="70"/>
      <c r="AG46" s="66"/>
      <c r="AH46" s="66"/>
      <c r="AI46" s="63"/>
      <c r="AJ46" s="63"/>
      <c r="AK46" s="63"/>
      <c r="AL46" s="63"/>
      <c r="AM46" s="63"/>
    </row>
    <row r="47" spans="3:43" x14ac:dyDescent="0.2">
      <c r="C47" s="41"/>
      <c r="D47" s="42"/>
      <c r="E47" s="42"/>
      <c r="F47" s="42"/>
      <c r="G47" s="79"/>
      <c r="H47" s="66"/>
      <c r="I47" s="66"/>
      <c r="J47" s="38">
        <f t="shared" si="14"/>
        <v>0</v>
      </c>
      <c r="K47" s="66"/>
      <c r="L47" s="38">
        <f t="shared" si="15"/>
        <v>0</v>
      </c>
      <c r="M47" s="66"/>
      <c r="N47" s="66"/>
      <c r="O47" s="66"/>
      <c r="P47" s="66"/>
      <c r="Q47" s="66"/>
      <c r="R47" s="66"/>
      <c r="S47" s="66"/>
      <c r="T47" s="38"/>
      <c r="U47" s="66"/>
      <c r="V47" s="43">
        <f t="shared" si="19"/>
        <v>0</v>
      </c>
      <c r="W47" s="66"/>
      <c r="X47" s="38">
        <f t="shared" si="16"/>
        <v>0</v>
      </c>
      <c r="Y47" s="66"/>
      <c r="Z47" s="44">
        <f t="shared" si="17"/>
        <v>0</v>
      </c>
      <c r="AA47" s="66"/>
      <c r="AB47" s="44">
        <f t="shared" si="20"/>
        <v>0</v>
      </c>
      <c r="AC47" s="66"/>
      <c r="AD47" s="66"/>
      <c r="AE47" s="66"/>
      <c r="AF47" s="70"/>
      <c r="AG47" s="66"/>
      <c r="AH47" s="66"/>
      <c r="AI47" s="63"/>
      <c r="AJ47" s="63"/>
      <c r="AK47" s="63"/>
      <c r="AL47" s="63"/>
      <c r="AM47" s="63"/>
    </row>
    <row r="48" spans="3:43" x14ac:dyDescent="0.2">
      <c r="C48" s="41"/>
      <c r="D48" s="42"/>
      <c r="E48" s="42"/>
      <c r="F48" s="42"/>
      <c r="G48" s="79"/>
      <c r="H48" s="66"/>
      <c r="I48" s="66"/>
      <c r="J48" s="38">
        <f t="shared" si="14"/>
        <v>0</v>
      </c>
      <c r="K48" s="66"/>
      <c r="L48" s="38">
        <f t="shared" si="15"/>
        <v>0</v>
      </c>
      <c r="M48" s="66"/>
      <c r="N48" s="66"/>
      <c r="O48" s="66"/>
      <c r="P48" s="66"/>
      <c r="Q48" s="66"/>
      <c r="R48" s="66"/>
      <c r="S48" s="66"/>
      <c r="T48" s="38"/>
      <c r="U48" s="66"/>
      <c r="V48" s="43">
        <f t="shared" si="19"/>
        <v>0</v>
      </c>
      <c r="W48" s="66"/>
      <c r="X48" s="38">
        <f t="shared" si="16"/>
        <v>0</v>
      </c>
      <c r="Y48" s="66"/>
      <c r="Z48" s="44">
        <f t="shared" si="17"/>
        <v>0</v>
      </c>
      <c r="AA48" s="66"/>
      <c r="AB48" s="44">
        <f t="shared" si="20"/>
        <v>0</v>
      </c>
      <c r="AC48" s="66"/>
      <c r="AD48" s="66"/>
      <c r="AE48" s="66"/>
      <c r="AF48" s="70"/>
      <c r="AG48" s="66"/>
      <c r="AH48" s="66"/>
      <c r="AI48" s="63"/>
      <c r="AJ48" s="63"/>
      <c r="AK48" s="63"/>
      <c r="AL48" s="63"/>
      <c r="AM48" s="63"/>
    </row>
    <row r="49" spans="3:43" x14ac:dyDescent="0.2">
      <c r="C49" s="41"/>
      <c r="D49" s="42"/>
      <c r="E49" s="42"/>
      <c r="F49" s="42"/>
      <c r="G49" s="79"/>
      <c r="H49" s="66"/>
      <c r="I49" s="66"/>
      <c r="J49" s="38">
        <f t="shared" si="14"/>
        <v>0</v>
      </c>
      <c r="K49" s="66"/>
      <c r="L49" s="38">
        <f t="shared" si="15"/>
        <v>0</v>
      </c>
      <c r="M49" s="66"/>
      <c r="N49" s="66"/>
      <c r="O49" s="66"/>
      <c r="P49" s="66"/>
      <c r="Q49" s="66"/>
      <c r="R49" s="66"/>
      <c r="S49" s="66"/>
      <c r="T49" s="38"/>
      <c r="U49" s="66"/>
      <c r="V49" s="43">
        <f t="shared" si="19"/>
        <v>0</v>
      </c>
      <c r="W49" s="66"/>
      <c r="X49" s="38">
        <f t="shared" si="16"/>
        <v>0</v>
      </c>
      <c r="Y49" s="66"/>
      <c r="Z49" s="44">
        <f t="shared" si="17"/>
        <v>0</v>
      </c>
      <c r="AA49" s="66"/>
      <c r="AB49" s="44">
        <f t="shared" si="20"/>
        <v>0</v>
      </c>
      <c r="AC49" s="66"/>
      <c r="AD49" s="66"/>
      <c r="AE49" s="66"/>
      <c r="AF49" s="70"/>
      <c r="AG49" s="66"/>
      <c r="AH49" s="66"/>
      <c r="AI49" s="63"/>
      <c r="AJ49" s="63"/>
      <c r="AK49" s="63"/>
      <c r="AL49" s="63"/>
      <c r="AM49" s="63"/>
    </row>
    <row r="50" spans="3:43" x14ac:dyDescent="0.2">
      <c r="C50" s="41"/>
      <c r="D50" s="42"/>
      <c r="E50" s="42"/>
      <c r="F50" s="42"/>
      <c r="G50" s="79"/>
      <c r="H50" s="66"/>
      <c r="I50" s="66"/>
      <c r="J50" s="38">
        <f t="shared" si="14"/>
        <v>0</v>
      </c>
      <c r="K50" s="66"/>
      <c r="L50" s="38">
        <f t="shared" si="15"/>
        <v>0</v>
      </c>
      <c r="M50" s="66"/>
      <c r="N50" s="66"/>
      <c r="O50" s="66"/>
      <c r="P50" s="66"/>
      <c r="Q50" s="66"/>
      <c r="R50" s="66"/>
      <c r="S50" s="66"/>
      <c r="T50" s="38"/>
      <c r="U50" s="66"/>
      <c r="V50" s="43">
        <f t="shared" si="19"/>
        <v>0</v>
      </c>
      <c r="W50" s="66"/>
      <c r="X50" s="38">
        <f t="shared" si="16"/>
        <v>0</v>
      </c>
      <c r="Y50" s="66"/>
      <c r="Z50" s="44">
        <f t="shared" si="17"/>
        <v>0</v>
      </c>
      <c r="AA50" s="66"/>
      <c r="AB50" s="44">
        <f t="shared" si="20"/>
        <v>0</v>
      </c>
      <c r="AC50" s="66"/>
      <c r="AD50" s="66"/>
      <c r="AE50" s="66"/>
      <c r="AF50" s="70"/>
      <c r="AG50" s="66"/>
      <c r="AH50" s="66"/>
      <c r="AI50" s="63"/>
      <c r="AJ50" s="63"/>
      <c r="AK50" s="63"/>
      <c r="AL50" s="63"/>
      <c r="AM50" s="63"/>
    </row>
    <row r="51" spans="3:43" ht="17" thickBot="1" x14ac:dyDescent="0.25">
      <c r="C51" s="45"/>
      <c r="D51" s="46"/>
      <c r="E51" s="46"/>
      <c r="F51" s="46"/>
      <c r="G51" s="80"/>
      <c r="H51" s="67"/>
      <c r="I51" s="67"/>
      <c r="J51" s="47">
        <f t="shared" si="14"/>
        <v>0</v>
      </c>
      <c r="K51" s="67"/>
      <c r="L51" s="47">
        <f t="shared" si="15"/>
        <v>0</v>
      </c>
      <c r="M51" s="67"/>
      <c r="N51" s="67"/>
      <c r="O51" s="67"/>
      <c r="P51" s="67"/>
      <c r="Q51" s="67"/>
      <c r="R51" s="67"/>
      <c r="S51" s="67"/>
      <c r="T51" s="38"/>
      <c r="U51" s="67"/>
      <c r="V51" s="48">
        <f t="shared" si="19"/>
        <v>0</v>
      </c>
      <c r="W51" s="67"/>
      <c r="X51" s="47">
        <f t="shared" si="16"/>
        <v>0</v>
      </c>
      <c r="Y51" s="67"/>
      <c r="Z51" s="49">
        <f t="shared" si="17"/>
        <v>0</v>
      </c>
      <c r="AA51" s="67"/>
      <c r="AB51" s="49">
        <f t="shared" si="20"/>
        <v>0</v>
      </c>
      <c r="AC51" s="67"/>
      <c r="AD51" s="67"/>
      <c r="AE51" s="67"/>
      <c r="AF51" s="71"/>
      <c r="AG51" s="67"/>
      <c r="AH51" s="67"/>
      <c r="AI51" s="64"/>
      <c r="AJ51" s="64"/>
      <c r="AK51" s="64"/>
      <c r="AL51" s="64"/>
      <c r="AM51" s="64"/>
    </row>
    <row r="56" spans="3:43" ht="17" thickBot="1" x14ac:dyDescent="0.25"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3:43" ht="17" thickBot="1" x14ac:dyDescent="0.25">
      <c r="C57" s="24"/>
      <c r="D57" s="24"/>
      <c r="E57" s="24"/>
      <c r="F57" s="24"/>
      <c r="G57" s="72" t="s">
        <v>42</v>
      </c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4"/>
      <c r="T57" s="75" t="s">
        <v>43</v>
      </c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7"/>
      <c r="AI57" s="24"/>
      <c r="AJ57" s="24"/>
      <c r="AK57" s="24"/>
      <c r="AL57" s="24"/>
    </row>
    <row r="58" spans="3:43" ht="18" thickBot="1" x14ac:dyDescent="0.25">
      <c r="C58" s="27" t="s">
        <v>44</v>
      </c>
      <c r="D58" s="27" t="s">
        <v>45</v>
      </c>
      <c r="E58" s="27" t="s">
        <v>46</v>
      </c>
      <c r="F58" s="27" t="s">
        <v>47</v>
      </c>
      <c r="G58" s="28" t="s">
        <v>48</v>
      </c>
      <c r="H58" s="28" t="s">
        <v>49</v>
      </c>
      <c r="I58" s="28" t="s">
        <v>50</v>
      </c>
      <c r="J58" s="28" t="s">
        <v>51</v>
      </c>
      <c r="K58" s="28" t="s">
        <v>52</v>
      </c>
      <c r="L58" s="28" t="s">
        <v>53</v>
      </c>
      <c r="M58" s="28" t="s">
        <v>54</v>
      </c>
      <c r="N58" s="28" t="s">
        <v>55</v>
      </c>
      <c r="O58" s="29" t="s">
        <v>56</v>
      </c>
      <c r="P58" s="29" t="s">
        <v>57</v>
      </c>
      <c r="Q58" s="29" t="s">
        <v>58</v>
      </c>
      <c r="R58" s="28" t="s">
        <v>59</v>
      </c>
      <c r="S58" s="28" t="s">
        <v>60</v>
      </c>
      <c r="T58" s="30" t="s">
        <v>61</v>
      </c>
      <c r="U58" s="25" t="s">
        <v>48</v>
      </c>
      <c r="V58" s="25" t="s">
        <v>62</v>
      </c>
      <c r="W58" s="25" t="s">
        <v>49</v>
      </c>
      <c r="X58" s="31" t="s">
        <v>63</v>
      </c>
      <c r="Y58" s="30" t="s">
        <v>50</v>
      </c>
      <c r="Z58" s="26" t="s">
        <v>64</v>
      </c>
      <c r="AA58" s="26" t="s">
        <v>52</v>
      </c>
      <c r="AB58" s="26" t="s">
        <v>65</v>
      </c>
      <c r="AC58" s="26" t="s">
        <v>66</v>
      </c>
      <c r="AD58" s="30" t="s">
        <v>59</v>
      </c>
      <c r="AE58" s="30" t="s">
        <v>60</v>
      </c>
      <c r="AF58" s="25" t="s">
        <v>55</v>
      </c>
      <c r="AG58" s="32" t="s">
        <v>67</v>
      </c>
      <c r="AH58" s="32" t="s">
        <v>68</v>
      </c>
      <c r="AI58" s="33" t="s">
        <v>69</v>
      </c>
      <c r="AJ58" s="33" t="s">
        <v>70</v>
      </c>
      <c r="AK58" s="34" t="s">
        <v>71</v>
      </c>
      <c r="AL58" s="33" t="s">
        <v>72</v>
      </c>
      <c r="AM58" s="33" t="s">
        <v>92</v>
      </c>
    </row>
    <row r="59" spans="3:43" x14ac:dyDescent="0.2">
      <c r="C59" s="35">
        <v>0.25110271035450743</v>
      </c>
      <c r="D59" s="36">
        <v>4.0466000000000002E-7</v>
      </c>
      <c r="E59" s="36">
        <v>7.8324135837642608E-3</v>
      </c>
      <c r="F59" s="36">
        <v>0</v>
      </c>
      <c r="G59" s="78">
        <f>COUNTA(D59:D68)</f>
        <v>4</v>
      </c>
      <c r="H59" s="65">
        <f>SUM(C59:C68)</f>
        <v>1.2030365573704871</v>
      </c>
      <c r="I59" s="65">
        <f>SUM(D59:D68)</f>
        <v>1.9635400000000002E-6</v>
      </c>
      <c r="J59" s="37">
        <f t="shared" ref="J59:J68" si="21">C59*D59</f>
        <v>1.0161122277205499E-7</v>
      </c>
      <c r="K59" s="65">
        <f>SUM(J59:J68)</f>
        <v>6.0298137722934696E-7</v>
      </c>
      <c r="L59" s="37">
        <f t="shared" ref="L59:L68" si="22">C59^2</f>
        <v>6.3052571147379652E-2</v>
      </c>
      <c r="M59" s="65">
        <f>SUM(L59:L68)</f>
        <v>0.36921430648929343</v>
      </c>
      <c r="N59" s="65">
        <f>(G59*M59)-(H59^2)</f>
        <v>2.9560267587340538E-2</v>
      </c>
      <c r="O59" s="65">
        <f>SQRT($F$59^2+(S59*$E$59)^2)</f>
        <v>1.3172725134844257E-8</v>
      </c>
      <c r="P59" s="65">
        <f>O59*SQRT(M59/N59)</f>
        <v>4.6554397425015059E-8</v>
      </c>
      <c r="Q59" s="65">
        <f>O59*SQRT(G59/N59)</f>
        <v>1.53232696795213E-7</v>
      </c>
      <c r="R59" s="65">
        <f>(M59*I59-H59*K59)/N59</f>
        <v>-1.4938324060043322E-8</v>
      </c>
      <c r="S59" s="65">
        <f>((G59*K59)-(H59*I59))/N59</f>
        <v>1.6818219561528108E-6</v>
      </c>
      <c r="T59" s="38">
        <f>1/(F59^2+($S$59*E59)^2)</f>
        <v>5763001602479690</v>
      </c>
      <c r="U59" s="65">
        <f>SUM(T59:T68)</f>
        <v>4.603633740497724E+16</v>
      </c>
      <c r="V59" s="39">
        <f>T59*C59</f>
        <v>1447105322160019.8</v>
      </c>
      <c r="W59" s="65">
        <f>SUM(V59:V68)</f>
        <v>1.3521351663152164E+16</v>
      </c>
      <c r="X59" s="37">
        <f t="shared" ref="X59:X68" si="23">T59*D59</f>
        <v>2332056228.4594316</v>
      </c>
      <c r="Y59" s="65">
        <f>SUM(X59:X68)</f>
        <v>22104654991.664032</v>
      </c>
      <c r="Z59" s="40">
        <f t="shared" ref="Z59:Z68" si="24">T59*C59*D59</f>
        <v>585585639.66527367</v>
      </c>
      <c r="AA59" s="65">
        <f>SUM(Z59:Z68)</f>
        <v>6606404462.9716358</v>
      </c>
      <c r="AB59" s="40">
        <f>T59*L59</f>
        <v>363372068562813.62</v>
      </c>
      <c r="AC59" s="65">
        <f>SUM(AB59:AB68)</f>
        <v>4039970457736250</v>
      </c>
      <c r="AD59" s="65">
        <f>((AC59*Y59)-(W59*AA59))/AF59</f>
        <v>-8.030675928420811E-9</v>
      </c>
      <c r="AE59" s="65">
        <f>((U59*AA59)-(W59*Y59))/AF59</f>
        <v>1.6621384058474976E-6</v>
      </c>
      <c r="AF59" s="69">
        <f>(U59*AC59)-(W59^2)</f>
        <v>3.1584922998585263E+30</v>
      </c>
      <c r="AG59" s="65">
        <f>SQRT((AC59/AF59))</f>
        <v>3.5764255057204589E-8</v>
      </c>
      <c r="AH59" s="65">
        <f>SQRT((U59/AF59))</f>
        <v>1.2072868520223154E-7</v>
      </c>
      <c r="AI59" s="68">
        <f>_xlfn.STDEV.S(C59:C68)</f>
        <v>4.9632203580723455E-2</v>
      </c>
      <c r="AJ59" s="68">
        <f>_xlfn.STDEV.S(D59:D68)</f>
        <v>8.3507912000400667E-8</v>
      </c>
      <c r="AK59" s="68">
        <f>_xlfn.COVARIANCE.S(C59:C68,D59:D68)</f>
        <v>4.142925588178463E-9</v>
      </c>
      <c r="AL59" s="68">
        <f>CORREL(C59:C68,D59:D68)</f>
        <v>0.9995763001942426</v>
      </c>
      <c r="AM59" s="63">
        <f>AL59^2</f>
        <v>0.99915277991001061</v>
      </c>
      <c r="AN59" s="11" t="s">
        <v>10</v>
      </c>
      <c r="AO59" s="11" t="s">
        <v>73</v>
      </c>
      <c r="AP59" s="11" t="s">
        <v>74</v>
      </c>
      <c r="AQ59" s="11" t="s">
        <v>75</v>
      </c>
    </row>
    <row r="60" spans="3:43" x14ac:dyDescent="0.2">
      <c r="C60" s="41">
        <v>0.26618746626670553</v>
      </c>
      <c r="D60" s="42">
        <v>4.3583999999999996E-7</v>
      </c>
      <c r="E60" s="42">
        <v>4.003955719488219E-3</v>
      </c>
      <c r="F60" s="42">
        <v>0</v>
      </c>
      <c r="G60" s="79"/>
      <c r="H60" s="66"/>
      <c r="I60" s="66"/>
      <c r="J60" s="38">
        <f t="shared" si="21"/>
        <v>1.1601514529768093E-7</v>
      </c>
      <c r="K60" s="66"/>
      <c r="L60" s="38">
        <f t="shared" si="22"/>
        <v>7.0855767197488498E-2</v>
      </c>
      <c r="M60" s="66"/>
      <c r="N60" s="66"/>
      <c r="O60" s="66"/>
      <c r="P60" s="66"/>
      <c r="Q60" s="66"/>
      <c r="R60" s="66"/>
      <c r="S60" s="66"/>
      <c r="T60" s="38">
        <f t="shared" ref="T60:T62" si="25">1/(F60^2+($S$59*E60)^2)</f>
        <v>2.205268288700878E+16</v>
      </c>
      <c r="U60" s="66"/>
      <c r="V60" s="43">
        <f t="shared" ref="V60:V68" si="26">T60*C60</f>
        <v>5870147782076004</v>
      </c>
      <c r="W60" s="66"/>
      <c r="X60" s="38">
        <f t="shared" si="23"/>
        <v>9611441309.4739056</v>
      </c>
      <c r="Y60" s="66"/>
      <c r="Z60" s="44">
        <f t="shared" si="24"/>
        <v>2558445209.3400054</v>
      </c>
      <c r="AA60" s="66"/>
      <c r="AB60" s="44">
        <f t="shared" ref="AB60:AB68" si="27">T60*L60</f>
        <v>1562559764721932.8</v>
      </c>
      <c r="AC60" s="66"/>
      <c r="AD60" s="66"/>
      <c r="AE60" s="66"/>
      <c r="AF60" s="70"/>
      <c r="AG60" s="66"/>
      <c r="AH60" s="66"/>
      <c r="AI60" s="63"/>
      <c r="AJ60" s="63"/>
      <c r="AK60" s="63"/>
      <c r="AL60" s="63"/>
      <c r="AM60" s="63"/>
      <c r="AN60" s="11">
        <v>1.6621384058474976E-6</v>
      </c>
      <c r="AO60" s="11">
        <v>1.2072868520223154E-7</v>
      </c>
      <c r="AP60" s="11">
        <v>-8.030675928420811E-9</v>
      </c>
      <c r="AQ60" s="11">
        <v>3.5764255057204589E-8</v>
      </c>
    </row>
    <row r="61" spans="3:43" x14ac:dyDescent="0.2">
      <c r="C61" s="41">
        <v>0.33333592690283714</v>
      </c>
      <c r="D61" s="42">
        <v>5.4606999999999997E-7</v>
      </c>
      <c r="E61" s="42">
        <v>5.5740000805099901E-3</v>
      </c>
      <c r="F61" s="42">
        <v>0</v>
      </c>
      <c r="G61" s="79"/>
      <c r="H61" s="66"/>
      <c r="I61" s="66"/>
      <c r="J61" s="38">
        <f t="shared" si="21"/>
        <v>1.8202474960383227E-7</v>
      </c>
      <c r="K61" s="66"/>
      <c r="L61" s="38">
        <f t="shared" si="22"/>
        <v>0.11111284016417358</v>
      </c>
      <c r="M61" s="66"/>
      <c r="N61" s="66"/>
      <c r="O61" s="66"/>
      <c r="P61" s="66"/>
      <c r="Q61" s="66"/>
      <c r="R61" s="66"/>
      <c r="S61" s="66"/>
      <c r="T61" s="38">
        <f t="shared" si="25"/>
        <v>1.1379050450448436E+16</v>
      </c>
      <c r="U61" s="66"/>
      <c r="V61" s="43">
        <f t="shared" si="26"/>
        <v>3793046329174376</v>
      </c>
      <c r="W61" s="66"/>
      <c r="X61" s="38">
        <f t="shared" si="23"/>
        <v>6213758079.4763775</v>
      </c>
      <c r="Y61" s="66"/>
      <c r="Z61" s="44">
        <f t="shared" si="24"/>
        <v>2071268808.9722514</v>
      </c>
      <c r="AA61" s="66"/>
      <c r="AB61" s="44">
        <f t="shared" si="27"/>
        <v>1264358613920744.5</v>
      </c>
      <c r="AC61" s="66"/>
      <c r="AD61" s="66"/>
      <c r="AE61" s="66"/>
      <c r="AF61" s="70"/>
      <c r="AG61" s="66"/>
      <c r="AH61" s="66"/>
      <c r="AI61" s="63"/>
      <c r="AJ61" s="63"/>
      <c r="AK61" s="63"/>
      <c r="AL61" s="63"/>
      <c r="AM61" s="63"/>
    </row>
    <row r="62" spans="3:43" x14ac:dyDescent="0.2">
      <c r="C62" s="41">
        <v>0.35241045384643704</v>
      </c>
      <c r="D62" s="42">
        <v>5.7696999999999996E-7</v>
      </c>
      <c r="E62" s="42">
        <v>7.1885461343099604E-3</v>
      </c>
      <c r="F62" s="42">
        <v>0</v>
      </c>
      <c r="G62" s="79"/>
      <c r="H62" s="66"/>
      <c r="I62" s="66"/>
      <c r="J62" s="38">
        <f t="shared" si="21"/>
        <v>2.0333025955577876E-7</v>
      </c>
      <c r="K62" s="66"/>
      <c r="L62" s="38">
        <f t="shared" si="22"/>
        <v>0.12419312798025173</v>
      </c>
      <c r="M62" s="66"/>
      <c r="N62" s="66"/>
      <c r="O62" s="66"/>
      <c r="P62" s="66"/>
      <c r="Q62" s="66"/>
      <c r="R62" s="66"/>
      <c r="S62" s="66"/>
      <c r="T62" s="38">
        <f t="shared" si="25"/>
        <v>6841602465040328</v>
      </c>
      <c r="U62" s="66"/>
      <c r="V62" s="43">
        <f t="shared" si="26"/>
        <v>2411052229741764.5</v>
      </c>
      <c r="W62" s="66"/>
      <c r="X62" s="38">
        <f t="shared" si="23"/>
        <v>3947399374.2543178</v>
      </c>
      <c r="Y62" s="66"/>
      <c r="Z62" s="44">
        <f t="shared" si="24"/>
        <v>1391104804.9941058</v>
      </c>
      <c r="AA62" s="66"/>
      <c r="AB62" s="44">
        <f t="shared" si="27"/>
        <v>849680010530759.12</v>
      </c>
      <c r="AC62" s="66"/>
      <c r="AD62" s="66"/>
      <c r="AE62" s="66"/>
      <c r="AF62" s="70"/>
      <c r="AG62" s="66"/>
      <c r="AH62" s="66"/>
      <c r="AI62" s="63"/>
      <c r="AJ62" s="63"/>
      <c r="AK62" s="63"/>
      <c r="AL62" s="63"/>
      <c r="AM62" s="63"/>
    </row>
    <row r="63" spans="3:43" x14ac:dyDescent="0.2">
      <c r="C63" s="41"/>
      <c r="D63" s="42"/>
      <c r="E63" s="42"/>
      <c r="F63" s="42"/>
      <c r="G63" s="79"/>
      <c r="H63" s="66"/>
      <c r="I63" s="66"/>
      <c r="J63" s="38">
        <f t="shared" si="21"/>
        <v>0</v>
      </c>
      <c r="K63" s="66"/>
      <c r="L63" s="38">
        <f t="shared" si="22"/>
        <v>0</v>
      </c>
      <c r="M63" s="66"/>
      <c r="N63" s="66"/>
      <c r="O63" s="66"/>
      <c r="P63" s="66"/>
      <c r="Q63" s="66"/>
      <c r="R63" s="66"/>
      <c r="S63" s="66"/>
      <c r="T63" s="38"/>
      <c r="U63" s="66"/>
      <c r="V63" s="43">
        <f t="shared" si="26"/>
        <v>0</v>
      </c>
      <c r="W63" s="66"/>
      <c r="X63" s="38">
        <f t="shared" si="23"/>
        <v>0</v>
      </c>
      <c r="Y63" s="66"/>
      <c r="Z63" s="44">
        <f t="shared" si="24"/>
        <v>0</v>
      </c>
      <c r="AA63" s="66"/>
      <c r="AB63" s="44">
        <f t="shared" si="27"/>
        <v>0</v>
      </c>
      <c r="AC63" s="66"/>
      <c r="AD63" s="66"/>
      <c r="AE63" s="66"/>
      <c r="AF63" s="70"/>
      <c r="AG63" s="66"/>
      <c r="AH63" s="66"/>
      <c r="AI63" s="63"/>
      <c r="AJ63" s="63"/>
      <c r="AK63" s="63"/>
      <c r="AL63" s="63"/>
      <c r="AM63" s="63"/>
    </row>
    <row r="64" spans="3:43" x14ac:dyDescent="0.2">
      <c r="C64" s="41"/>
      <c r="D64" s="42"/>
      <c r="E64" s="42"/>
      <c r="F64" s="42"/>
      <c r="G64" s="79"/>
      <c r="H64" s="66"/>
      <c r="I64" s="66"/>
      <c r="J64" s="38">
        <f t="shared" si="21"/>
        <v>0</v>
      </c>
      <c r="K64" s="66"/>
      <c r="L64" s="38">
        <f t="shared" si="22"/>
        <v>0</v>
      </c>
      <c r="M64" s="66"/>
      <c r="N64" s="66"/>
      <c r="O64" s="66"/>
      <c r="P64" s="66"/>
      <c r="Q64" s="66"/>
      <c r="R64" s="66"/>
      <c r="S64" s="66"/>
      <c r="T64" s="38"/>
      <c r="U64" s="66"/>
      <c r="V64" s="43">
        <f t="shared" si="26"/>
        <v>0</v>
      </c>
      <c r="W64" s="66"/>
      <c r="X64" s="38">
        <f t="shared" si="23"/>
        <v>0</v>
      </c>
      <c r="Y64" s="66"/>
      <c r="Z64" s="44">
        <f t="shared" si="24"/>
        <v>0</v>
      </c>
      <c r="AA64" s="66"/>
      <c r="AB64" s="44">
        <f t="shared" si="27"/>
        <v>0</v>
      </c>
      <c r="AC64" s="66"/>
      <c r="AD64" s="66"/>
      <c r="AE64" s="66"/>
      <c r="AF64" s="70"/>
      <c r="AG64" s="66"/>
      <c r="AH64" s="66"/>
      <c r="AI64" s="63"/>
      <c r="AJ64" s="63"/>
      <c r="AK64" s="63"/>
      <c r="AL64" s="63"/>
      <c r="AM64" s="63"/>
    </row>
    <row r="65" spans="3:43" x14ac:dyDescent="0.2">
      <c r="C65" s="41"/>
      <c r="D65" s="42"/>
      <c r="E65" s="42"/>
      <c r="F65" s="42"/>
      <c r="G65" s="79"/>
      <c r="H65" s="66"/>
      <c r="I65" s="66"/>
      <c r="J65" s="38">
        <f t="shared" si="21"/>
        <v>0</v>
      </c>
      <c r="K65" s="66"/>
      <c r="L65" s="38">
        <f t="shared" si="22"/>
        <v>0</v>
      </c>
      <c r="M65" s="66"/>
      <c r="N65" s="66"/>
      <c r="O65" s="66"/>
      <c r="P65" s="66"/>
      <c r="Q65" s="66"/>
      <c r="R65" s="66"/>
      <c r="S65" s="66"/>
      <c r="T65" s="38"/>
      <c r="U65" s="66"/>
      <c r="V65" s="43">
        <f t="shared" si="26"/>
        <v>0</v>
      </c>
      <c r="W65" s="66"/>
      <c r="X65" s="38">
        <f t="shared" si="23"/>
        <v>0</v>
      </c>
      <c r="Y65" s="66"/>
      <c r="Z65" s="44">
        <f t="shared" si="24"/>
        <v>0</v>
      </c>
      <c r="AA65" s="66"/>
      <c r="AB65" s="44">
        <f t="shared" si="27"/>
        <v>0</v>
      </c>
      <c r="AC65" s="66"/>
      <c r="AD65" s="66"/>
      <c r="AE65" s="66"/>
      <c r="AF65" s="70"/>
      <c r="AG65" s="66"/>
      <c r="AH65" s="66"/>
      <c r="AI65" s="63"/>
      <c r="AJ65" s="63"/>
      <c r="AK65" s="63"/>
      <c r="AL65" s="63"/>
      <c r="AM65" s="63"/>
    </row>
    <row r="66" spans="3:43" x14ac:dyDescent="0.2">
      <c r="C66" s="41"/>
      <c r="D66" s="42"/>
      <c r="E66" s="42"/>
      <c r="F66" s="42"/>
      <c r="G66" s="79"/>
      <c r="H66" s="66"/>
      <c r="I66" s="66"/>
      <c r="J66" s="38">
        <f t="shared" si="21"/>
        <v>0</v>
      </c>
      <c r="K66" s="66"/>
      <c r="L66" s="38">
        <f t="shared" si="22"/>
        <v>0</v>
      </c>
      <c r="M66" s="66"/>
      <c r="N66" s="66"/>
      <c r="O66" s="66"/>
      <c r="P66" s="66"/>
      <c r="Q66" s="66"/>
      <c r="R66" s="66"/>
      <c r="S66" s="66"/>
      <c r="T66" s="38"/>
      <c r="U66" s="66"/>
      <c r="V66" s="43">
        <f t="shared" si="26"/>
        <v>0</v>
      </c>
      <c r="W66" s="66"/>
      <c r="X66" s="38">
        <f t="shared" si="23"/>
        <v>0</v>
      </c>
      <c r="Y66" s="66"/>
      <c r="Z66" s="44">
        <f t="shared" si="24"/>
        <v>0</v>
      </c>
      <c r="AA66" s="66"/>
      <c r="AB66" s="44">
        <f t="shared" si="27"/>
        <v>0</v>
      </c>
      <c r="AC66" s="66"/>
      <c r="AD66" s="66"/>
      <c r="AE66" s="66"/>
      <c r="AF66" s="70"/>
      <c r="AG66" s="66"/>
      <c r="AH66" s="66"/>
      <c r="AI66" s="63"/>
      <c r="AJ66" s="63"/>
      <c r="AK66" s="63"/>
      <c r="AL66" s="63"/>
      <c r="AM66" s="63"/>
    </row>
    <row r="67" spans="3:43" x14ac:dyDescent="0.2">
      <c r="C67" s="41"/>
      <c r="D67" s="42"/>
      <c r="E67" s="42"/>
      <c r="F67" s="42"/>
      <c r="G67" s="79"/>
      <c r="H67" s="66"/>
      <c r="I67" s="66"/>
      <c r="J67" s="38">
        <f t="shared" si="21"/>
        <v>0</v>
      </c>
      <c r="K67" s="66"/>
      <c r="L67" s="38">
        <f t="shared" si="22"/>
        <v>0</v>
      </c>
      <c r="M67" s="66"/>
      <c r="N67" s="66"/>
      <c r="O67" s="66"/>
      <c r="P67" s="66"/>
      <c r="Q67" s="66"/>
      <c r="R67" s="66"/>
      <c r="S67" s="66"/>
      <c r="T67" s="38"/>
      <c r="U67" s="66"/>
      <c r="V67" s="43">
        <f t="shared" si="26"/>
        <v>0</v>
      </c>
      <c r="W67" s="66"/>
      <c r="X67" s="38">
        <f t="shared" si="23"/>
        <v>0</v>
      </c>
      <c r="Y67" s="66"/>
      <c r="Z67" s="44">
        <f t="shared" si="24"/>
        <v>0</v>
      </c>
      <c r="AA67" s="66"/>
      <c r="AB67" s="44">
        <f t="shared" si="27"/>
        <v>0</v>
      </c>
      <c r="AC67" s="66"/>
      <c r="AD67" s="66"/>
      <c r="AE67" s="66"/>
      <c r="AF67" s="70"/>
      <c r="AG67" s="66"/>
      <c r="AH67" s="66"/>
      <c r="AI67" s="63"/>
      <c r="AJ67" s="63"/>
      <c r="AK67" s="63"/>
      <c r="AL67" s="63"/>
      <c r="AM67" s="63"/>
    </row>
    <row r="68" spans="3:43" ht="17" thickBot="1" x14ac:dyDescent="0.25">
      <c r="C68" s="45"/>
      <c r="D68" s="46"/>
      <c r="E68" s="46"/>
      <c r="F68" s="46"/>
      <c r="G68" s="80"/>
      <c r="H68" s="67"/>
      <c r="I68" s="67"/>
      <c r="J68" s="47">
        <f t="shared" si="21"/>
        <v>0</v>
      </c>
      <c r="K68" s="67"/>
      <c r="L68" s="47">
        <f t="shared" si="22"/>
        <v>0</v>
      </c>
      <c r="M68" s="67"/>
      <c r="N68" s="67"/>
      <c r="O68" s="67"/>
      <c r="P68" s="67"/>
      <c r="Q68" s="67"/>
      <c r="R68" s="67"/>
      <c r="S68" s="67"/>
      <c r="T68" s="38"/>
      <c r="U68" s="67"/>
      <c r="V68" s="48">
        <f t="shared" si="26"/>
        <v>0</v>
      </c>
      <c r="W68" s="67"/>
      <c r="X68" s="47">
        <f t="shared" si="23"/>
        <v>0</v>
      </c>
      <c r="Y68" s="67"/>
      <c r="Z68" s="49">
        <f t="shared" si="24"/>
        <v>0</v>
      </c>
      <c r="AA68" s="67"/>
      <c r="AB68" s="49">
        <f t="shared" si="27"/>
        <v>0</v>
      </c>
      <c r="AC68" s="67"/>
      <c r="AD68" s="67"/>
      <c r="AE68" s="67"/>
      <c r="AF68" s="71"/>
      <c r="AG68" s="67"/>
      <c r="AH68" s="67"/>
      <c r="AI68" s="64"/>
      <c r="AJ68" s="64"/>
      <c r="AK68" s="64"/>
      <c r="AL68" s="64"/>
      <c r="AM68" s="64"/>
    </row>
    <row r="74" spans="3:43" ht="17" thickBot="1" x14ac:dyDescent="0.25"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spans="3:43" ht="17" thickBot="1" x14ac:dyDescent="0.25">
      <c r="C75" s="24"/>
      <c r="D75" s="24"/>
      <c r="E75" s="24"/>
      <c r="F75" s="24"/>
      <c r="G75" s="72" t="s">
        <v>42</v>
      </c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4"/>
      <c r="T75" s="75" t="s">
        <v>43</v>
      </c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7"/>
      <c r="AI75" s="24"/>
      <c r="AJ75" s="24"/>
      <c r="AK75" s="24"/>
      <c r="AL75" s="24"/>
    </row>
    <row r="76" spans="3:43" ht="18" thickBot="1" x14ac:dyDescent="0.25">
      <c r="C76" s="27" t="s">
        <v>44</v>
      </c>
      <c r="D76" s="27" t="s">
        <v>45</v>
      </c>
      <c r="E76" s="27" t="s">
        <v>46</v>
      </c>
      <c r="F76" s="27" t="s">
        <v>47</v>
      </c>
      <c r="G76" s="28" t="s">
        <v>48</v>
      </c>
      <c r="H76" s="28" t="s">
        <v>49</v>
      </c>
      <c r="I76" s="28" t="s">
        <v>50</v>
      </c>
      <c r="J76" s="28" t="s">
        <v>51</v>
      </c>
      <c r="K76" s="28" t="s">
        <v>52</v>
      </c>
      <c r="L76" s="28" t="s">
        <v>53</v>
      </c>
      <c r="M76" s="28" t="s">
        <v>54</v>
      </c>
      <c r="N76" s="28" t="s">
        <v>55</v>
      </c>
      <c r="O76" s="29" t="s">
        <v>56</v>
      </c>
      <c r="P76" s="29" t="s">
        <v>57</v>
      </c>
      <c r="Q76" s="29" t="s">
        <v>58</v>
      </c>
      <c r="R76" s="28" t="s">
        <v>59</v>
      </c>
      <c r="S76" s="28" t="s">
        <v>60</v>
      </c>
      <c r="T76" s="30" t="s">
        <v>61</v>
      </c>
      <c r="U76" s="25" t="s">
        <v>48</v>
      </c>
      <c r="V76" s="25" t="s">
        <v>62</v>
      </c>
      <c r="W76" s="25" t="s">
        <v>49</v>
      </c>
      <c r="X76" s="31" t="s">
        <v>63</v>
      </c>
      <c r="Y76" s="30" t="s">
        <v>50</v>
      </c>
      <c r="Z76" s="26" t="s">
        <v>64</v>
      </c>
      <c r="AA76" s="26" t="s">
        <v>52</v>
      </c>
      <c r="AB76" s="26" t="s">
        <v>65</v>
      </c>
      <c r="AC76" s="26" t="s">
        <v>66</v>
      </c>
      <c r="AD76" s="30" t="s">
        <v>59</v>
      </c>
      <c r="AE76" s="30" t="s">
        <v>60</v>
      </c>
      <c r="AF76" s="25" t="s">
        <v>55</v>
      </c>
      <c r="AG76" s="32" t="s">
        <v>67</v>
      </c>
      <c r="AH76" s="32" t="s">
        <v>68</v>
      </c>
      <c r="AI76" s="33" t="s">
        <v>69</v>
      </c>
      <c r="AJ76" s="33" t="s">
        <v>70</v>
      </c>
      <c r="AK76" s="34" t="s">
        <v>71</v>
      </c>
      <c r="AL76" s="33" t="s">
        <v>72</v>
      </c>
      <c r="AM76" s="33" t="s">
        <v>92</v>
      </c>
    </row>
    <row r="77" spans="3:43" x14ac:dyDescent="0.2">
      <c r="C77" s="35">
        <v>0.24677155105125803</v>
      </c>
      <c r="D77" s="36">
        <v>4.0466000000000002E-7</v>
      </c>
      <c r="E77" s="36">
        <v>5.3138281744118795E-3</v>
      </c>
      <c r="F77" s="36">
        <v>0</v>
      </c>
      <c r="G77" s="78">
        <f>COUNTA(D77:D86)</f>
        <v>4</v>
      </c>
      <c r="H77" s="65">
        <f>SUM(C77:C86)</f>
        <v>1.1965196157813804</v>
      </c>
      <c r="I77" s="65">
        <f>SUM(D77:D86)</f>
        <v>1.9635400000000002E-6</v>
      </c>
      <c r="J77" s="37">
        <f t="shared" ref="J77:J86" si="28">C77*D77</f>
        <v>9.9858575848402085E-8</v>
      </c>
      <c r="K77" s="65">
        <f>SUM(J77:J86)</f>
        <v>6.0011161811934322E-7</v>
      </c>
      <c r="L77" s="37">
        <f t="shared" ref="L77:L86" si="29">C77^2</f>
        <v>6.0896198408243646E-2</v>
      </c>
      <c r="M77" s="65">
        <f>SUM(L77:L86)</f>
        <v>0.36569528356699643</v>
      </c>
      <c r="N77" s="65">
        <f>(G77*M77)-(H77^2)</f>
        <v>3.1121943318363376E-2</v>
      </c>
      <c r="O77" s="65">
        <f>SQRT($F$77^2+(S77*$E$77)^2)</f>
        <v>8.713373576013137E-9</v>
      </c>
      <c r="P77" s="65">
        <f>O77*SQRT(M77/N77)</f>
        <v>2.9868448239467428E-8</v>
      </c>
      <c r="Q77" s="65">
        <f>O77*SQRT(G77/N77)</f>
        <v>9.8783173981927018E-8</v>
      </c>
      <c r="R77" s="65">
        <f>(M77*I77-H77*K77)/N77</f>
        <v>3.8539871750671392E-10</v>
      </c>
      <c r="S77" s="65">
        <f>((G77*K77)-(H77*I77))/N77</f>
        <v>1.6397544839653214E-6</v>
      </c>
      <c r="T77" s="38">
        <f>1/(F77^2+($S$77*E77)^2)</f>
        <v>1.3171260260164738E+16</v>
      </c>
      <c r="U77" s="65">
        <f>SUM(T77:T86)</f>
        <v>3.8610642749740976E+16</v>
      </c>
      <c r="V77" s="39">
        <f>T77*C77</f>
        <v>3250292323700649</v>
      </c>
      <c r="W77" s="65">
        <f>SUM(V77:V86)</f>
        <v>1.1361860392907202E+16</v>
      </c>
      <c r="X77" s="37">
        <f t="shared" ref="X77:X86" si="30">T77*D77</f>
        <v>5329882176.8782635</v>
      </c>
      <c r="Y77" s="65">
        <f>SUM(X77:X86)</f>
        <v>18643464224.882683</v>
      </c>
      <c r="Z77" s="40">
        <f t="shared" ref="Z77:Z86" si="31">T77*C77*D77</f>
        <v>1315263291.7087047</v>
      </c>
      <c r="AA77" s="65">
        <f>SUM(Z77:Z86)</f>
        <v>5615393071.9958935</v>
      </c>
      <c r="AB77" s="40">
        <f>T77*L77</f>
        <v>802079678089606.75</v>
      </c>
      <c r="AC77" s="65">
        <f>SUM(AB77:AB86)</f>
        <v>3422176341052036.5</v>
      </c>
      <c r="AD77" s="65">
        <f>((AC77*Y77)-(W77*AA77))/AF77</f>
        <v>-2.9583292006728788E-11</v>
      </c>
      <c r="AE77" s="65">
        <f>((U77*AA77)-(W77*Y77))/AF77</f>
        <v>1.640981829563831E-6</v>
      </c>
      <c r="AF77" s="69">
        <f>(U77*AC77)-(W77^2)</f>
        <v>3.0405565430625191E+30</v>
      </c>
      <c r="AG77" s="65">
        <f>SQRT((AC77/AF77))</f>
        <v>3.3548619208157353E-8</v>
      </c>
      <c r="AH77" s="65">
        <f>SQRT((U77/AF77))</f>
        <v>1.1268781904071067E-7</v>
      </c>
      <c r="AI77" s="68">
        <f>_xlfn.STDEV.S(C77:C86)</f>
        <v>5.0926371130586963E-2</v>
      </c>
      <c r="AJ77" s="68">
        <f>_xlfn.STDEV.S(D77:D86)</f>
        <v>8.3507912000400667E-8</v>
      </c>
      <c r="AK77" s="68">
        <f>_xlfn.COVARIANCE.S(C77:C86,D77:D86)</f>
        <v>4.2526955088334318E-9</v>
      </c>
      <c r="AL77" s="68">
        <f>CORREL(C77:C86,D77:D86)</f>
        <v>0.99998603022264265</v>
      </c>
      <c r="AM77" s="63">
        <f>AL77^2</f>
        <v>0.99997206064043997</v>
      </c>
      <c r="AN77" s="11" t="s">
        <v>10</v>
      </c>
      <c r="AO77" s="11" t="s">
        <v>73</v>
      </c>
      <c r="AP77" s="11" t="s">
        <v>74</v>
      </c>
      <c r="AQ77" s="11" t="s">
        <v>75</v>
      </c>
    </row>
    <row r="78" spans="3:43" x14ac:dyDescent="0.2">
      <c r="C78" s="41">
        <v>0.26523978991013614</v>
      </c>
      <c r="D78" s="42">
        <v>4.3583999999999996E-7</v>
      </c>
      <c r="E78" s="42">
        <v>6.9200531108797973E-3</v>
      </c>
      <c r="F78" s="42">
        <v>0</v>
      </c>
      <c r="G78" s="79"/>
      <c r="H78" s="66"/>
      <c r="I78" s="66"/>
      <c r="J78" s="38">
        <f t="shared" si="28"/>
        <v>1.1560211003443372E-7</v>
      </c>
      <c r="K78" s="66"/>
      <c r="L78" s="38">
        <f t="shared" si="29"/>
        <v>7.0352146151573161E-2</v>
      </c>
      <c r="M78" s="66"/>
      <c r="N78" s="66"/>
      <c r="O78" s="66"/>
      <c r="P78" s="66"/>
      <c r="Q78" s="66"/>
      <c r="R78" s="66"/>
      <c r="S78" s="66"/>
      <c r="T78" s="38">
        <f t="shared" ref="T78:T80" si="32">1/(F78^2+($S$77*E78)^2)</f>
        <v>7766466805356932</v>
      </c>
      <c r="U78" s="66"/>
      <c r="V78" s="43">
        <f t="shared" ref="V78:V86" si="33">T78*C78</f>
        <v>2059976023796918.8</v>
      </c>
      <c r="W78" s="66"/>
      <c r="X78" s="38">
        <f t="shared" si="30"/>
        <v>3384936892.4467649</v>
      </c>
      <c r="Y78" s="66"/>
      <c r="Z78" s="44">
        <f t="shared" si="31"/>
        <v>897819950.21164894</v>
      </c>
      <c r="AA78" s="66"/>
      <c r="AB78" s="44">
        <f t="shared" ref="AB78:AB86" si="34">T78*L78</f>
        <v>546387607771812.38</v>
      </c>
      <c r="AC78" s="66"/>
      <c r="AD78" s="66"/>
      <c r="AE78" s="66"/>
      <c r="AF78" s="70"/>
      <c r="AG78" s="66"/>
      <c r="AH78" s="66"/>
      <c r="AI78" s="63"/>
      <c r="AJ78" s="63"/>
      <c r="AK78" s="63"/>
      <c r="AL78" s="63"/>
      <c r="AM78" s="63"/>
      <c r="AN78" s="11">
        <v>1.640981829563831E-6</v>
      </c>
      <c r="AO78" s="11">
        <v>1.1268781904071067E-7</v>
      </c>
      <c r="AP78" s="11">
        <v>-2.9583292006728788E-11</v>
      </c>
      <c r="AQ78" s="11">
        <v>3.3548619208157353E-8</v>
      </c>
    </row>
    <row r="79" spans="3:43" x14ac:dyDescent="0.2">
      <c r="C79" s="41">
        <v>0.3330034655786423</v>
      </c>
      <c r="D79" s="42">
        <v>5.4606999999999997E-7</v>
      </c>
      <c r="E79" s="42">
        <v>6.5471822446473166E-3</v>
      </c>
      <c r="F79" s="42">
        <v>0</v>
      </c>
      <c r="G79" s="79"/>
      <c r="H79" s="66"/>
      <c r="I79" s="66"/>
      <c r="J79" s="38">
        <f t="shared" si="28"/>
        <v>1.8184320244852919E-7</v>
      </c>
      <c r="K79" s="66"/>
      <c r="L79" s="38">
        <f t="shared" si="29"/>
        <v>0.11089130808738601</v>
      </c>
      <c r="M79" s="66"/>
      <c r="N79" s="66"/>
      <c r="O79" s="66"/>
      <c r="P79" s="66"/>
      <c r="Q79" s="66"/>
      <c r="R79" s="66"/>
      <c r="S79" s="66"/>
      <c r="T79" s="38">
        <f t="shared" si="32"/>
        <v>8676278536128008</v>
      </c>
      <c r="U79" s="66"/>
      <c r="V79" s="43">
        <f t="shared" si="33"/>
        <v>2889230820856216</v>
      </c>
      <c r="W79" s="66"/>
      <c r="X79" s="38">
        <f t="shared" si="30"/>
        <v>4737855420.2234211</v>
      </c>
      <c r="Y79" s="66"/>
      <c r="Z79" s="44">
        <f t="shared" si="31"/>
        <v>1577722274.3449538</v>
      </c>
      <c r="AA79" s="66"/>
      <c r="AB79" s="44">
        <f t="shared" si="34"/>
        <v>962123876201745.38</v>
      </c>
      <c r="AC79" s="66"/>
      <c r="AD79" s="66"/>
      <c r="AE79" s="66"/>
      <c r="AF79" s="70"/>
      <c r="AG79" s="66"/>
      <c r="AH79" s="66"/>
      <c r="AI79" s="63"/>
      <c r="AJ79" s="63"/>
      <c r="AK79" s="63"/>
      <c r="AL79" s="63"/>
      <c r="AM79" s="63"/>
    </row>
    <row r="80" spans="3:43" x14ac:dyDescent="0.2">
      <c r="C80" s="41">
        <v>0.35150480924134392</v>
      </c>
      <c r="D80" s="42">
        <v>5.7696999999999996E-7</v>
      </c>
      <c r="E80" s="42">
        <v>6.4295572895623661E-3</v>
      </c>
      <c r="F80" s="42">
        <v>0</v>
      </c>
      <c r="G80" s="79"/>
      <c r="H80" s="66"/>
      <c r="I80" s="66"/>
      <c r="J80" s="38">
        <f t="shared" si="28"/>
        <v>2.0280772978797818E-7</v>
      </c>
      <c r="K80" s="66"/>
      <c r="L80" s="38">
        <f t="shared" si="29"/>
        <v>0.12355563091979357</v>
      </c>
      <c r="M80" s="66"/>
      <c r="N80" s="66"/>
      <c r="O80" s="66"/>
      <c r="P80" s="66"/>
      <c r="Q80" s="66"/>
      <c r="R80" s="66"/>
      <c r="S80" s="66"/>
      <c r="T80" s="38">
        <f t="shared" si="32"/>
        <v>8996637148091294</v>
      </c>
      <c r="U80" s="66"/>
      <c r="V80" s="43">
        <f t="shared" si="33"/>
        <v>3162361224553418.5</v>
      </c>
      <c r="W80" s="66"/>
      <c r="X80" s="38">
        <f t="shared" si="30"/>
        <v>5190789735.3342333</v>
      </c>
      <c r="Y80" s="66"/>
      <c r="Z80" s="44">
        <f t="shared" si="31"/>
        <v>1824587555.7305858</v>
      </c>
      <c r="AA80" s="66"/>
      <c r="AB80" s="44">
        <f t="shared" si="34"/>
        <v>1111585178988872.1</v>
      </c>
      <c r="AC80" s="66"/>
      <c r="AD80" s="66"/>
      <c r="AE80" s="66"/>
      <c r="AF80" s="70"/>
      <c r="AG80" s="66"/>
      <c r="AH80" s="66"/>
      <c r="AI80" s="63"/>
      <c r="AJ80" s="63"/>
      <c r="AK80" s="63"/>
      <c r="AL80" s="63"/>
      <c r="AM80" s="63"/>
    </row>
    <row r="81" spans="2:39" x14ac:dyDescent="0.2">
      <c r="C81" s="41"/>
      <c r="D81" s="42"/>
      <c r="E81" s="42"/>
      <c r="F81" s="42"/>
      <c r="G81" s="79"/>
      <c r="H81" s="66"/>
      <c r="I81" s="66"/>
      <c r="J81" s="38">
        <f t="shared" si="28"/>
        <v>0</v>
      </c>
      <c r="K81" s="66"/>
      <c r="L81" s="38">
        <f t="shared" si="29"/>
        <v>0</v>
      </c>
      <c r="M81" s="66"/>
      <c r="N81" s="66"/>
      <c r="O81" s="66"/>
      <c r="P81" s="66"/>
      <c r="Q81" s="66"/>
      <c r="R81" s="66"/>
      <c r="S81" s="66"/>
      <c r="T81" s="38"/>
      <c r="U81" s="66"/>
      <c r="V81" s="43">
        <f t="shared" si="33"/>
        <v>0</v>
      </c>
      <c r="W81" s="66"/>
      <c r="X81" s="38">
        <f t="shared" si="30"/>
        <v>0</v>
      </c>
      <c r="Y81" s="66"/>
      <c r="Z81" s="44">
        <f t="shared" si="31"/>
        <v>0</v>
      </c>
      <c r="AA81" s="66"/>
      <c r="AB81" s="44">
        <f t="shared" si="34"/>
        <v>0</v>
      </c>
      <c r="AC81" s="66"/>
      <c r="AD81" s="66"/>
      <c r="AE81" s="66"/>
      <c r="AF81" s="70"/>
      <c r="AG81" s="66"/>
      <c r="AH81" s="66"/>
      <c r="AI81" s="63"/>
      <c r="AJ81" s="63"/>
      <c r="AK81" s="63"/>
      <c r="AL81" s="63"/>
      <c r="AM81" s="63"/>
    </row>
    <row r="82" spans="2:39" x14ac:dyDescent="0.2">
      <c r="C82" s="41"/>
      <c r="D82" s="42"/>
      <c r="E82" s="42"/>
      <c r="F82" s="42"/>
      <c r="G82" s="79"/>
      <c r="H82" s="66"/>
      <c r="I82" s="66"/>
      <c r="J82" s="38">
        <f t="shared" si="28"/>
        <v>0</v>
      </c>
      <c r="K82" s="66"/>
      <c r="L82" s="38">
        <f t="shared" si="29"/>
        <v>0</v>
      </c>
      <c r="M82" s="66"/>
      <c r="N82" s="66"/>
      <c r="O82" s="66"/>
      <c r="P82" s="66"/>
      <c r="Q82" s="66"/>
      <c r="R82" s="66"/>
      <c r="S82" s="66"/>
      <c r="T82" s="38"/>
      <c r="U82" s="66"/>
      <c r="V82" s="43">
        <f t="shared" si="33"/>
        <v>0</v>
      </c>
      <c r="W82" s="66"/>
      <c r="X82" s="38">
        <f t="shared" si="30"/>
        <v>0</v>
      </c>
      <c r="Y82" s="66"/>
      <c r="Z82" s="44">
        <f t="shared" si="31"/>
        <v>0</v>
      </c>
      <c r="AA82" s="66"/>
      <c r="AB82" s="44">
        <f t="shared" si="34"/>
        <v>0</v>
      </c>
      <c r="AC82" s="66"/>
      <c r="AD82" s="66"/>
      <c r="AE82" s="66"/>
      <c r="AF82" s="70"/>
      <c r="AG82" s="66"/>
      <c r="AH82" s="66"/>
      <c r="AI82" s="63"/>
      <c r="AJ82" s="63"/>
      <c r="AK82" s="63"/>
      <c r="AL82" s="63"/>
      <c r="AM82" s="63"/>
    </row>
    <row r="83" spans="2:39" x14ac:dyDescent="0.2">
      <c r="C83" s="41"/>
      <c r="D83" s="42"/>
      <c r="E83" s="42"/>
      <c r="F83" s="42"/>
      <c r="G83" s="79"/>
      <c r="H83" s="66"/>
      <c r="I83" s="66"/>
      <c r="J83" s="38">
        <f t="shared" si="28"/>
        <v>0</v>
      </c>
      <c r="K83" s="66"/>
      <c r="L83" s="38">
        <f t="shared" si="29"/>
        <v>0</v>
      </c>
      <c r="M83" s="66"/>
      <c r="N83" s="66"/>
      <c r="O83" s="66"/>
      <c r="P83" s="66"/>
      <c r="Q83" s="66"/>
      <c r="R83" s="66"/>
      <c r="S83" s="66"/>
      <c r="T83" s="38"/>
      <c r="U83" s="66"/>
      <c r="V83" s="43">
        <f t="shared" si="33"/>
        <v>0</v>
      </c>
      <c r="W83" s="66"/>
      <c r="X83" s="38">
        <f t="shared" si="30"/>
        <v>0</v>
      </c>
      <c r="Y83" s="66"/>
      <c r="Z83" s="44">
        <f t="shared" si="31"/>
        <v>0</v>
      </c>
      <c r="AA83" s="66"/>
      <c r="AB83" s="44">
        <f t="shared" si="34"/>
        <v>0</v>
      </c>
      <c r="AC83" s="66"/>
      <c r="AD83" s="66"/>
      <c r="AE83" s="66"/>
      <c r="AF83" s="70"/>
      <c r="AG83" s="66"/>
      <c r="AH83" s="66"/>
      <c r="AI83" s="63"/>
      <c r="AJ83" s="63"/>
      <c r="AK83" s="63"/>
      <c r="AL83" s="63"/>
      <c r="AM83" s="63"/>
    </row>
    <row r="84" spans="2:39" x14ac:dyDescent="0.2">
      <c r="C84" s="41"/>
      <c r="D84" s="42"/>
      <c r="E84" s="42"/>
      <c r="F84" s="42"/>
      <c r="G84" s="79"/>
      <c r="H84" s="66"/>
      <c r="I84" s="66"/>
      <c r="J84" s="38">
        <f t="shared" si="28"/>
        <v>0</v>
      </c>
      <c r="K84" s="66"/>
      <c r="L84" s="38">
        <f t="shared" si="29"/>
        <v>0</v>
      </c>
      <c r="M84" s="66"/>
      <c r="N84" s="66"/>
      <c r="O84" s="66"/>
      <c r="P84" s="66"/>
      <c r="Q84" s="66"/>
      <c r="R84" s="66"/>
      <c r="S84" s="66"/>
      <c r="T84" s="38"/>
      <c r="U84" s="66"/>
      <c r="V84" s="43">
        <f t="shared" si="33"/>
        <v>0</v>
      </c>
      <c r="W84" s="66"/>
      <c r="X84" s="38">
        <f t="shared" si="30"/>
        <v>0</v>
      </c>
      <c r="Y84" s="66"/>
      <c r="Z84" s="44">
        <f t="shared" si="31"/>
        <v>0</v>
      </c>
      <c r="AA84" s="66"/>
      <c r="AB84" s="44">
        <f t="shared" si="34"/>
        <v>0</v>
      </c>
      <c r="AC84" s="66"/>
      <c r="AD84" s="66"/>
      <c r="AE84" s="66"/>
      <c r="AF84" s="70"/>
      <c r="AG84" s="66"/>
      <c r="AH84" s="66"/>
      <c r="AI84" s="63"/>
      <c r="AJ84" s="63"/>
      <c r="AK84" s="63"/>
      <c r="AL84" s="63"/>
      <c r="AM84" s="63"/>
    </row>
    <row r="85" spans="2:39" x14ac:dyDescent="0.2">
      <c r="C85" s="41"/>
      <c r="D85" s="42"/>
      <c r="E85" s="42"/>
      <c r="F85" s="42"/>
      <c r="G85" s="79"/>
      <c r="H85" s="66"/>
      <c r="I85" s="66"/>
      <c r="J85" s="38">
        <f t="shared" si="28"/>
        <v>0</v>
      </c>
      <c r="K85" s="66"/>
      <c r="L85" s="38">
        <f t="shared" si="29"/>
        <v>0</v>
      </c>
      <c r="M85" s="66"/>
      <c r="N85" s="66"/>
      <c r="O85" s="66"/>
      <c r="P85" s="66"/>
      <c r="Q85" s="66"/>
      <c r="R85" s="66"/>
      <c r="S85" s="66"/>
      <c r="T85" s="38"/>
      <c r="U85" s="66"/>
      <c r="V85" s="43">
        <f t="shared" si="33"/>
        <v>0</v>
      </c>
      <c r="W85" s="66"/>
      <c r="X85" s="38">
        <f t="shared" si="30"/>
        <v>0</v>
      </c>
      <c r="Y85" s="66"/>
      <c r="Z85" s="44">
        <f t="shared" si="31"/>
        <v>0</v>
      </c>
      <c r="AA85" s="66"/>
      <c r="AB85" s="44">
        <f t="shared" si="34"/>
        <v>0</v>
      </c>
      <c r="AC85" s="66"/>
      <c r="AD85" s="66"/>
      <c r="AE85" s="66"/>
      <c r="AF85" s="70"/>
      <c r="AG85" s="66"/>
      <c r="AH85" s="66"/>
      <c r="AI85" s="63"/>
      <c r="AJ85" s="63"/>
      <c r="AK85" s="63"/>
      <c r="AL85" s="63"/>
      <c r="AM85" s="63"/>
    </row>
    <row r="86" spans="2:39" ht="17" thickBot="1" x14ac:dyDescent="0.25">
      <c r="C86" s="45"/>
      <c r="D86" s="46"/>
      <c r="E86" s="46"/>
      <c r="F86" s="46"/>
      <c r="G86" s="80"/>
      <c r="H86" s="67"/>
      <c r="I86" s="67"/>
      <c r="J86" s="47">
        <f t="shared" si="28"/>
        <v>0</v>
      </c>
      <c r="K86" s="67"/>
      <c r="L86" s="47">
        <f t="shared" si="29"/>
        <v>0</v>
      </c>
      <c r="M86" s="67"/>
      <c r="N86" s="67"/>
      <c r="O86" s="67"/>
      <c r="P86" s="67"/>
      <c r="Q86" s="67"/>
      <c r="R86" s="67"/>
      <c r="S86" s="67"/>
      <c r="T86" s="38"/>
      <c r="U86" s="67"/>
      <c r="V86" s="48">
        <f t="shared" si="33"/>
        <v>0</v>
      </c>
      <c r="W86" s="67"/>
      <c r="X86" s="47">
        <f t="shared" si="30"/>
        <v>0</v>
      </c>
      <c r="Y86" s="67"/>
      <c r="Z86" s="49">
        <f t="shared" si="31"/>
        <v>0</v>
      </c>
      <c r="AA86" s="67"/>
      <c r="AB86" s="49">
        <f t="shared" si="34"/>
        <v>0</v>
      </c>
      <c r="AC86" s="67"/>
      <c r="AD86" s="67"/>
      <c r="AE86" s="67"/>
      <c r="AF86" s="71"/>
      <c r="AG86" s="67"/>
      <c r="AH86" s="67"/>
      <c r="AI86" s="64"/>
      <c r="AJ86" s="64"/>
      <c r="AK86" s="64"/>
      <c r="AL86" s="64"/>
      <c r="AM86" s="64"/>
    </row>
    <row r="92" spans="2:39" ht="17" thickBot="1" x14ac:dyDescent="0.25"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</row>
    <row r="93" spans="2:39" ht="17" thickBot="1" x14ac:dyDescent="0.25">
      <c r="C93" s="24"/>
      <c r="D93" s="24"/>
      <c r="E93" s="24"/>
      <c r="F93" s="24"/>
      <c r="G93" s="72" t="s">
        <v>42</v>
      </c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4"/>
      <c r="T93" s="75" t="s">
        <v>43</v>
      </c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7"/>
      <c r="AI93" s="24"/>
      <c r="AJ93" s="24"/>
      <c r="AK93" s="24"/>
      <c r="AL93" s="24"/>
    </row>
    <row r="94" spans="2:39" ht="18" thickBot="1" x14ac:dyDescent="0.25">
      <c r="C94" s="27" t="s">
        <v>44</v>
      </c>
      <c r="D94" s="27" t="s">
        <v>45</v>
      </c>
      <c r="E94" s="27" t="s">
        <v>46</v>
      </c>
      <c r="F94" s="27" t="s">
        <v>47</v>
      </c>
      <c r="G94" s="28" t="s">
        <v>48</v>
      </c>
      <c r="H94" s="28" t="s">
        <v>49</v>
      </c>
      <c r="I94" s="28" t="s">
        <v>50</v>
      </c>
      <c r="J94" s="28" t="s">
        <v>51</v>
      </c>
      <c r="K94" s="28" t="s">
        <v>52</v>
      </c>
      <c r="L94" s="28" t="s">
        <v>53</v>
      </c>
      <c r="M94" s="28" t="s">
        <v>54</v>
      </c>
      <c r="N94" s="28" t="s">
        <v>55</v>
      </c>
      <c r="O94" s="29" t="s">
        <v>56</v>
      </c>
      <c r="P94" s="29" t="s">
        <v>57</v>
      </c>
      <c r="Q94" s="29" t="s">
        <v>58</v>
      </c>
      <c r="R94" s="28" t="s">
        <v>59</v>
      </c>
      <c r="S94" s="28" t="s">
        <v>60</v>
      </c>
      <c r="T94" s="30" t="s">
        <v>61</v>
      </c>
      <c r="U94" s="25" t="s">
        <v>48</v>
      </c>
      <c r="V94" s="25" t="s">
        <v>62</v>
      </c>
      <c r="W94" s="25" t="s">
        <v>49</v>
      </c>
      <c r="X94" s="31" t="s">
        <v>63</v>
      </c>
      <c r="Y94" s="30" t="s">
        <v>50</v>
      </c>
      <c r="Z94" s="26" t="s">
        <v>64</v>
      </c>
      <c r="AA94" s="26" t="s">
        <v>52</v>
      </c>
      <c r="AB94" s="26" t="s">
        <v>65</v>
      </c>
      <c r="AC94" s="26" t="s">
        <v>66</v>
      </c>
      <c r="AD94" s="30" t="s">
        <v>59</v>
      </c>
      <c r="AE94" s="30" t="s">
        <v>60</v>
      </c>
      <c r="AF94" s="25" t="s">
        <v>55</v>
      </c>
      <c r="AG94" s="32" t="s">
        <v>67</v>
      </c>
      <c r="AH94" s="32" t="s">
        <v>68</v>
      </c>
      <c r="AI94" s="33" t="s">
        <v>69</v>
      </c>
      <c r="AJ94" s="33" t="s">
        <v>70</v>
      </c>
      <c r="AK94" s="34" t="s">
        <v>71</v>
      </c>
      <c r="AL94" s="33" t="s">
        <v>72</v>
      </c>
      <c r="AM94" s="33" t="s">
        <v>92</v>
      </c>
    </row>
    <row r="95" spans="2:39" x14ac:dyDescent="0.2">
      <c r="B95" t="s">
        <v>89</v>
      </c>
      <c r="C95" s="35">
        <v>7.2</v>
      </c>
      <c r="D95">
        <v>4.3874354435820712E-7</v>
      </c>
      <c r="E95" s="36">
        <v>0</v>
      </c>
      <c r="F95" s="57">
        <v>3.8603398050037902E-8</v>
      </c>
      <c r="G95" s="78">
        <f>COUNTA(D95:D104)</f>
        <v>10</v>
      </c>
      <c r="H95" s="65">
        <f>SUM(C95:C104)</f>
        <v>17.295233333300001</v>
      </c>
      <c r="I95" s="65">
        <f>SUM(D95:D104)</f>
        <v>1.588895239166231E-6</v>
      </c>
      <c r="J95" s="37">
        <f>C95*D95</f>
        <v>3.1589535193790915E-6</v>
      </c>
      <c r="K95" s="65">
        <f>SUM(J95:J104)</f>
        <v>8.9156178629572849E-6</v>
      </c>
      <c r="L95" s="35">
        <f>C95^2</f>
        <v>51.84</v>
      </c>
      <c r="M95" s="65">
        <f>SUM(L95:L104)</f>
        <v>102.96013605408889</v>
      </c>
      <c r="N95" s="65">
        <f>(G95*M95)-(H95^2)</f>
        <v>730.47626448759752</v>
      </c>
      <c r="O95" s="65">
        <f>SQRT($F$95^2+(S95*$E$95)^2)</f>
        <v>3.8603398050037902E-8</v>
      </c>
      <c r="P95" s="65">
        <f>O95*SQRT(M95/N95)</f>
        <v>1.4492958025990793E-8</v>
      </c>
      <c r="Q95" s="65">
        <f>O95*SQRT(G95/N95)</f>
        <v>4.5167128433216038E-9</v>
      </c>
      <c r="R95" s="65">
        <f>(M95*I95-H95*K95)/N95</f>
        <v>1.2861716672554563E-8</v>
      </c>
      <c r="S95" s="65">
        <f>((G95*K95)-(H95*I95))/N95</f>
        <v>8.4432400783462469E-8</v>
      </c>
      <c r="T95" s="38">
        <f>1/(F95^2+($S$95*E95)^2)</f>
        <v>671040805442810.75</v>
      </c>
      <c r="U95" s="65" t="e">
        <f>SUM(T95:T104)</f>
        <v>#DIV/0!</v>
      </c>
      <c r="V95" s="39">
        <f>T95*C95</f>
        <v>4831493799188238</v>
      </c>
      <c r="W95" s="65" t="e">
        <f>SUM(V95:V104)</f>
        <v>#DIV/0!</v>
      </c>
      <c r="X95" s="37">
        <f t="shared" ref="X95:X104" si="35">T95*D95</f>
        <v>294414821.38896489</v>
      </c>
      <c r="Y95" s="65" t="e">
        <f>SUM(X95:X104)</f>
        <v>#DIV/0!</v>
      </c>
      <c r="Z95" s="40">
        <f t="shared" ref="Z95:Z104" si="36">T95*C95*D95</f>
        <v>2119786714.0005474</v>
      </c>
      <c r="AA95" s="65" t="e">
        <f>SUM(Z95:Z104)</f>
        <v>#DIV/0!</v>
      </c>
      <c r="AB95" s="40">
        <f>T95*L95</f>
        <v>3.4786755354155312E+16</v>
      </c>
      <c r="AC95" s="65" t="e">
        <f>SUM(AB95:AB104)</f>
        <v>#DIV/0!</v>
      </c>
      <c r="AD95" s="65" t="e">
        <f>((AC95*Y95)-(W95*AA95))/AF95</f>
        <v>#DIV/0!</v>
      </c>
      <c r="AE95" s="65" t="e">
        <f>((U95*AA95)-(W95*Y95))/AF95</f>
        <v>#DIV/0!</v>
      </c>
      <c r="AF95" s="69" t="e">
        <f>(U95*AC95)-(W95^2)</f>
        <v>#DIV/0!</v>
      </c>
      <c r="AG95" s="65" t="e">
        <f>SQRT((AC95/AF95))</f>
        <v>#DIV/0!</v>
      </c>
      <c r="AH95" s="65" t="e">
        <f>SQRT((U95/AF95))</f>
        <v>#DIV/0!</v>
      </c>
      <c r="AI95" s="68">
        <f>_xlfn.STDEV.S(C95:C104)</f>
        <v>2.8489301393244246</v>
      </c>
      <c r="AJ95" s="68">
        <f>_xlfn.STDEV.S(D95:D104)</f>
        <v>2.6163669210868181E-7</v>
      </c>
      <c r="AK95" s="68">
        <f>_xlfn.COVARIANCE.S(C95:C104,D95:D104)</f>
        <v>6.8528738584470436E-7</v>
      </c>
      <c r="AL95" s="68">
        <f>CORREL(C95:C104,D95:D104)</f>
        <v>0.91937414966095876</v>
      </c>
      <c r="AM95" s="63">
        <f>AL95^2</f>
        <v>0.84524882706481097</v>
      </c>
    </row>
    <row r="96" spans="2:39" x14ac:dyDescent="0.2">
      <c r="B96" t="s">
        <v>90</v>
      </c>
      <c r="C96" s="41">
        <v>5.3333333332999997</v>
      </c>
      <c r="D96">
        <v>4.8957064939891025E-7</v>
      </c>
      <c r="E96" s="42">
        <v>0</v>
      </c>
      <c r="F96">
        <v>4.1737922275348595E-8</v>
      </c>
      <c r="G96" s="79"/>
      <c r="H96" s="66"/>
      <c r="I96" s="66"/>
      <c r="J96" s="38">
        <f t="shared" ref="J96:J104" si="37">C96*D96</f>
        <v>2.6110434634445355E-6</v>
      </c>
      <c r="K96" s="66"/>
      <c r="L96" s="38">
        <f t="shared" ref="L96:L104" si="38">C96^2</f>
        <v>28.444444444088887</v>
      </c>
      <c r="M96" s="66"/>
      <c r="N96" s="66"/>
      <c r="O96" s="66"/>
      <c r="P96" s="66"/>
      <c r="Q96" s="66"/>
      <c r="R96" s="66"/>
      <c r="S96" s="66"/>
      <c r="T96" s="38">
        <f t="shared" ref="T96:T104" si="39">1/(F96^2+($S$95*E96)^2)</f>
        <v>574034967072871.88</v>
      </c>
      <c r="U96" s="66"/>
      <c r="V96" s="43">
        <f t="shared" ref="V96:V104" si="40">T96*C96</f>
        <v>3061519824369515.5</v>
      </c>
      <c r="W96" s="66"/>
      <c r="X96" s="38">
        <f t="shared" si="35"/>
        <v>281030671.60754794</v>
      </c>
      <c r="Y96" s="66"/>
      <c r="Z96" s="44">
        <f t="shared" si="36"/>
        <v>1498830248.5642214</v>
      </c>
      <c r="AA96" s="66"/>
      <c r="AB96" s="44">
        <f t="shared" ref="AB96:AB104" si="41">T96*L96</f>
        <v>1.6328105729868698E+16</v>
      </c>
      <c r="AC96" s="66"/>
      <c r="AD96" s="66"/>
      <c r="AE96" s="66"/>
      <c r="AF96" s="70"/>
      <c r="AG96" s="66"/>
      <c r="AH96" s="66"/>
      <c r="AI96" s="63"/>
      <c r="AJ96" s="63"/>
      <c r="AK96" s="63"/>
      <c r="AL96" s="63"/>
      <c r="AM96" s="63"/>
    </row>
    <row r="97" spans="2:39" x14ac:dyDescent="0.2">
      <c r="B97" t="s">
        <v>91</v>
      </c>
      <c r="C97" s="41">
        <v>4.7618999999999998</v>
      </c>
      <c r="D97">
        <v>6.6058104540911367E-7</v>
      </c>
      <c r="E97" s="42">
        <v>0</v>
      </c>
      <c r="F97">
        <v>5.9132133297493816E-8</v>
      </c>
      <c r="G97" s="79"/>
      <c r="H97" s="66"/>
      <c r="I97" s="66"/>
      <c r="J97" s="38">
        <f t="shared" si="37"/>
        <v>3.1456208801336583E-6</v>
      </c>
      <c r="K97" s="66"/>
      <c r="L97" s="38">
        <f t="shared" si="38"/>
        <v>22.675691609999998</v>
      </c>
      <c r="M97" s="66"/>
      <c r="N97" s="66"/>
      <c r="O97" s="66"/>
      <c r="P97" s="66"/>
      <c r="Q97" s="66"/>
      <c r="R97" s="66"/>
      <c r="S97" s="66"/>
      <c r="T97" s="38">
        <f t="shared" si="39"/>
        <v>285991355094101.44</v>
      </c>
      <c r="U97" s="66"/>
      <c r="V97" s="43">
        <f t="shared" si="40"/>
        <v>1361862233822601.5</v>
      </c>
      <c r="W97" s="66"/>
      <c r="X97" s="38">
        <f t="shared" si="35"/>
        <v>188920468.32603058</v>
      </c>
      <c r="Y97" s="66"/>
      <c r="Z97" s="44">
        <f t="shared" si="36"/>
        <v>899620378.12172484</v>
      </c>
      <c r="AA97" s="66"/>
      <c r="AB97" s="44">
        <f t="shared" si="41"/>
        <v>6485051771239846</v>
      </c>
      <c r="AC97" s="66"/>
      <c r="AD97" s="66"/>
      <c r="AE97" s="66"/>
      <c r="AF97" s="70"/>
      <c r="AG97" s="66"/>
      <c r="AH97" s="66"/>
      <c r="AI97" s="63"/>
      <c r="AJ97" s="63"/>
      <c r="AK97" s="63"/>
      <c r="AL97" s="63"/>
      <c r="AM97" s="63"/>
    </row>
    <row r="98" spans="2:39" x14ac:dyDescent="0.2">
      <c r="C98" s="41">
        <v>0</v>
      </c>
      <c r="D98" s="42">
        <v>0</v>
      </c>
      <c r="E98" s="42">
        <v>0</v>
      </c>
      <c r="F98" s="42">
        <v>0</v>
      </c>
      <c r="G98" s="79"/>
      <c r="H98" s="66"/>
      <c r="I98" s="66"/>
      <c r="J98" s="38">
        <f t="shared" si="37"/>
        <v>0</v>
      </c>
      <c r="K98" s="66"/>
      <c r="L98" s="38">
        <f t="shared" si="38"/>
        <v>0</v>
      </c>
      <c r="M98" s="66"/>
      <c r="N98" s="66"/>
      <c r="O98" s="66"/>
      <c r="P98" s="66"/>
      <c r="Q98" s="66"/>
      <c r="R98" s="66"/>
      <c r="S98" s="66"/>
      <c r="T98" s="38" t="e">
        <f t="shared" si="39"/>
        <v>#DIV/0!</v>
      </c>
      <c r="U98" s="66"/>
      <c r="V98" s="43" t="e">
        <f t="shared" si="40"/>
        <v>#DIV/0!</v>
      </c>
      <c r="W98" s="66"/>
      <c r="X98" s="38" t="e">
        <f t="shared" si="35"/>
        <v>#DIV/0!</v>
      </c>
      <c r="Y98" s="66"/>
      <c r="Z98" s="44" t="e">
        <f t="shared" si="36"/>
        <v>#DIV/0!</v>
      </c>
      <c r="AA98" s="66"/>
      <c r="AB98" s="44" t="e">
        <f t="shared" si="41"/>
        <v>#DIV/0!</v>
      </c>
      <c r="AC98" s="66"/>
      <c r="AD98" s="66"/>
      <c r="AE98" s="66"/>
      <c r="AF98" s="70"/>
      <c r="AG98" s="66"/>
      <c r="AH98" s="66"/>
      <c r="AI98" s="63"/>
      <c r="AJ98" s="63"/>
      <c r="AK98" s="63"/>
      <c r="AL98" s="63"/>
      <c r="AM98" s="63"/>
    </row>
    <row r="99" spans="2:39" x14ac:dyDescent="0.2">
      <c r="C99" s="41">
        <v>0</v>
      </c>
      <c r="D99" s="42">
        <v>0</v>
      </c>
      <c r="E99" s="42">
        <v>0</v>
      </c>
      <c r="F99" s="42">
        <v>0</v>
      </c>
      <c r="G99" s="79"/>
      <c r="H99" s="66"/>
      <c r="I99" s="66"/>
      <c r="J99" s="38">
        <f t="shared" si="37"/>
        <v>0</v>
      </c>
      <c r="K99" s="66"/>
      <c r="L99" s="38">
        <f t="shared" si="38"/>
        <v>0</v>
      </c>
      <c r="M99" s="66"/>
      <c r="N99" s="66"/>
      <c r="O99" s="66"/>
      <c r="P99" s="66"/>
      <c r="Q99" s="66"/>
      <c r="R99" s="66"/>
      <c r="S99" s="66"/>
      <c r="T99" s="38" t="e">
        <f t="shared" si="39"/>
        <v>#DIV/0!</v>
      </c>
      <c r="U99" s="66"/>
      <c r="V99" s="43" t="e">
        <f t="shared" si="40"/>
        <v>#DIV/0!</v>
      </c>
      <c r="W99" s="66"/>
      <c r="X99" s="38" t="e">
        <f t="shared" si="35"/>
        <v>#DIV/0!</v>
      </c>
      <c r="Y99" s="66"/>
      <c r="Z99" s="44" t="e">
        <f t="shared" si="36"/>
        <v>#DIV/0!</v>
      </c>
      <c r="AA99" s="66"/>
      <c r="AB99" s="44" t="e">
        <f t="shared" si="41"/>
        <v>#DIV/0!</v>
      </c>
      <c r="AC99" s="66"/>
      <c r="AD99" s="66"/>
      <c r="AE99" s="66"/>
      <c r="AF99" s="70"/>
      <c r="AG99" s="66"/>
      <c r="AH99" s="66"/>
      <c r="AI99" s="63"/>
      <c r="AJ99" s="63"/>
      <c r="AK99" s="63"/>
      <c r="AL99" s="63"/>
      <c r="AM99" s="63"/>
    </row>
    <row r="100" spans="2:39" x14ac:dyDescent="0.2">
      <c r="C100" s="41">
        <v>0</v>
      </c>
      <c r="D100" s="42">
        <v>0</v>
      </c>
      <c r="E100" s="42">
        <v>0</v>
      </c>
      <c r="F100" s="42">
        <v>0</v>
      </c>
      <c r="G100" s="79"/>
      <c r="H100" s="66"/>
      <c r="I100" s="66"/>
      <c r="J100" s="38">
        <f t="shared" si="37"/>
        <v>0</v>
      </c>
      <c r="K100" s="66"/>
      <c r="L100" s="38">
        <f t="shared" si="38"/>
        <v>0</v>
      </c>
      <c r="M100" s="66"/>
      <c r="N100" s="66"/>
      <c r="O100" s="66"/>
      <c r="P100" s="66"/>
      <c r="Q100" s="66"/>
      <c r="R100" s="66"/>
      <c r="S100" s="66"/>
      <c r="T100" s="38" t="e">
        <f t="shared" si="39"/>
        <v>#DIV/0!</v>
      </c>
      <c r="U100" s="66"/>
      <c r="V100" s="43" t="e">
        <f t="shared" si="40"/>
        <v>#DIV/0!</v>
      </c>
      <c r="W100" s="66"/>
      <c r="X100" s="38" t="e">
        <f t="shared" si="35"/>
        <v>#DIV/0!</v>
      </c>
      <c r="Y100" s="66"/>
      <c r="Z100" s="44" t="e">
        <f t="shared" si="36"/>
        <v>#DIV/0!</v>
      </c>
      <c r="AA100" s="66"/>
      <c r="AB100" s="44" t="e">
        <f t="shared" si="41"/>
        <v>#DIV/0!</v>
      </c>
      <c r="AC100" s="66"/>
      <c r="AD100" s="66"/>
      <c r="AE100" s="66"/>
      <c r="AF100" s="70"/>
      <c r="AG100" s="66"/>
      <c r="AH100" s="66"/>
      <c r="AI100" s="63"/>
      <c r="AJ100" s="63"/>
      <c r="AK100" s="63"/>
      <c r="AL100" s="63"/>
      <c r="AM100" s="63"/>
    </row>
    <row r="101" spans="2:39" x14ac:dyDescent="0.2">
      <c r="C101" s="41">
        <v>0</v>
      </c>
      <c r="D101" s="42">
        <v>0</v>
      </c>
      <c r="E101" s="42">
        <v>0</v>
      </c>
      <c r="F101" s="42">
        <v>0</v>
      </c>
      <c r="G101" s="79"/>
      <c r="H101" s="66"/>
      <c r="I101" s="66"/>
      <c r="J101" s="38">
        <f t="shared" si="37"/>
        <v>0</v>
      </c>
      <c r="K101" s="66"/>
      <c r="L101" s="38">
        <f t="shared" si="38"/>
        <v>0</v>
      </c>
      <c r="M101" s="66"/>
      <c r="N101" s="66"/>
      <c r="O101" s="66"/>
      <c r="P101" s="66"/>
      <c r="Q101" s="66"/>
      <c r="R101" s="66"/>
      <c r="S101" s="66"/>
      <c r="T101" s="38" t="e">
        <f t="shared" si="39"/>
        <v>#DIV/0!</v>
      </c>
      <c r="U101" s="66"/>
      <c r="V101" s="43" t="e">
        <f t="shared" si="40"/>
        <v>#DIV/0!</v>
      </c>
      <c r="W101" s="66"/>
      <c r="X101" s="38" t="e">
        <f t="shared" si="35"/>
        <v>#DIV/0!</v>
      </c>
      <c r="Y101" s="66"/>
      <c r="Z101" s="44" t="e">
        <f t="shared" si="36"/>
        <v>#DIV/0!</v>
      </c>
      <c r="AA101" s="66"/>
      <c r="AB101" s="44" t="e">
        <f t="shared" si="41"/>
        <v>#DIV/0!</v>
      </c>
      <c r="AC101" s="66"/>
      <c r="AD101" s="66"/>
      <c r="AE101" s="66"/>
      <c r="AF101" s="70"/>
      <c r="AG101" s="66"/>
      <c r="AH101" s="66"/>
      <c r="AI101" s="63"/>
      <c r="AJ101" s="63"/>
      <c r="AK101" s="63"/>
      <c r="AL101" s="63"/>
      <c r="AM101" s="63"/>
    </row>
    <row r="102" spans="2:39" x14ac:dyDescent="0.2">
      <c r="C102" s="41">
        <v>0</v>
      </c>
      <c r="D102" s="42">
        <v>0</v>
      </c>
      <c r="E102" s="42">
        <v>0</v>
      </c>
      <c r="F102" s="42">
        <v>0</v>
      </c>
      <c r="G102" s="79"/>
      <c r="H102" s="66"/>
      <c r="I102" s="66"/>
      <c r="J102" s="38">
        <f t="shared" si="37"/>
        <v>0</v>
      </c>
      <c r="K102" s="66"/>
      <c r="L102" s="38">
        <f t="shared" si="38"/>
        <v>0</v>
      </c>
      <c r="M102" s="66"/>
      <c r="N102" s="66"/>
      <c r="O102" s="66"/>
      <c r="P102" s="66"/>
      <c r="Q102" s="66"/>
      <c r="R102" s="66"/>
      <c r="S102" s="66"/>
      <c r="T102" s="38" t="e">
        <f t="shared" si="39"/>
        <v>#DIV/0!</v>
      </c>
      <c r="U102" s="66"/>
      <c r="V102" s="43" t="e">
        <f t="shared" si="40"/>
        <v>#DIV/0!</v>
      </c>
      <c r="W102" s="66"/>
      <c r="X102" s="38" t="e">
        <f t="shared" si="35"/>
        <v>#DIV/0!</v>
      </c>
      <c r="Y102" s="66"/>
      <c r="Z102" s="44" t="e">
        <f t="shared" si="36"/>
        <v>#DIV/0!</v>
      </c>
      <c r="AA102" s="66"/>
      <c r="AB102" s="44" t="e">
        <f t="shared" si="41"/>
        <v>#DIV/0!</v>
      </c>
      <c r="AC102" s="66"/>
      <c r="AD102" s="66"/>
      <c r="AE102" s="66"/>
      <c r="AF102" s="70"/>
      <c r="AG102" s="66"/>
      <c r="AH102" s="66"/>
      <c r="AI102" s="63"/>
      <c r="AJ102" s="63"/>
      <c r="AK102" s="63"/>
      <c r="AL102" s="63"/>
      <c r="AM102" s="63"/>
    </row>
    <row r="103" spans="2:39" x14ac:dyDescent="0.2">
      <c r="C103" s="41">
        <v>0</v>
      </c>
      <c r="D103" s="42">
        <v>0</v>
      </c>
      <c r="E103" s="42">
        <v>0</v>
      </c>
      <c r="F103" s="42">
        <v>0</v>
      </c>
      <c r="G103" s="79"/>
      <c r="H103" s="66"/>
      <c r="I103" s="66"/>
      <c r="J103" s="38">
        <f t="shared" si="37"/>
        <v>0</v>
      </c>
      <c r="K103" s="66"/>
      <c r="L103" s="38">
        <f t="shared" si="38"/>
        <v>0</v>
      </c>
      <c r="M103" s="66"/>
      <c r="N103" s="66"/>
      <c r="O103" s="66"/>
      <c r="P103" s="66"/>
      <c r="Q103" s="66"/>
      <c r="R103" s="66"/>
      <c r="S103" s="66"/>
      <c r="T103" s="38" t="e">
        <f t="shared" si="39"/>
        <v>#DIV/0!</v>
      </c>
      <c r="U103" s="66"/>
      <c r="V103" s="43" t="e">
        <f t="shared" si="40"/>
        <v>#DIV/0!</v>
      </c>
      <c r="W103" s="66"/>
      <c r="X103" s="38" t="e">
        <f t="shared" si="35"/>
        <v>#DIV/0!</v>
      </c>
      <c r="Y103" s="66"/>
      <c r="Z103" s="44" t="e">
        <f t="shared" si="36"/>
        <v>#DIV/0!</v>
      </c>
      <c r="AA103" s="66"/>
      <c r="AB103" s="44" t="e">
        <f t="shared" si="41"/>
        <v>#DIV/0!</v>
      </c>
      <c r="AC103" s="66"/>
      <c r="AD103" s="66"/>
      <c r="AE103" s="66"/>
      <c r="AF103" s="70"/>
      <c r="AG103" s="66"/>
      <c r="AH103" s="66"/>
      <c r="AI103" s="63"/>
      <c r="AJ103" s="63"/>
      <c r="AK103" s="63"/>
      <c r="AL103" s="63"/>
      <c r="AM103" s="63"/>
    </row>
    <row r="104" spans="2:39" ht="17" thickBot="1" x14ac:dyDescent="0.25">
      <c r="C104" s="45">
        <v>0</v>
      </c>
      <c r="D104" s="46">
        <v>0</v>
      </c>
      <c r="E104" s="46">
        <v>0</v>
      </c>
      <c r="F104" s="46">
        <v>0</v>
      </c>
      <c r="G104" s="80"/>
      <c r="H104" s="67"/>
      <c r="I104" s="67"/>
      <c r="J104" s="47">
        <f t="shared" si="37"/>
        <v>0</v>
      </c>
      <c r="K104" s="67"/>
      <c r="L104" s="47">
        <f t="shared" si="38"/>
        <v>0</v>
      </c>
      <c r="M104" s="67"/>
      <c r="N104" s="67"/>
      <c r="O104" s="67"/>
      <c r="P104" s="67"/>
      <c r="Q104" s="67"/>
      <c r="R104" s="67"/>
      <c r="S104" s="67"/>
      <c r="T104" s="38" t="e">
        <f t="shared" si="39"/>
        <v>#DIV/0!</v>
      </c>
      <c r="U104" s="67"/>
      <c r="V104" s="48" t="e">
        <f t="shared" si="40"/>
        <v>#DIV/0!</v>
      </c>
      <c r="W104" s="67"/>
      <c r="X104" s="47" t="e">
        <f t="shared" si="35"/>
        <v>#DIV/0!</v>
      </c>
      <c r="Y104" s="67"/>
      <c r="Z104" s="49" t="e">
        <f t="shared" si="36"/>
        <v>#DIV/0!</v>
      </c>
      <c r="AA104" s="67"/>
      <c r="AB104" s="49" t="e">
        <f t="shared" si="41"/>
        <v>#DIV/0!</v>
      </c>
      <c r="AC104" s="67"/>
      <c r="AD104" s="67"/>
      <c r="AE104" s="67"/>
      <c r="AF104" s="71"/>
      <c r="AG104" s="67"/>
      <c r="AH104" s="67"/>
      <c r="AI104" s="64"/>
      <c r="AJ104" s="64"/>
      <c r="AK104" s="64"/>
      <c r="AL104" s="64"/>
      <c r="AM104" s="64"/>
    </row>
    <row r="107" spans="2:39" x14ac:dyDescent="0.2">
      <c r="R107" t="s">
        <v>93</v>
      </c>
      <c r="S107">
        <f>1/S95</f>
        <v>11843794.452376476</v>
      </c>
    </row>
    <row r="108" spans="2:39" x14ac:dyDescent="0.2">
      <c r="C108" t="s">
        <v>36</v>
      </c>
      <c r="D108" t="s">
        <v>23</v>
      </c>
      <c r="E108" t="s">
        <v>24</v>
      </c>
      <c r="F108" t="s">
        <v>34</v>
      </c>
    </row>
    <row r="109" spans="2:39" x14ac:dyDescent="0.2">
      <c r="C109" t="s">
        <v>87</v>
      </c>
      <c r="D109">
        <v>4.3874354435820712E-7</v>
      </c>
      <c r="E109">
        <v>4.8957064939891025E-7</v>
      </c>
      <c r="F109">
        <v>6.6058104540911367E-7</v>
      </c>
      <c r="R109" t="s">
        <v>92</v>
      </c>
      <c r="S109">
        <f>AM95</f>
        <v>0.84524882706481097</v>
      </c>
    </row>
    <row r="110" spans="2:39" x14ac:dyDescent="0.2">
      <c r="C110" t="s">
        <v>88</v>
      </c>
      <c r="D110" s="57">
        <v>3.8603398050037902E-8</v>
      </c>
      <c r="E110">
        <v>4.1737922275348595E-8</v>
      </c>
      <c r="F110">
        <v>5.9132133297493816E-8</v>
      </c>
    </row>
  </sheetData>
  <mergeCells count="168">
    <mergeCell ref="G5:S5"/>
    <mergeCell ref="T5:AH5"/>
    <mergeCell ref="G7:G16"/>
    <mergeCell ref="H7:H16"/>
    <mergeCell ref="I7:I16"/>
    <mergeCell ref="K7:K16"/>
    <mergeCell ref="M7:M16"/>
    <mergeCell ref="N7:N16"/>
    <mergeCell ref="O7:O16"/>
    <mergeCell ref="P7:P16"/>
    <mergeCell ref="AK7:AK16"/>
    <mergeCell ref="AL7:AL16"/>
    <mergeCell ref="G23:S23"/>
    <mergeCell ref="T23:AH23"/>
    <mergeCell ref="AA7:AA16"/>
    <mergeCell ref="AC7:AC16"/>
    <mergeCell ref="AD7:AD16"/>
    <mergeCell ref="AE7:AE16"/>
    <mergeCell ref="AF7:AF16"/>
    <mergeCell ref="AG7:AG16"/>
    <mergeCell ref="Q7:Q16"/>
    <mergeCell ref="R7:R16"/>
    <mergeCell ref="S7:S16"/>
    <mergeCell ref="U7:U16"/>
    <mergeCell ref="W7:W16"/>
    <mergeCell ref="Y7:Y16"/>
    <mergeCell ref="AH7:AH16"/>
    <mergeCell ref="AI7:AI16"/>
    <mergeCell ref="AJ7:AJ16"/>
    <mergeCell ref="AA25:AA34"/>
    <mergeCell ref="AC25:AC34"/>
    <mergeCell ref="AD25:AD34"/>
    <mergeCell ref="AE25:AE34"/>
    <mergeCell ref="O25:O34"/>
    <mergeCell ref="P25:P34"/>
    <mergeCell ref="Q25:Q34"/>
    <mergeCell ref="R25:R34"/>
    <mergeCell ref="S25:S34"/>
    <mergeCell ref="U25:U34"/>
    <mergeCell ref="AL25:AL34"/>
    <mergeCell ref="G40:S40"/>
    <mergeCell ref="T40:AH40"/>
    <mergeCell ref="G42:G51"/>
    <mergeCell ref="H42:H51"/>
    <mergeCell ref="I42:I51"/>
    <mergeCell ref="K42:K51"/>
    <mergeCell ref="M42:M51"/>
    <mergeCell ref="N42:N51"/>
    <mergeCell ref="O42:O51"/>
    <mergeCell ref="AF25:AF34"/>
    <mergeCell ref="AG25:AG34"/>
    <mergeCell ref="AH25:AH34"/>
    <mergeCell ref="AI25:AI34"/>
    <mergeCell ref="AJ25:AJ34"/>
    <mergeCell ref="AK25:AK34"/>
    <mergeCell ref="W25:W34"/>
    <mergeCell ref="Y25:Y34"/>
    <mergeCell ref="G25:G34"/>
    <mergeCell ref="H25:H34"/>
    <mergeCell ref="I25:I34"/>
    <mergeCell ref="K25:K34"/>
    <mergeCell ref="M25:M34"/>
    <mergeCell ref="N25:N34"/>
    <mergeCell ref="Y42:Y51"/>
    <mergeCell ref="AA42:AA51"/>
    <mergeCell ref="AC42:AC51"/>
    <mergeCell ref="AD42:AD51"/>
    <mergeCell ref="AE42:AE51"/>
    <mergeCell ref="AF42:AF51"/>
    <mergeCell ref="P42:P51"/>
    <mergeCell ref="Q42:Q51"/>
    <mergeCell ref="R42:R51"/>
    <mergeCell ref="S42:S51"/>
    <mergeCell ref="U42:U51"/>
    <mergeCell ref="W42:W51"/>
    <mergeCell ref="G57:S57"/>
    <mergeCell ref="T57:AH57"/>
    <mergeCell ref="G59:G68"/>
    <mergeCell ref="H59:H68"/>
    <mergeCell ref="I59:I68"/>
    <mergeCell ref="K59:K68"/>
    <mergeCell ref="M59:M68"/>
    <mergeCell ref="N59:N68"/>
    <mergeCell ref="O59:O68"/>
    <mergeCell ref="P59:P68"/>
    <mergeCell ref="G75:S75"/>
    <mergeCell ref="T75:AH75"/>
    <mergeCell ref="AA59:AA68"/>
    <mergeCell ref="AC59:AC68"/>
    <mergeCell ref="AD59:AD68"/>
    <mergeCell ref="AE59:AE68"/>
    <mergeCell ref="AF59:AF68"/>
    <mergeCell ref="AG59:AG68"/>
    <mergeCell ref="Q59:Q68"/>
    <mergeCell ref="R59:R68"/>
    <mergeCell ref="S59:S68"/>
    <mergeCell ref="U59:U68"/>
    <mergeCell ref="W59:W68"/>
    <mergeCell ref="Y59:Y68"/>
    <mergeCell ref="AF77:AF86"/>
    <mergeCell ref="AG77:AG86"/>
    <mergeCell ref="AH77:AH86"/>
    <mergeCell ref="AI77:AI86"/>
    <mergeCell ref="AJ77:AJ86"/>
    <mergeCell ref="AK77:AK86"/>
    <mergeCell ref="W77:W86"/>
    <mergeCell ref="Y77:Y86"/>
    <mergeCell ref="G77:G86"/>
    <mergeCell ref="H77:H86"/>
    <mergeCell ref="I77:I86"/>
    <mergeCell ref="K77:K86"/>
    <mergeCell ref="M77:M86"/>
    <mergeCell ref="N77:N86"/>
    <mergeCell ref="AA77:AA86"/>
    <mergeCell ref="AC77:AC86"/>
    <mergeCell ref="AD77:AD86"/>
    <mergeCell ref="AE77:AE86"/>
    <mergeCell ref="O77:O86"/>
    <mergeCell ref="P77:P86"/>
    <mergeCell ref="Q77:Q86"/>
    <mergeCell ref="R77:R86"/>
    <mergeCell ref="S77:S86"/>
    <mergeCell ref="U77:U86"/>
    <mergeCell ref="G93:S93"/>
    <mergeCell ref="T93:AH93"/>
    <mergeCell ref="G95:G104"/>
    <mergeCell ref="H95:H104"/>
    <mergeCell ref="I95:I104"/>
    <mergeCell ref="K95:K104"/>
    <mergeCell ref="M95:M104"/>
    <mergeCell ref="N95:N104"/>
    <mergeCell ref="O95:O104"/>
    <mergeCell ref="Y95:Y104"/>
    <mergeCell ref="AA95:AA104"/>
    <mergeCell ref="AC95:AC104"/>
    <mergeCell ref="AD95:AD104"/>
    <mergeCell ref="AE95:AE104"/>
    <mergeCell ref="AF95:AF104"/>
    <mergeCell ref="P95:P104"/>
    <mergeCell ref="Q95:Q104"/>
    <mergeCell ref="R95:R104"/>
    <mergeCell ref="S95:S104"/>
    <mergeCell ref="U95:U104"/>
    <mergeCell ref="W95:W104"/>
    <mergeCell ref="AM7:AM16"/>
    <mergeCell ref="AM25:AM34"/>
    <mergeCell ref="AM42:AM51"/>
    <mergeCell ref="AM59:AM68"/>
    <mergeCell ref="AM77:AM86"/>
    <mergeCell ref="AM95:AM104"/>
    <mergeCell ref="AG95:AG104"/>
    <mergeCell ref="AH95:AH104"/>
    <mergeCell ref="AI95:AI104"/>
    <mergeCell ref="AJ95:AJ104"/>
    <mergeCell ref="AK95:AK104"/>
    <mergeCell ref="AL95:AL104"/>
    <mergeCell ref="AL77:AL86"/>
    <mergeCell ref="AH59:AH68"/>
    <mergeCell ref="AI59:AI68"/>
    <mergeCell ref="AJ59:AJ68"/>
    <mergeCell ref="AK59:AK68"/>
    <mergeCell ref="AL59:AL68"/>
    <mergeCell ref="AG42:AG51"/>
    <mergeCell ref="AH42:AH51"/>
    <mergeCell ref="AI42:AI51"/>
    <mergeCell ref="AJ42:AJ51"/>
    <mergeCell ref="AK42:AK51"/>
    <mergeCell ref="AL42:AL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 Ribot Oliver</dc:creator>
  <cp:keywords/>
  <dc:description/>
  <cp:lastModifiedBy>Joan Ribot</cp:lastModifiedBy>
  <cp:revision/>
  <dcterms:created xsi:type="dcterms:W3CDTF">2023-05-04T16:16:48Z</dcterms:created>
  <dcterms:modified xsi:type="dcterms:W3CDTF">2023-06-03T18:12:14Z</dcterms:modified>
  <cp:category/>
  <cp:contentStatus/>
</cp:coreProperties>
</file>