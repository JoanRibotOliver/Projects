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eu/Documents/"/>
    </mc:Choice>
  </mc:AlternateContent>
  <xr:revisionPtr revIDLastSave="376" documentId="8_{E2C50635-C232-3344-A5DC-891F34DD249D}" xr6:coauthVersionLast="47" xr6:coauthVersionMax="47" xr10:uidLastSave="{018DA852-1A1E-2E47-9D44-4B4B644DAE5E}"/>
  <bookViews>
    <workbookView xWindow="0" yWindow="500" windowWidth="28800" windowHeight="16260" xr2:uid="{10CFA1D9-E4C9-7246-B64C-DC2FF8297D7B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" l="1"/>
  <c r="S33" i="1" s="1"/>
  <c r="E57" i="1"/>
  <c r="G58" i="1" s="1"/>
  <c r="G64" i="1" s="1"/>
  <c r="M6" i="2"/>
  <c r="G59" i="1"/>
  <c r="G60" i="1"/>
  <c r="G61" i="1"/>
  <c r="S34" i="1"/>
  <c r="S35" i="1"/>
  <c r="Q35" i="1"/>
  <c r="P35" i="1"/>
  <c r="R35" i="1" s="1"/>
  <c r="Q34" i="1"/>
  <c r="P34" i="1"/>
  <c r="Q33" i="1"/>
  <c r="P33" i="1"/>
  <c r="R33" i="1" s="1"/>
  <c r="P32" i="1"/>
  <c r="F64" i="1"/>
  <c r="E58" i="1"/>
  <c r="E59" i="1"/>
  <c r="E60" i="1"/>
  <c r="E61" i="1"/>
  <c r="D61" i="1"/>
  <c r="F59" i="1"/>
  <c r="F58" i="1"/>
  <c r="D58" i="1"/>
  <c r="D59" i="1"/>
  <c r="D60" i="1"/>
  <c r="D57" i="1"/>
  <c r="L16" i="2"/>
  <c r="L17" i="2"/>
  <c r="L18" i="2"/>
  <c r="L19" i="2"/>
  <c r="L20" i="2"/>
  <c r="J16" i="2"/>
  <c r="J17" i="2"/>
  <c r="J18" i="2"/>
  <c r="J19" i="2"/>
  <c r="J20" i="2"/>
  <c r="I6" i="2"/>
  <c r="H6" i="2"/>
  <c r="G6" i="2"/>
  <c r="L15" i="2"/>
  <c r="J15" i="2"/>
  <c r="L14" i="2"/>
  <c r="J14" i="2"/>
  <c r="L13" i="2"/>
  <c r="J13" i="2"/>
  <c r="L12" i="2"/>
  <c r="J12" i="2"/>
  <c r="L11" i="2"/>
  <c r="J11" i="2"/>
  <c r="L10" i="2"/>
  <c r="J10" i="2"/>
  <c r="L9" i="2"/>
  <c r="J9" i="2"/>
  <c r="L8" i="2"/>
  <c r="J8" i="2"/>
  <c r="L7" i="2"/>
  <c r="J7" i="2"/>
  <c r="AL6" i="2"/>
  <c r="AK6" i="2"/>
  <c r="AJ6" i="2"/>
  <c r="AI6" i="2"/>
  <c r="L6" i="2"/>
  <c r="J6" i="2"/>
  <c r="K6" i="2" s="1"/>
  <c r="S39" i="1" l="1"/>
  <c r="R34" i="1"/>
  <c r="F61" i="1"/>
  <c r="F60" i="1"/>
  <c r="N6" i="2"/>
  <c r="S6" i="2" s="1"/>
  <c r="O6" i="2" s="1"/>
  <c r="R39" i="1" l="1"/>
  <c r="R6" i="2"/>
  <c r="Q6" i="2"/>
  <c r="P6" i="2"/>
  <c r="T10" i="2"/>
  <c r="T14" i="2"/>
  <c r="T12" i="2"/>
  <c r="T7" i="2"/>
  <c r="T11" i="2"/>
  <c r="T15" i="2"/>
  <c r="T8" i="2"/>
  <c r="T6" i="2"/>
  <c r="T9" i="2"/>
  <c r="T13" i="2"/>
  <c r="X7" i="2" l="1"/>
  <c r="AB7" i="2"/>
  <c r="V7" i="2"/>
  <c r="Z7" i="2"/>
  <c r="AB12" i="2"/>
  <c r="V12" i="2"/>
  <c r="Z12" i="2"/>
  <c r="X12" i="2"/>
  <c r="AB6" i="2"/>
  <c r="U6" i="2"/>
  <c r="V6" i="2"/>
  <c r="W6" i="2" s="1"/>
  <c r="Z6" i="2"/>
  <c r="X6" i="2"/>
  <c r="Y6" i="2" s="1"/>
  <c r="Z8" i="2"/>
  <c r="V8" i="2"/>
  <c r="X8" i="2"/>
  <c r="AB8" i="2"/>
  <c r="X13" i="2"/>
  <c r="Z13" i="2"/>
  <c r="AB13" i="2"/>
  <c r="V13" i="2"/>
  <c r="AB15" i="2"/>
  <c r="V15" i="2"/>
  <c r="X15" i="2"/>
  <c r="Z15" i="2"/>
  <c r="Z14" i="2"/>
  <c r="AB14" i="2"/>
  <c r="V14" i="2"/>
  <c r="X14" i="2"/>
  <c r="Z9" i="2"/>
  <c r="X9" i="2"/>
  <c r="AB9" i="2"/>
  <c r="V9" i="2"/>
  <c r="X11" i="2"/>
  <c r="AB11" i="2"/>
  <c r="Z11" i="2"/>
  <c r="V11" i="2"/>
  <c r="Z10" i="2"/>
  <c r="V10" i="2"/>
  <c r="X10" i="2"/>
  <c r="AB10" i="2"/>
  <c r="AA6" i="2" l="1"/>
  <c r="AC6" i="2"/>
  <c r="AF6" i="2"/>
  <c r="AH6" i="2" s="1"/>
  <c r="AG6" i="2" l="1"/>
  <c r="AE6" i="2"/>
  <c r="AD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tc={87E7BBCC-6A56-334B-9B62-A733031D5033}</author>
    <author>tc={575C9433-2720-A647-A4BF-F11CF27DB33E}</author>
    <author>tc={CC7A0503-F2FF-5249-A78C-7C187890781F}</author>
  </authors>
  <commentList>
    <comment ref="S33" authorId="0" shapeId="0" xr:uid="{87E7BBCC-6A56-334B-9B62-A733031D50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Propagation error de la resta</t>
      </text>
    </comment>
    <comment ref="C56" authorId="1" shapeId="0" xr:uid="{575C9433-2720-A647-A4BF-F11CF27DB3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Error 0,05 porque era mas o menos la distancia entre puntos debido al ruido </t>
      </text>
    </comment>
    <comment ref="G58" authorId="2" shapeId="0" xr:uid="{CC7A0503-F2FF-5249-A78C-7C18789078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Propagation error de la resta</t>
      </text>
    </comment>
  </commentList>
</comments>
</file>

<file path=xl/sharedStrings.xml><?xml version="1.0" encoding="utf-8"?>
<sst xmlns="http://schemas.openxmlformats.org/spreadsheetml/2006/main" count="66" uniqueCount="49">
  <si>
    <t>Experiment Franck-Hertz</t>
  </si>
  <si>
    <t>Hg</t>
  </si>
  <si>
    <t>Ne</t>
  </si>
  <si>
    <t>B</t>
  </si>
  <si>
    <t>A</t>
  </si>
  <si>
    <t>Sin pesos</t>
  </si>
  <si>
    <t>Con peos</t>
  </si>
  <si>
    <t>x</t>
  </si>
  <si>
    <t>y</t>
  </si>
  <si>
    <t>Incertidumbre de x</t>
  </si>
  <si>
    <t>Incertidumbre de y</t>
  </si>
  <si>
    <t>Sn</t>
  </si>
  <si>
    <t>Sx</t>
  </si>
  <si>
    <t>Sy</t>
  </si>
  <si>
    <t>xy</t>
  </si>
  <si>
    <t>Sxy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</si>
  <si>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</si>
  <si>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Sx</t>
    </r>
    <r>
      <rPr>
        <vertAlign val="superscript"/>
        <sz val="11"/>
        <color theme="1"/>
        <rFont val="Calibri"/>
        <family val="2"/>
        <scheme val="minor"/>
      </rPr>
      <t>2</t>
    </r>
  </si>
  <si>
    <t>Δ</t>
  </si>
  <si>
    <r>
      <t>σ</t>
    </r>
    <r>
      <rPr>
        <vertAlign val="subscript"/>
        <sz val="11"/>
        <rFont val="Calibri"/>
        <family val="2"/>
      </rPr>
      <t>y (equivalente)</t>
    </r>
  </si>
  <si>
    <r>
      <t>σ</t>
    </r>
    <r>
      <rPr>
        <vertAlign val="subscript"/>
        <sz val="11"/>
        <rFont val="Calibri"/>
        <family val="2"/>
      </rPr>
      <t>A</t>
    </r>
  </si>
  <si>
    <r>
      <t>σ</t>
    </r>
    <r>
      <rPr>
        <vertAlign val="subscript"/>
        <sz val="11"/>
        <rFont val="Calibri"/>
        <family val="2"/>
      </rPr>
      <t>B</t>
    </r>
  </si>
  <si>
    <t>W</t>
  </si>
  <si>
    <t>wx</t>
  </si>
  <si>
    <t>wy</t>
  </si>
  <si>
    <t>wxy</t>
  </si>
  <si>
    <t>wx2</t>
  </si>
  <si>
    <t>Sx2</t>
  </si>
  <si>
    <r>
      <t>σ</t>
    </r>
    <r>
      <rPr>
        <vertAlign val="subscript"/>
        <sz val="11"/>
        <color theme="0"/>
        <rFont val="Calibri"/>
        <family val="2"/>
      </rPr>
      <t>A</t>
    </r>
  </si>
  <si>
    <r>
      <t>σ</t>
    </r>
    <r>
      <rPr>
        <vertAlign val="subscript"/>
        <sz val="11"/>
        <color theme="0"/>
        <rFont val="Calibri"/>
        <family val="2"/>
      </rPr>
      <t>B</t>
    </r>
  </si>
  <si>
    <r>
      <t>σ</t>
    </r>
    <r>
      <rPr>
        <vertAlign val="subscript"/>
        <sz val="11"/>
        <color theme="1"/>
        <rFont val="Calibri"/>
        <family val="2"/>
        <scheme val="minor"/>
      </rPr>
      <t>x</t>
    </r>
  </si>
  <si>
    <r>
      <t>σ</t>
    </r>
    <r>
      <rPr>
        <vertAlign val="subscript"/>
        <sz val="11"/>
        <color theme="1"/>
        <rFont val="Calibri"/>
        <family val="2"/>
        <scheme val="minor"/>
      </rPr>
      <t>y</t>
    </r>
  </si>
  <si>
    <r>
      <t>σ</t>
    </r>
    <r>
      <rPr>
        <vertAlign val="subscript"/>
        <sz val="11"/>
        <color theme="1"/>
        <rFont val="Calibri"/>
        <family val="2"/>
        <scheme val="minor"/>
      </rPr>
      <t>xy</t>
    </r>
  </si>
  <si>
    <t>R</t>
  </si>
  <si>
    <t>Va (V)</t>
  </si>
  <si>
    <t>Va* (±0,01 V)</t>
  </si>
  <si>
    <t>Va (±0,01 V)</t>
  </si>
  <si>
    <t xml:space="preserve">m </t>
  </si>
  <si>
    <t>error m</t>
  </si>
  <si>
    <t>n (V)</t>
  </si>
  <si>
    <t>error n (V)</t>
  </si>
  <si>
    <t>Constante de proporcionalidad entre Va y Va*</t>
  </si>
  <si>
    <t>9,235 ±  0,011</t>
  </si>
  <si>
    <t>Δva (V)</t>
  </si>
  <si>
    <t>Error Va (V)</t>
  </si>
  <si>
    <t>Error Δva (V)</t>
  </si>
  <si>
    <t>Va* (0,05± V)</t>
  </si>
  <si>
    <t>Promedios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</si>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</sst>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</font>
    <font>
      <vertAlign val="subscript"/>
      <sz val="11"/>
      <name val="Calibri"/>
      <family val="2"/>
    </font>
    <font>
      <sz val="11"/>
      <color theme="0"/>
      <name val="Calibri"/>
      <family val="2"/>
    </font>
    <font>
      <vertAlign val="subscript"/>
      <sz val="11"/>
      <color theme="0"/>
      <name val="Calibri"/>
      <family val="2"/>
    </font>
    <font>
      <vertAlign val="subscript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164" fontId="0" fillId="7" borderId="7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164" fontId="0" fillId="7" borderId="9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2" fontId="0" fillId="7" borderId="13" xfId="0" applyNumberFormat="1" applyFill="1" applyBorder="1" applyAlignment="1">
      <alignment horizontal="center" vertical="center"/>
    </xf>
    <xf numFmtId="164" fontId="0" fillId="7" borderId="13" xfId="0" applyNumberForma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1" xfId="0" applyBorder="1"/>
    <xf numFmtId="0" fontId="0" fillId="0" borderId="17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164" fontId="0" fillId="7" borderId="7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Va</a:t>
            </a:r>
            <a:r>
              <a:rPr lang="en-GB" u="sng" baseline="0"/>
              <a:t> vs Va*</a:t>
            </a:r>
            <a:endParaRPr lang="en-GB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backward val="100"/>
            <c:dispRSqr val="0"/>
            <c:dispEq val="0"/>
          </c:trendline>
          <c:errBars>
            <c:errDir val="x"/>
            <c:errBarType val="both"/>
            <c:errValType val="fixedVal"/>
            <c:noEndCap val="0"/>
            <c:val val="0.0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0.0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Sheet1!$C$9:$C$23</c:f>
              <c:numCache>
                <c:formatCode>General</c:formatCode>
                <c:ptCount val="15"/>
                <c:pt idx="0">
                  <c:v>2.0099999999999998</c:v>
                </c:pt>
                <c:pt idx="1">
                  <c:v>2.5299999999999998</c:v>
                </c:pt>
                <c:pt idx="2">
                  <c:v>3.03</c:v>
                </c:pt>
                <c:pt idx="3">
                  <c:v>3.51</c:v>
                </c:pt>
                <c:pt idx="4">
                  <c:v>4.0599999999999996</c:v>
                </c:pt>
                <c:pt idx="5">
                  <c:v>4.51</c:v>
                </c:pt>
                <c:pt idx="6">
                  <c:v>5.03</c:v>
                </c:pt>
                <c:pt idx="7">
                  <c:v>5.52</c:v>
                </c:pt>
                <c:pt idx="8">
                  <c:v>6</c:v>
                </c:pt>
                <c:pt idx="9">
                  <c:v>6.5</c:v>
                </c:pt>
                <c:pt idx="10">
                  <c:v>7.06</c:v>
                </c:pt>
                <c:pt idx="11">
                  <c:v>7.53</c:v>
                </c:pt>
                <c:pt idx="12">
                  <c:v>8</c:v>
                </c:pt>
                <c:pt idx="13">
                  <c:v>8.5299999999999994</c:v>
                </c:pt>
                <c:pt idx="14">
                  <c:v>9</c:v>
                </c:pt>
              </c:numCache>
            </c:numRef>
          </c:xVal>
          <c:yVal>
            <c:numRef>
              <c:f>Sheet1!$B$9:$B$23</c:f>
              <c:numCache>
                <c:formatCode>General</c:formatCode>
                <c:ptCount val="15"/>
                <c:pt idx="0">
                  <c:v>20.92</c:v>
                </c:pt>
                <c:pt idx="1">
                  <c:v>25.89</c:v>
                </c:pt>
                <c:pt idx="2">
                  <c:v>30.68</c:v>
                </c:pt>
                <c:pt idx="3">
                  <c:v>35.32</c:v>
                </c:pt>
                <c:pt idx="4">
                  <c:v>40.5</c:v>
                </c:pt>
                <c:pt idx="5">
                  <c:v>44.8</c:v>
                </c:pt>
                <c:pt idx="6">
                  <c:v>49.7</c:v>
                </c:pt>
                <c:pt idx="7">
                  <c:v>54.4</c:v>
                </c:pt>
                <c:pt idx="8">
                  <c:v>59</c:v>
                </c:pt>
                <c:pt idx="9">
                  <c:v>63.6</c:v>
                </c:pt>
                <c:pt idx="10">
                  <c:v>68.7</c:v>
                </c:pt>
                <c:pt idx="11">
                  <c:v>72.900000000000006</c:v>
                </c:pt>
                <c:pt idx="12">
                  <c:v>77</c:v>
                </c:pt>
                <c:pt idx="13">
                  <c:v>81.2</c:v>
                </c:pt>
                <c:pt idx="14">
                  <c:v>84.6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9-F748-ACC1-48F846286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41343"/>
        <c:axId val="101543071"/>
      </c:scatterChart>
      <c:valAx>
        <c:axId val="101541343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Va*(V)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543071"/>
        <c:crosses val="autoZero"/>
        <c:crossBetween val="midCat"/>
      </c:valAx>
      <c:valAx>
        <c:axId val="10154307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Va(V)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54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148508</xdr:colOff>
      <xdr:row>7</xdr:row>
      <xdr:rowOff>27311</xdr:rowOff>
    </xdr:from>
    <xdr:to>
      <xdr:col>9</xdr:col>
      <xdr:colOff>655483</xdr:colOff>
      <xdr:row>21</xdr:row>
      <xdr:rowOff>191183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9F4581-FA56-9FED-936A-85B12195E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13656</xdr:colOff>
      <xdr:row>30</xdr:row>
      <xdr:rowOff>40967</xdr:rowOff>
    </xdr:from>
    <xdr:to>
      <xdr:col>8</xdr:col>
      <xdr:colOff>751076</xdr:colOff>
      <xdr:row>53</xdr:row>
      <xdr:rowOff>38570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8D515CA-3D2E-7BEB-040F-824C3A811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011" y="6281720"/>
          <a:ext cx="6705054" cy="4708893"/>
        </a:xfrm>
        <a:prstGeom prst="rect">
          <a:avLst/>
        </a:prstGeom>
      </xdr:spPr>
    </xdr:pic>
    <xdr:clientData/>
  </xdr:twoCellAnchor>
  <xdr:twoCellAnchor editAs="oneCell">
    <xdr:from>
      <xdr:col>12</xdr:col>
      <xdr:colOff>20755</xdr:colOff>
      <xdr:row>6</xdr:row>
      <xdr:rowOff>182989</xdr:rowOff>
    </xdr:from>
    <xdr:to>
      <xdr:col>19</xdr:col>
      <xdr:colOff>795867</xdr:colOff>
      <xdr:row>28</xdr:row>
      <xdr:rowOff>200606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EDB6348-9996-818F-57A2-260756164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0755" y="1469922"/>
          <a:ext cx="6583245" cy="453881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guel Sánchez Oros" id="{49036050-9C7A-B346-A2B5-0A0A011EDC0E}" userId="S::mso330@id.uib.eu::8607087d-52df-4a24-a1a6-969573e67d6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3" dT="2023-05-17T19:02:16.10" personId="{49036050-9C7A-B346-A2B5-0A0A011EDC0E}" id="{87E7BBCC-6A56-334B-9B62-A733031D5033}">
    <text>Propagation error de la resta</text>
  </threadedComment>
  <threadedComment ref="C56" dT="2023-05-17T19:18:58.79" personId="{49036050-9C7A-B346-A2B5-0A0A011EDC0E}" id="{575C9433-2720-A647-A4BF-F11CF27DB33E}">
    <text xml:space="preserve">Error 0,05 porque era mas o menos la distancia entre puntos debido al ruido </text>
  </threadedComment>
  <threadedComment ref="G58" dT="2023-05-17T19:02:16.10" personId="{49036050-9C7A-B346-A2B5-0A0A011EDC0E}" id="{CC7A0503-F2FF-5249-A78C-7C187890781F}">
    <text>Propagation error de la resta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DC27-7B32-B448-A427-5A29910FF4F9}">
  <dimension ref="B1:T64"/>
  <sheetViews>
    <sheetView tabSelected="1" topLeftCell="A4" zoomScale="125" workbookViewId="0">
      <selection activeCell="Q33" sqref="Q33"/>
    </sheetView>
  </sheetViews>
  <sheetFormatPr baseColWidth="10" defaultRowHeight="16" x14ac:dyDescent="0.2"/>
  <cols>
    <col min="3" max="3" width="11.6640625" customWidth="1"/>
    <col min="4" max="4" width="11.33203125" customWidth="1"/>
    <col min="5" max="5" width="11.83203125" customWidth="1"/>
    <col min="7" max="7" width="11.33203125" customWidth="1"/>
  </cols>
  <sheetData>
    <row r="1" spans="2:20" ht="17" thickBot="1" x14ac:dyDescent="0.25"/>
    <row r="2" spans="2:20" ht="17" thickBot="1" x14ac:dyDescent="0.25">
      <c r="B2" s="34" t="s">
        <v>0</v>
      </c>
      <c r="C2" s="35"/>
    </row>
    <row r="5" spans="2:20" ht="17" thickBot="1" x14ac:dyDescent="0.25"/>
    <row r="6" spans="2:20" ht="17" thickBot="1" x14ac:dyDescent="0.25">
      <c r="B6" s="36" t="s">
        <v>1</v>
      </c>
      <c r="C6" s="37"/>
      <c r="D6" s="1"/>
      <c r="E6" s="1"/>
      <c r="F6" s="1"/>
      <c r="G6" s="1"/>
      <c r="H6" s="1"/>
      <c r="I6" s="1"/>
      <c r="J6" s="1"/>
      <c r="K6" s="1"/>
      <c r="L6" s="1"/>
      <c r="M6" s="3" t="s">
        <v>2</v>
      </c>
      <c r="N6" s="1"/>
      <c r="O6" s="1"/>
      <c r="P6" s="1"/>
      <c r="Q6" s="1"/>
      <c r="R6" s="1"/>
      <c r="S6" s="1"/>
      <c r="T6" s="1"/>
    </row>
    <row r="7" spans="2:20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2">
      <c r="B8" s="2" t="s">
        <v>36</v>
      </c>
      <c r="C8" s="2" t="s">
        <v>35</v>
      </c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x14ac:dyDescent="0.2">
      <c r="B9" s="2">
        <v>20.92</v>
      </c>
      <c r="C9" s="2">
        <v>2.0099999999999998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x14ac:dyDescent="0.2">
      <c r="B10" s="2">
        <v>25.89</v>
      </c>
      <c r="C10" s="2">
        <v>2.5299999999999998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x14ac:dyDescent="0.2">
      <c r="B11" s="2">
        <v>30.68</v>
      </c>
      <c r="C11" s="2">
        <v>3.03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x14ac:dyDescent="0.2">
      <c r="B12" s="2">
        <v>35.32</v>
      </c>
      <c r="C12" s="2">
        <v>3.51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x14ac:dyDescent="0.2">
      <c r="B13" s="2">
        <v>40.5</v>
      </c>
      <c r="C13" s="2">
        <v>4.0599999999999996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2:20" x14ac:dyDescent="0.2">
      <c r="B14" s="2">
        <v>44.8</v>
      </c>
      <c r="C14" s="2">
        <v>4.51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2">
      <c r="B15" s="2">
        <v>49.7</v>
      </c>
      <c r="C15" s="2">
        <v>5.03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2:20" x14ac:dyDescent="0.2">
      <c r="B16" s="2">
        <v>54.4</v>
      </c>
      <c r="C16" s="2">
        <v>5.52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 x14ac:dyDescent="0.2">
      <c r="B17" s="2">
        <v>59</v>
      </c>
      <c r="C17" s="2">
        <v>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x14ac:dyDescent="0.2">
      <c r="B18" s="2">
        <v>63.6</v>
      </c>
      <c r="C18" s="2">
        <v>6.5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x14ac:dyDescent="0.2">
      <c r="B19" s="2">
        <v>68.7</v>
      </c>
      <c r="C19" s="2">
        <v>7.06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2">
      <c r="B20" s="2">
        <v>72.900000000000006</v>
      </c>
      <c r="C20" s="2">
        <v>7.53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2">
      <c r="B21" s="2">
        <v>77</v>
      </c>
      <c r="C21" s="2">
        <v>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 x14ac:dyDescent="0.2">
      <c r="B22" s="2">
        <v>81.2</v>
      </c>
      <c r="C22" s="2">
        <v>8.5299999999999994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x14ac:dyDescent="0.2">
      <c r="B23" s="2">
        <v>84.6</v>
      </c>
      <c r="C23" s="2">
        <v>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x14ac:dyDescent="0.2">
      <c r="B24" s="1"/>
      <c r="C24" s="1"/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x14ac:dyDescent="0.2">
      <c r="B25" s="1"/>
      <c r="C25" s="1"/>
      <c r="D25" s="1"/>
      <c r="E25" s="2">
        <v>9.2349999999999994</v>
      </c>
      <c r="F25" s="2">
        <v>1.0999999999999999E-2</v>
      </c>
      <c r="G25" s="2">
        <v>2.96</v>
      </c>
      <c r="H25" s="2">
        <v>7.0000000000000007E-2</v>
      </c>
      <c r="I25" s="2">
        <v>0.99990000000000001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ht="17" thickBo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2:20" ht="17" thickBot="1" x14ac:dyDescent="0.25">
      <c r="B27" s="1"/>
      <c r="C27" s="1"/>
      <c r="D27" s="1"/>
      <c r="E27" s="1"/>
      <c r="F27" s="38" t="s">
        <v>41</v>
      </c>
      <c r="G27" s="39"/>
      <c r="H27" s="39"/>
      <c r="I27" s="4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ht="17" thickBot="1" x14ac:dyDescent="0.25">
      <c r="B28" s="1"/>
      <c r="C28" s="1"/>
      <c r="D28" s="1"/>
      <c r="E28" s="1"/>
      <c r="F28" s="1"/>
      <c r="G28" s="38" t="s">
        <v>42</v>
      </c>
      <c r="H28" s="4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2:20" x14ac:dyDescent="0.2">
      <c r="B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2:20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2" t="s">
        <v>46</v>
      </c>
      <c r="P31" s="32" t="s">
        <v>34</v>
      </c>
      <c r="Q31" s="32" t="s">
        <v>44</v>
      </c>
      <c r="R31" s="32" t="s">
        <v>43</v>
      </c>
      <c r="S31" s="32" t="s">
        <v>45</v>
      </c>
      <c r="T31" s="1"/>
    </row>
    <row r="32" spans="2:20" x14ac:dyDescent="0.2">
      <c r="B32" s="1"/>
      <c r="G32" s="1"/>
      <c r="H32" s="1"/>
      <c r="I32" s="1"/>
      <c r="J32" s="1"/>
      <c r="K32" s="1"/>
      <c r="L32" s="1"/>
      <c r="M32" s="1"/>
      <c r="N32" s="1"/>
      <c r="O32" s="32">
        <v>1.18</v>
      </c>
      <c r="P32" s="32">
        <f>O32*$E$25</f>
        <v>10.8973</v>
      </c>
      <c r="Q32" s="32">
        <f>(0.05*$E$25) + ($F$25*O32)</f>
        <v>0.47472999999999999</v>
      </c>
      <c r="R32" s="32"/>
      <c r="S32" s="32"/>
      <c r="T32" s="1"/>
    </row>
    <row r="33" spans="2:20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2">
        <v>3.15</v>
      </c>
      <c r="P33" s="32">
        <f t="shared" ref="P33:P35" si="0">O33*$E$25</f>
        <v>29.090249999999997</v>
      </c>
      <c r="Q33" s="32">
        <f t="shared" ref="Q33:Q35" si="1">(0.05*$E$25) + ($F$25*O33)</f>
        <v>0.49640000000000001</v>
      </c>
      <c r="R33" s="32">
        <f>P33-P32</f>
        <v>18.192949999999996</v>
      </c>
      <c r="S33" s="32">
        <f>Q33+Q32</f>
        <v>0.97113000000000005</v>
      </c>
      <c r="T33" s="1"/>
    </row>
    <row r="34" spans="2:20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2">
        <v>5.25</v>
      </c>
      <c r="P34" s="32">
        <f t="shared" si="0"/>
        <v>48.483750000000001</v>
      </c>
      <c r="Q34" s="32">
        <f t="shared" si="1"/>
        <v>0.51949999999999996</v>
      </c>
      <c r="R34" s="32">
        <f>P34-P33</f>
        <v>19.393500000000003</v>
      </c>
      <c r="S34" s="32">
        <f t="shared" ref="S34:S35" si="2">Q34+Q33</f>
        <v>1.0159</v>
      </c>
      <c r="T34" s="1"/>
    </row>
    <row r="35" spans="2:20" x14ac:dyDescent="0.2">
      <c r="B35" s="1"/>
      <c r="G35" s="1"/>
      <c r="H35" s="1"/>
      <c r="I35" s="1"/>
      <c r="J35" s="1"/>
      <c r="K35" s="1"/>
      <c r="L35" s="1"/>
      <c r="M35" s="1"/>
      <c r="N35" s="1"/>
      <c r="O35" s="32">
        <v>7.15</v>
      </c>
      <c r="P35" s="32">
        <f t="shared" si="0"/>
        <v>66.030249999999995</v>
      </c>
      <c r="Q35" s="32">
        <f t="shared" si="1"/>
        <v>0.54039999999999999</v>
      </c>
      <c r="R35" s="32">
        <f>P35-P34</f>
        <v>17.546499999999995</v>
      </c>
      <c r="S35" s="32">
        <f t="shared" si="2"/>
        <v>1.0598999999999998</v>
      </c>
      <c r="T35" s="1"/>
    </row>
    <row r="36" spans="2:20" x14ac:dyDescent="0.2">
      <c r="B36" s="1"/>
      <c r="G36" s="1"/>
      <c r="H36" s="1"/>
      <c r="I36" s="1"/>
      <c r="J36" s="1"/>
      <c r="K36" s="1"/>
      <c r="L36" s="1"/>
      <c r="M36" s="1"/>
      <c r="N36" s="1"/>
      <c r="O36" s="32"/>
      <c r="P36" s="32"/>
      <c r="Q36" s="32"/>
      <c r="R36" s="32"/>
      <c r="S36" s="32"/>
      <c r="T36" s="1"/>
    </row>
    <row r="37" spans="2:20" x14ac:dyDescent="0.2">
      <c r="B37" s="1"/>
      <c r="G37" s="1"/>
      <c r="H37" s="1"/>
      <c r="I37" s="1"/>
      <c r="J37" s="1"/>
      <c r="K37" s="1"/>
      <c r="L37" s="1"/>
      <c r="M37" s="1"/>
      <c r="N37" s="1"/>
      <c r="T37" s="1"/>
    </row>
    <row r="38" spans="2:20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Q38" s="33" t="s">
        <v>47</v>
      </c>
      <c r="R38" s="32" t="s">
        <v>43</v>
      </c>
      <c r="S38" s="32" t="s">
        <v>45</v>
      </c>
      <c r="T38" s="1"/>
    </row>
    <row r="39" spans="2:20" x14ac:dyDescent="0.2">
      <c r="B39" s="1"/>
      <c r="C39" s="1"/>
      <c r="D39" s="1"/>
      <c r="E39" s="1"/>
      <c r="F39" s="1"/>
      <c r="G39" s="4"/>
      <c r="H39" s="4"/>
      <c r="I39" s="4"/>
      <c r="J39" s="4"/>
      <c r="K39" s="1"/>
      <c r="L39" s="1"/>
      <c r="M39" s="1"/>
      <c r="N39" s="1"/>
      <c r="R39" s="32">
        <f>AVERAGE(R33:R36)</f>
        <v>18.377649999999999</v>
      </c>
      <c r="S39" s="32">
        <f>AVERAGE(S33:S36)</f>
        <v>1.0156433333333332</v>
      </c>
      <c r="T39" s="1"/>
    </row>
    <row r="40" spans="2:20" x14ac:dyDescent="0.2">
      <c r="B40" s="1"/>
      <c r="G40" s="4"/>
      <c r="H40" s="4"/>
      <c r="I40" s="4"/>
      <c r="J40" s="4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0" x14ac:dyDescent="0.2">
      <c r="G41" s="4"/>
      <c r="H41" s="4"/>
      <c r="I41" s="4"/>
      <c r="J41" s="4"/>
      <c r="O41" s="1"/>
      <c r="P41" s="1"/>
      <c r="Q41" s="1"/>
      <c r="R41" s="1"/>
    </row>
    <row r="42" spans="2:20" x14ac:dyDescent="0.2">
      <c r="G42" s="5"/>
      <c r="H42" s="5"/>
      <c r="I42" s="5"/>
      <c r="J42" s="5"/>
      <c r="O42" s="1"/>
      <c r="P42" s="1"/>
      <c r="Q42" s="1"/>
      <c r="R42" s="1"/>
    </row>
    <row r="43" spans="2:20" x14ac:dyDescent="0.2">
      <c r="G43" s="5"/>
      <c r="H43" s="5"/>
      <c r="I43" s="5"/>
      <c r="J43" s="5"/>
    </row>
    <row r="44" spans="2:20" x14ac:dyDescent="0.2">
      <c r="G44" s="5"/>
      <c r="H44" s="5"/>
      <c r="I44" s="5"/>
      <c r="J44" s="5"/>
    </row>
    <row r="56" spans="3:7" x14ac:dyDescent="0.2">
      <c r="C56" s="32" t="s">
        <v>46</v>
      </c>
      <c r="D56" s="32" t="s">
        <v>34</v>
      </c>
      <c r="E56" s="32" t="s">
        <v>44</v>
      </c>
      <c r="F56" s="32" t="s">
        <v>43</v>
      </c>
      <c r="G56" s="32" t="s">
        <v>45</v>
      </c>
    </row>
    <row r="57" spans="3:7" x14ac:dyDescent="0.2">
      <c r="C57" s="32">
        <v>5.15</v>
      </c>
      <c r="D57" s="32">
        <f>C57*$E$25</f>
        <v>47.560250000000003</v>
      </c>
      <c r="E57" s="32">
        <f>(0.05*$E$25) + ($F$25*C57)</f>
        <v>0.51839999999999997</v>
      </c>
      <c r="F57" s="32"/>
      <c r="G57" s="32"/>
    </row>
    <row r="58" spans="3:7" x14ac:dyDescent="0.2">
      <c r="C58" s="32">
        <v>5.67</v>
      </c>
      <c r="D58" s="32">
        <f t="shared" ref="D58:D60" si="3">C58*$E$25</f>
        <v>52.362449999999995</v>
      </c>
      <c r="E58" s="32">
        <f t="shared" ref="E58:E61" si="4">(0.05*$E$25) + ($F$25*C58)</f>
        <v>0.52412000000000003</v>
      </c>
      <c r="F58" s="32">
        <f>D58-D57</f>
        <v>4.802199999999992</v>
      </c>
      <c r="G58" s="32">
        <f>E58+E57</f>
        <v>1.0425200000000001</v>
      </c>
    </row>
    <row r="59" spans="3:7" x14ac:dyDescent="0.2">
      <c r="C59" s="32">
        <v>6.15</v>
      </c>
      <c r="D59" s="32">
        <f t="shared" si="3"/>
        <v>56.795250000000003</v>
      </c>
      <c r="E59" s="32">
        <f t="shared" si="4"/>
        <v>0.52939999999999998</v>
      </c>
      <c r="F59" s="32">
        <f>D59-D58</f>
        <v>4.4328000000000074</v>
      </c>
      <c r="G59" s="32">
        <f t="shared" ref="G59:G61" si="5">E59+E58</f>
        <v>1.05352</v>
      </c>
    </row>
    <row r="60" spans="3:7" x14ac:dyDescent="0.2">
      <c r="C60" s="32">
        <v>6.64</v>
      </c>
      <c r="D60" s="32">
        <f t="shared" si="3"/>
        <v>61.320399999999992</v>
      </c>
      <c r="E60" s="32">
        <f t="shared" si="4"/>
        <v>0.53478999999999999</v>
      </c>
      <c r="F60" s="32">
        <f>D60-D59</f>
        <v>4.5251499999999893</v>
      </c>
      <c r="G60" s="32">
        <f t="shared" si="5"/>
        <v>1.06419</v>
      </c>
    </row>
    <row r="61" spans="3:7" x14ac:dyDescent="0.2">
      <c r="C61" s="32">
        <v>7.11</v>
      </c>
      <c r="D61" s="32">
        <f>C61*$E$25</f>
        <v>65.660849999999996</v>
      </c>
      <c r="E61" s="32">
        <f t="shared" si="4"/>
        <v>0.53996</v>
      </c>
      <c r="F61" s="32">
        <f>D61-D60</f>
        <v>4.3404500000000041</v>
      </c>
      <c r="G61" s="32">
        <f t="shared" si="5"/>
        <v>1.0747499999999999</v>
      </c>
    </row>
    <row r="63" spans="3:7" x14ac:dyDescent="0.2">
      <c r="E63" s="33" t="s">
        <v>47</v>
      </c>
      <c r="F63" s="32" t="s">
        <v>43</v>
      </c>
      <c r="G63" s="32" t="s">
        <v>45</v>
      </c>
    </row>
    <row r="64" spans="3:7" x14ac:dyDescent="0.2">
      <c r="F64" s="32">
        <f>AVERAGE(F58:F61)</f>
        <v>4.5251499999999982</v>
      </c>
      <c r="G64" s="32">
        <f>AVERAGE(G58:G61)</f>
        <v>1.058745</v>
      </c>
    </row>
  </sheetData>
  <mergeCells count="4">
    <mergeCell ref="B2:C2"/>
    <mergeCell ref="B6:C6"/>
    <mergeCell ref="F27:I27"/>
    <mergeCell ref="G28:H28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C246-342A-1749-9B18-B4FA7F36F666}">
  <dimension ref="C3:AL20"/>
  <sheetViews>
    <sheetView topLeftCell="G1" workbookViewId="0">
      <selection activeCell="O19" sqref="O19"/>
    </sheetView>
  </sheetViews>
  <sheetFormatPr baseColWidth="10" defaultRowHeight="16" x14ac:dyDescent="0.2"/>
  <sheetData>
    <row r="3" spans="3:38" ht="17" thickBot="1" x14ac:dyDescent="0.25"/>
    <row r="4" spans="3:38" ht="17" thickBot="1" x14ac:dyDescent="0.25">
      <c r="C4" s="6"/>
      <c r="D4" s="6"/>
      <c r="E4" s="6"/>
      <c r="F4" s="6"/>
      <c r="G4" s="41" t="s">
        <v>5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3"/>
      <c r="T4" s="44" t="s">
        <v>6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6"/>
      <c r="AI4" s="6"/>
      <c r="AJ4" s="6"/>
      <c r="AK4" s="6"/>
      <c r="AL4" s="6"/>
    </row>
    <row r="5" spans="3:38" ht="18" thickBot="1" x14ac:dyDescent="0.25">
      <c r="C5" s="9" t="s">
        <v>7</v>
      </c>
      <c r="D5" s="9" t="s">
        <v>8</v>
      </c>
      <c r="E5" s="9" t="s">
        <v>9</v>
      </c>
      <c r="F5" s="9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1" t="s">
        <v>19</v>
      </c>
      <c r="P5" s="11" t="s">
        <v>20</v>
      </c>
      <c r="Q5" s="11" t="s">
        <v>21</v>
      </c>
      <c r="R5" s="10" t="s">
        <v>4</v>
      </c>
      <c r="S5" s="10" t="s">
        <v>3</v>
      </c>
      <c r="T5" s="12" t="s">
        <v>22</v>
      </c>
      <c r="U5" s="7" t="s">
        <v>11</v>
      </c>
      <c r="V5" s="7" t="s">
        <v>23</v>
      </c>
      <c r="W5" s="7" t="s">
        <v>12</v>
      </c>
      <c r="X5" s="13" t="s">
        <v>24</v>
      </c>
      <c r="Y5" s="12" t="s">
        <v>13</v>
      </c>
      <c r="Z5" s="8" t="s">
        <v>25</v>
      </c>
      <c r="AA5" s="8" t="s">
        <v>15</v>
      </c>
      <c r="AB5" s="8" t="s">
        <v>26</v>
      </c>
      <c r="AC5" s="8" t="s">
        <v>27</v>
      </c>
      <c r="AD5" s="12" t="s">
        <v>4</v>
      </c>
      <c r="AE5" s="12" t="s">
        <v>3</v>
      </c>
      <c r="AF5" s="7" t="s">
        <v>18</v>
      </c>
      <c r="AG5" s="14" t="s">
        <v>28</v>
      </c>
      <c r="AH5" s="14" t="s">
        <v>29</v>
      </c>
      <c r="AI5" s="15" t="s">
        <v>30</v>
      </c>
      <c r="AJ5" s="15" t="s">
        <v>31</v>
      </c>
      <c r="AK5" s="16" t="s">
        <v>32</v>
      </c>
      <c r="AL5" s="15" t="s">
        <v>33</v>
      </c>
    </row>
    <row r="6" spans="3:38" x14ac:dyDescent="0.2">
      <c r="C6" s="17">
        <v>2.0099999999999998</v>
      </c>
      <c r="D6" s="18">
        <v>20.92</v>
      </c>
      <c r="E6" s="18">
        <v>0.01</v>
      </c>
      <c r="F6" s="18">
        <v>0.01</v>
      </c>
      <c r="G6" s="47">
        <f>COUNTA(D6:D20)</f>
        <v>15</v>
      </c>
      <c r="H6" s="50">
        <f>SUM(C6:C20)</f>
        <v>82.820000000000007</v>
      </c>
      <c r="I6" s="53">
        <f>SUM(D6:D20)</f>
        <v>809.21</v>
      </c>
      <c r="J6" s="19">
        <f t="shared" ref="J6:J20" si="0">C6*D6</f>
        <v>42.049199999999999</v>
      </c>
      <c r="K6" s="54">
        <f>SUM(J6:J20)</f>
        <v>5112.6364999999996</v>
      </c>
      <c r="L6" s="19">
        <f t="shared" ref="L6:L20" si="1">C6^2</f>
        <v>4.0400999999999989</v>
      </c>
      <c r="M6" s="54">
        <f>SUM(L6:L20)</f>
        <v>527.0924</v>
      </c>
      <c r="N6" s="54">
        <f>(G6*M6)-(H6^2)</f>
        <v>1047.2335999999996</v>
      </c>
      <c r="O6" s="54">
        <f>SQRT($F$6^2+(S6*$E$6)^2)</f>
        <v>9.2885786997718503E-2</v>
      </c>
      <c r="P6" s="54">
        <f>O6*SQRT(M6/N6)</f>
        <v>6.5897791261205207E-2</v>
      </c>
      <c r="Q6" s="54">
        <f>O6*SQRT(G6/N6)</f>
        <v>1.1116628966356795E-2</v>
      </c>
      <c r="R6" s="54">
        <f>(M6*I6-H6*K6)/N6</f>
        <v>2.9600712524884987</v>
      </c>
      <c r="S6" s="54">
        <f>((G6*K6)-(H6*I6))/N6</f>
        <v>9.2345922628914874</v>
      </c>
      <c r="T6" s="20">
        <f>1/(F6^2+($S$6*E6)^2)</f>
        <v>115.90481277408398</v>
      </c>
      <c r="U6" s="54" t="e">
        <f>SUM(T6:T15)</f>
        <v>#DIV/0!</v>
      </c>
      <c r="V6" s="21">
        <f>T6*C6</f>
        <v>232.96867367590878</v>
      </c>
      <c r="W6" s="54" t="e">
        <f>SUM(V6:V15)</f>
        <v>#DIV/0!</v>
      </c>
      <c r="X6" s="19">
        <f t="shared" ref="X6:X15" si="2">T6*D6</f>
        <v>2424.7286832338368</v>
      </c>
      <c r="Y6" s="54" t="e">
        <f>SUM(X6:X15)</f>
        <v>#DIV/0!</v>
      </c>
      <c r="Z6" s="22">
        <f t="shared" ref="Z6:Z15" si="3">T6*C6*D6</f>
        <v>4873.7046533000121</v>
      </c>
      <c r="AA6" s="54" t="e">
        <f>SUM(Z6:Z15)</f>
        <v>#DIV/0!</v>
      </c>
      <c r="AB6" s="22">
        <f>T6*L6</f>
        <v>468.26703408857657</v>
      </c>
      <c r="AC6" s="54" t="e">
        <f>SUM(AB6:AB15)</f>
        <v>#DIV/0!</v>
      </c>
      <c r="AD6" s="54" t="e">
        <f>((AC6*Y6)-(W6*AA6))/AF6</f>
        <v>#DIV/0!</v>
      </c>
      <c r="AE6" s="54" t="e">
        <f>((U6*AA6)-(W6*Y6))/AF6</f>
        <v>#DIV/0!</v>
      </c>
      <c r="AF6" s="55" t="e">
        <f>(U6*AC6)-(W6^2)</f>
        <v>#DIV/0!</v>
      </c>
      <c r="AG6" s="54" t="e">
        <f>SQRT((AC6/AF6))</f>
        <v>#DIV/0!</v>
      </c>
      <c r="AH6" s="54" t="e">
        <f>SQRT((U6/AF6))</f>
        <v>#DIV/0!</v>
      </c>
      <c r="AI6" s="58">
        <f>_xlfn.STDEV.S(C6:C15)</f>
        <v>1.5076840223041126</v>
      </c>
      <c r="AJ6" s="58">
        <f>_xlfn.STDEV.S(D6:D15)</f>
        <v>14.349021220975317</v>
      </c>
      <c r="AK6" s="58">
        <f>_xlfn.COVARIANCE.S(C6:C15,D6:D15)</f>
        <v>21.633644444444446</v>
      </c>
      <c r="AL6" s="58">
        <f>CORREL(C6:C15,D6:D15)</f>
        <v>0.99999327042915298</v>
      </c>
    </row>
    <row r="7" spans="3:38" x14ac:dyDescent="0.2">
      <c r="C7" s="23">
        <v>2.5299999999999998</v>
      </c>
      <c r="D7" s="24">
        <v>25.89</v>
      </c>
      <c r="E7" s="24">
        <v>0</v>
      </c>
      <c r="F7" s="24">
        <v>0</v>
      </c>
      <c r="G7" s="48"/>
      <c r="H7" s="51"/>
      <c r="I7" s="51"/>
      <c r="J7" s="20">
        <f t="shared" si="0"/>
        <v>65.5017</v>
      </c>
      <c r="K7" s="51"/>
      <c r="L7" s="20">
        <f t="shared" si="1"/>
        <v>6.4008999999999991</v>
      </c>
      <c r="M7" s="51"/>
      <c r="N7" s="51"/>
      <c r="O7" s="51"/>
      <c r="P7" s="51"/>
      <c r="Q7" s="51"/>
      <c r="R7" s="51"/>
      <c r="S7" s="51"/>
      <c r="T7" s="20" t="e">
        <f t="shared" ref="T7:T15" si="4">1/(F7^2+($S$6*E7)^2)</f>
        <v>#DIV/0!</v>
      </c>
      <c r="U7" s="51"/>
      <c r="V7" s="25" t="e">
        <f t="shared" ref="V7:V15" si="5">T7*C7</f>
        <v>#DIV/0!</v>
      </c>
      <c r="W7" s="51"/>
      <c r="X7" s="20" t="e">
        <f t="shared" si="2"/>
        <v>#DIV/0!</v>
      </c>
      <c r="Y7" s="51"/>
      <c r="Z7" s="26" t="e">
        <f t="shared" si="3"/>
        <v>#DIV/0!</v>
      </c>
      <c r="AA7" s="51"/>
      <c r="AB7" s="26" t="e">
        <f t="shared" ref="AB7:AB15" si="6">T7*L7</f>
        <v>#DIV/0!</v>
      </c>
      <c r="AC7" s="51"/>
      <c r="AD7" s="51"/>
      <c r="AE7" s="51"/>
      <c r="AF7" s="56"/>
      <c r="AG7" s="51"/>
      <c r="AH7" s="51"/>
      <c r="AI7" s="59"/>
      <c r="AJ7" s="59"/>
      <c r="AK7" s="59"/>
      <c r="AL7" s="59"/>
    </row>
    <row r="8" spans="3:38" x14ac:dyDescent="0.2">
      <c r="C8" s="23">
        <v>3.03</v>
      </c>
      <c r="D8" s="24">
        <v>30.68</v>
      </c>
      <c r="E8" s="24">
        <v>0</v>
      </c>
      <c r="F8" s="24">
        <v>0</v>
      </c>
      <c r="G8" s="48"/>
      <c r="H8" s="51"/>
      <c r="I8" s="51"/>
      <c r="J8" s="20">
        <f t="shared" si="0"/>
        <v>92.960399999999993</v>
      </c>
      <c r="K8" s="51"/>
      <c r="L8" s="20">
        <f t="shared" si="1"/>
        <v>9.1808999999999994</v>
      </c>
      <c r="M8" s="51"/>
      <c r="N8" s="51"/>
      <c r="O8" s="51"/>
      <c r="P8" s="51"/>
      <c r="Q8" s="51"/>
      <c r="R8" s="51"/>
      <c r="S8" s="51"/>
      <c r="T8" s="20" t="e">
        <f t="shared" si="4"/>
        <v>#DIV/0!</v>
      </c>
      <c r="U8" s="51"/>
      <c r="V8" s="25" t="e">
        <f t="shared" si="5"/>
        <v>#DIV/0!</v>
      </c>
      <c r="W8" s="51"/>
      <c r="X8" s="20" t="e">
        <f t="shared" si="2"/>
        <v>#DIV/0!</v>
      </c>
      <c r="Y8" s="51"/>
      <c r="Z8" s="26" t="e">
        <f t="shared" si="3"/>
        <v>#DIV/0!</v>
      </c>
      <c r="AA8" s="51"/>
      <c r="AB8" s="26" t="e">
        <f t="shared" si="6"/>
        <v>#DIV/0!</v>
      </c>
      <c r="AC8" s="51"/>
      <c r="AD8" s="51"/>
      <c r="AE8" s="51"/>
      <c r="AF8" s="56"/>
      <c r="AG8" s="51"/>
      <c r="AH8" s="51"/>
      <c r="AI8" s="59"/>
      <c r="AJ8" s="59"/>
      <c r="AK8" s="59"/>
      <c r="AL8" s="59"/>
    </row>
    <row r="9" spans="3:38" x14ac:dyDescent="0.2">
      <c r="C9" s="23">
        <v>3.51</v>
      </c>
      <c r="D9" s="24">
        <v>35.32</v>
      </c>
      <c r="E9" s="24">
        <v>0</v>
      </c>
      <c r="F9" s="24">
        <v>0</v>
      </c>
      <c r="G9" s="48"/>
      <c r="H9" s="51"/>
      <c r="I9" s="51"/>
      <c r="J9" s="20">
        <f t="shared" si="0"/>
        <v>123.97319999999999</v>
      </c>
      <c r="K9" s="51"/>
      <c r="L9" s="20">
        <f t="shared" si="1"/>
        <v>12.320099999999998</v>
      </c>
      <c r="M9" s="51"/>
      <c r="N9" s="51"/>
      <c r="O9" s="51"/>
      <c r="P9" s="51"/>
      <c r="Q9" s="51"/>
      <c r="R9" s="51"/>
      <c r="S9" s="51"/>
      <c r="T9" s="20" t="e">
        <f t="shared" si="4"/>
        <v>#DIV/0!</v>
      </c>
      <c r="U9" s="51"/>
      <c r="V9" s="25" t="e">
        <f t="shared" si="5"/>
        <v>#DIV/0!</v>
      </c>
      <c r="W9" s="51"/>
      <c r="X9" s="20" t="e">
        <f t="shared" si="2"/>
        <v>#DIV/0!</v>
      </c>
      <c r="Y9" s="51"/>
      <c r="Z9" s="26" t="e">
        <f t="shared" si="3"/>
        <v>#DIV/0!</v>
      </c>
      <c r="AA9" s="51"/>
      <c r="AB9" s="26" t="e">
        <f t="shared" si="6"/>
        <v>#DIV/0!</v>
      </c>
      <c r="AC9" s="51"/>
      <c r="AD9" s="51"/>
      <c r="AE9" s="51"/>
      <c r="AF9" s="56"/>
      <c r="AG9" s="51"/>
      <c r="AH9" s="51"/>
      <c r="AI9" s="59"/>
      <c r="AJ9" s="59"/>
      <c r="AK9" s="59"/>
      <c r="AL9" s="59"/>
    </row>
    <row r="10" spans="3:38" x14ac:dyDescent="0.2">
      <c r="C10" s="23">
        <v>4.0599999999999996</v>
      </c>
      <c r="D10" s="24">
        <v>40.5</v>
      </c>
      <c r="E10" s="24">
        <v>0</v>
      </c>
      <c r="F10" s="24">
        <v>0</v>
      </c>
      <c r="G10" s="48"/>
      <c r="H10" s="51"/>
      <c r="I10" s="51"/>
      <c r="J10" s="20">
        <f t="shared" si="0"/>
        <v>164.42999999999998</v>
      </c>
      <c r="K10" s="51"/>
      <c r="L10" s="20">
        <f t="shared" si="1"/>
        <v>16.483599999999996</v>
      </c>
      <c r="M10" s="51"/>
      <c r="N10" s="51"/>
      <c r="O10" s="51"/>
      <c r="P10" s="51"/>
      <c r="Q10" s="51"/>
      <c r="R10" s="51"/>
      <c r="S10" s="51"/>
      <c r="T10" s="20" t="e">
        <f t="shared" si="4"/>
        <v>#DIV/0!</v>
      </c>
      <c r="U10" s="51"/>
      <c r="V10" s="25" t="e">
        <f t="shared" si="5"/>
        <v>#DIV/0!</v>
      </c>
      <c r="W10" s="51"/>
      <c r="X10" s="20" t="e">
        <f t="shared" si="2"/>
        <v>#DIV/0!</v>
      </c>
      <c r="Y10" s="51"/>
      <c r="Z10" s="26" t="e">
        <f t="shared" si="3"/>
        <v>#DIV/0!</v>
      </c>
      <c r="AA10" s="51"/>
      <c r="AB10" s="26" t="e">
        <f t="shared" si="6"/>
        <v>#DIV/0!</v>
      </c>
      <c r="AC10" s="51"/>
      <c r="AD10" s="51"/>
      <c r="AE10" s="51"/>
      <c r="AF10" s="56"/>
      <c r="AG10" s="51"/>
      <c r="AH10" s="51"/>
      <c r="AI10" s="59"/>
      <c r="AJ10" s="59"/>
      <c r="AK10" s="59"/>
      <c r="AL10" s="59"/>
    </row>
    <row r="11" spans="3:38" x14ac:dyDescent="0.2">
      <c r="C11" s="23">
        <v>4.51</v>
      </c>
      <c r="D11" s="24">
        <v>44.8</v>
      </c>
      <c r="E11" s="24">
        <v>0</v>
      </c>
      <c r="F11" s="24">
        <v>0</v>
      </c>
      <c r="G11" s="48"/>
      <c r="H11" s="51"/>
      <c r="I11" s="51"/>
      <c r="J11" s="20">
        <f t="shared" si="0"/>
        <v>202.04799999999997</v>
      </c>
      <c r="K11" s="51"/>
      <c r="L11" s="20">
        <f t="shared" si="1"/>
        <v>20.3401</v>
      </c>
      <c r="M11" s="51"/>
      <c r="N11" s="51"/>
      <c r="O11" s="51"/>
      <c r="P11" s="51"/>
      <c r="Q11" s="51"/>
      <c r="R11" s="51"/>
      <c r="S11" s="51"/>
      <c r="T11" s="20" t="e">
        <f t="shared" si="4"/>
        <v>#DIV/0!</v>
      </c>
      <c r="U11" s="51"/>
      <c r="V11" s="25" t="e">
        <f t="shared" si="5"/>
        <v>#DIV/0!</v>
      </c>
      <c r="W11" s="51"/>
      <c r="X11" s="20" t="e">
        <f t="shared" si="2"/>
        <v>#DIV/0!</v>
      </c>
      <c r="Y11" s="51"/>
      <c r="Z11" s="26" t="e">
        <f t="shared" si="3"/>
        <v>#DIV/0!</v>
      </c>
      <c r="AA11" s="51"/>
      <c r="AB11" s="26" t="e">
        <f t="shared" si="6"/>
        <v>#DIV/0!</v>
      </c>
      <c r="AC11" s="51"/>
      <c r="AD11" s="51"/>
      <c r="AE11" s="51"/>
      <c r="AF11" s="56"/>
      <c r="AG11" s="51"/>
      <c r="AH11" s="51"/>
      <c r="AI11" s="59"/>
      <c r="AJ11" s="59"/>
      <c r="AK11" s="59"/>
      <c r="AL11" s="59"/>
    </row>
    <row r="12" spans="3:38" x14ac:dyDescent="0.2">
      <c r="C12" s="23">
        <v>5.03</v>
      </c>
      <c r="D12" s="24">
        <v>49.7</v>
      </c>
      <c r="E12" s="24">
        <v>0</v>
      </c>
      <c r="F12" s="24">
        <v>0</v>
      </c>
      <c r="G12" s="48"/>
      <c r="H12" s="51"/>
      <c r="I12" s="51"/>
      <c r="J12" s="20">
        <f t="shared" si="0"/>
        <v>249.99100000000001</v>
      </c>
      <c r="K12" s="51"/>
      <c r="L12" s="20">
        <f t="shared" si="1"/>
        <v>25.300900000000002</v>
      </c>
      <c r="M12" s="51"/>
      <c r="N12" s="51"/>
      <c r="O12" s="51"/>
      <c r="P12" s="51"/>
      <c r="Q12" s="51"/>
      <c r="R12" s="51"/>
      <c r="S12" s="51"/>
      <c r="T12" s="20" t="e">
        <f t="shared" si="4"/>
        <v>#DIV/0!</v>
      </c>
      <c r="U12" s="51"/>
      <c r="V12" s="25" t="e">
        <f t="shared" si="5"/>
        <v>#DIV/0!</v>
      </c>
      <c r="W12" s="51"/>
      <c r="X12" s="20" t="e">
        <f t="shared" si="2"/>
        <v>#DIV/0!</v>
      </c>
      <c r="Y12" s="51"/>
      <c r="Z12" s="26" t="e">
        <f t="shared" si="3"/>
        <v>#DIV/0!</v>
      </c>
      <c r="AA12" s="51"/>
      <c r="AB12" s="26" t="e">
        <f t="shared" si="6"/>
        <v>#DIV/0!</v>
      </c>
      <c r="AC12" s="51"/>
      <c r="AD12" s="51"/>
      <c r="AE12" s="51"/>
      <c r="AF12" s="56"/>
      <c r="AG12" s="51"/>
      <c r="AH12" s="51"/>
      <c r="AI12" s="59"/>
      <c r="AJ12" s="59"/>
      <c r="AK12" s="59"/>
      <c r="AL12" s="59"/>
    </row>
    <row r="13" spans="3:38" x14ac:dyDescent="0.2">
      <c r="C13" s="23">
        <v>5.52</v>
      </c>
      <c r="D13" s="24">
        <v>54.4</v>
      </c>
      <c r="E13" s="24">
        <v>0</v>
      </c>
      <c r="F13" s="24">
        <v>0</v>
      </c>
      <c r="G13" s="48"/>
      <c r="H13" s="51"/>
      <c r="I13" s="51"/>
      <c r="J13" s="20">
        <f t="shared" si="0"/>
        <v>300.28799999999995</v>
      </c>
      <c r="K13" s="51"/>
      <c r="L13" s="20">
        <f t="shared" si="1"/>
        <v>30.470399999999994</v>
      </c>
      <c r="M13" s="51"/>
      <c r="N13" s="51"/>
      <c r="O13" s="51"/>
      <c r="P13" s="51"/>
      <c r="Q13" s="51"/>
      <c r="R13" s="51"/>
      <c r="S13" s="51"/>
      <c r="T13" s="20" t="e">
        <f t="shared" si="4"/>
        <v>#DIV/0!</v>
      </c>
      <c r="U13" s="51"/>
      <c r="V13" s="25" t="e">
        <f t="shared" si="5"/>
        <v>#DIV/0!</v>
      </c>
      <c r="W13" s="51"/>
      <c r="X13" s="20" t="e">
        <f t="shared" si="2"/>
        <v>#DIV/0!</v>
      </c>
      <c r="Y13" s="51"/>
      <c r="Z13" s="26" t="e">
        <f t="shared" si="3"/>
        <v>#DIV/0!</v>
      </c>
      <c r="AA13" s="51"/>
      <c r="AB13" s="26" t="e">
        <f t="shared" si="6"/>
        <v>#DIV/0!</v>
      </c>
      <c r="AC13" s="51"/>
      <c r="AD13" s="51"/>
      <c r="AE13" s="51"/>
      <c r="AF13" s="56"/>
      <c r="AG13" s="51"/>
      <c r="AH13" s="51"/>
      <c r="AI13" s="59"/>
      <c r="AJ13" s="59"/>
      <c r="AK13" s="59"/>
      <c r="AL13" s="59"/>
    </row>
    <row r="14" spans="3:38" x14ac:dyDescent="0.2">
      <c r="C14" s="23">
        <v>6</v>
      </c>
      <c r="D14" s="24">
        <v>59</v>
      </c>
      <c r="E14" s="24">
        <v>0</v>
      </c>
      <c r="F14" s="24">
        <v>0</v>
      </c>
      <c r="G14" s="48"/>
      <c r="H14" s="51"/>
      <c r="I14" s="51"/>
      <c r="J14" s="20">
        <f t="shared" si="0"/>
        <v>354</v>
      </c>
      <c r="K14" s="51"/>
      <c r="L14" s="20">
        <f t="shared" si="1"/>
        <v>36</v>
      </c>
      <c r="M14" s="51"/>
      <c r="N14" s="51"/>
      <c r="O14" s="51"/>
      <c r="P14" s="51"/>
      <c r="Q14" s="51"/>
      <c r="R14" s="51"/>
      <c r="S14" s="51"/>
      <c r="T14" s="20" t="e">
        <f t="shared" si="4"/>
        <v>#DIV/0!</v>
      </c>
      <c r="U14" s="51"/>
      <c r="V14" s="25" t="e">
        <f t="shared" si="5"/>
        <v>#DIV/0!</v>
      </c>
      <c r="W14" s="51"/>
      <c r="X14" s="20" t="e">
        <f t="shared" si="2"/>
        <v>#DIV/0!</v>
      </c>
      <c r="Y14" s="51"/>
      <c r="Z14" s="26" t="e">
        <f t="shared" si="3"/>
        <v>#DIV/0!</v>
      </c>
      <c r="AA14" s="51"/>
      <c r="AB14" s="26" t="e">
        <f t="shared" si="6"/>
        <v>#DIV/0!</v>
      </c>
      <c r="AC14" s="51"/>
      <c r="AD14" s="51"/>
      <c r="AE14" s="51"/>
      <c r="AF14" s="56"/>
      <c r="AG14" s="51"/>
      <c r="AH14" s="51"/>
      <c r="AI14" s="59"/>
      <c r="AJ14" s="59"/>
      <c r="AK14" s="59"/>
      <c r="AL14" s="59"/>
    </row>
    <row r="15" spans="3:38" ht="17" thickBot="1" x14ac:dyDescent="0.25">
      <c r="C15" s="27">
        <v>6.5</v>
      </c>
      <c r="D15" s="28">
        <v>63.6</v>
      </c>
      <c r="E15" s="28">
        <v>0</v>
      </c>
      <c r="F15" s="28">
        <v>0</v>
      </c>
      <c r="G15" s="49"/>
      <c r="H15" s="52"/>
      <c r="I15" s="52"/>
      <c r="J15" s="29">
        <f t="shared" si="0"/>
        <v>413.40000000000003</v>
      </c>
      <c r="K15" s="52"/>
      <c r="L15" s="29">
        <f t="shared" si="1"/>
        <v>42.25</v>
      </c>
      <c r="M15" s="52"/>
      <c r="N15" s="52"/>
      <c r="O15" s="52"/>
      <c r="P15" s="52"/>
      <c r="Q15" s="52"/>
      <c r="R15" s="52"/>
      <c r="S15" s="52"/>
      <c r="T15" s="20" t="e">
        <f t="shared" si="4"/>
        <v>#DIV/0!</v>
      </c>
      <c r="U15" s="52"/>
      <c r="V15" s="30" t="e">
        <f t="shared" si="5"/>
        <v>#DIV/0!</v>
      </c>
      <c r="W15" s="52"/>
      <c r="X15" s="29" t="e">
        <f t="shared" si="2"/>
        <v>#DIV/0!</v>
      </c>
      <c r="Y15" s="52"/>
      <c r="Z15" s="31" t="e">
        <f t="shared" si="3"/>
        <v>#DIV/0!</v>
      </c>
      <c r="AA15" s="52"/>
      <c r="AB15" s="31" t="e">
        <f t="shared" si="6"/>
        <v>#DIV/0!</v>
      </c>
      <c r="AC15" s="52"/>
      <c r="AD15" s="52"/>
      <c r="AE15" s="52"/>
      <c r="AF15" s="57"/>
      <c r="AG15" s="52"/>
      <c r="AH15" s="52"/>
      <c r="AI15" s="60"/>
      <c r="AJ15" s="60"/>
      <c r="AK15" s="60"/>
      <c r="AL15" s="60"/>
    </row>
    <row r="16" spans="3:38" ht="17" thickBot="1" x14ac:dyDescent="0.25">
      <c r="C16" s="27">
        <v>7.06</v>
      </c>
      <c r="D16" s="28">
        <v>68.7</v>
      </c>
      <c r="E16" s="6"/>
      <c r="F16" s="6"/>
      <c r="G16" s="6"/>
      <c r="H16" s="6"/>
      <c r="I16" s="6"/>
      <c r="J16" s="29">
        <f t="shared" si="0"/>
        <v>485.02199999999999</v>
      </c>
      <c r="K16" s="6"/>
      <c r="L16" s="29">
        <f t="shared" si="1"/>
        <v>49.843599999999995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3:12" ht="17" thickBot="1" x14ac:dyDescent="0.25">
      <c r="C17" s="27">
        <v>7.53</v>
      </c>
      <c r="D17" s="28">
        <v>72.900000000000006</v>
      </c>
      <c r="J17" s="29">
        <f t="shared" si="0"/>
        <v>548.93700000000001</v>
      </c>
      <c r="L17" s="29">
        <f t="shared" si="1"/>
        <v>56.700900000000004</v>
      </c>
    </row>
    <row r="18" spans="3:12" ht="17" thickBot="1" x14ac:dyDescent="0.25">
      <c r="C18" s="27">
        <v>8</v>
      </c>
      <c r="D18" s="28">
        <v>77</v>
      </c>
      <c r="J18" s="29">
        <f t="shared" si="0"/>
        <v>616</v>
      </c>
      <c r="L18" s="29">
        <f t="shared" si="1"/>
        <v>64</v>
      </c>
    </row>
    <row r="19" spans="3:12" ht="17" thickBot="1" x14ac:dyDescent="0.25">
      <c r="C19" s="27">
        <v>8.5299999999999994</v>
      </c>
      <c r="D19" s="28">
        <v>81.2</v>
      </c>
      <c r="J19" s="29">
        <f t="shared" si="0"/>
        <v>692.63599999999997</v>
      </c>
      <c r="L19" s="29">
        <f t="shared" si="1"/>
        <v>72.760899999999992</v>
      </c>
    </row>
    <row r="20" spans="3:12" ht="17" thickBot="1" x14ac:dyDescent="0.25">
      <c r="C20" s="27">
        <v>9</v>
      </c>
      <c r="D20" s="28">
        <v>84.6</v>
      </c>
      <c r="J20" s="29">
        <f t="shared" si="0"/>
        <v>761.4</v>
      </c>
      <c r="L20" s="29">
        <f t="shared" si="1"/>
        <v>81</v>
      </c>
    </row>
  </sheetData>
  <mergeCells count="27">
    <mergeCell ref="AL6:AL15"/>
    <mergeCell ref="AF6:AF15"/>
    <mergeCell ref="AH6:AH15"/>
    <mergeCell ref="AI6:AI15"/>
    <mergeCell ref="AJ6:AJ15"/>
    <mergeCell ref="AK6:AK15"/>
    <mergeCell ref="Y6:Y15"/>
    <mergeCell ref="AA6:AA15"/>
    <mergeCell ref="AC6:AC15"/>
    <mergeCell ref="AD6:AD15"/>
    <mergeCell ref="AE6:AE15"/>
    <mergeCell ref="G4:S4"/>
    <mergeCell ref="T4:AH4"/>
    <mergeCell ref="G6:G15"/>
    <mergeCell ref="H6:H15"/>
    <mergeCell ref="I6:I15"/>
    <mergeCell ref="K6:K15"/>
    <mergeCell ref="M6:M15"/>
    <mergeCell ref="N6:N15"/>
    <mergeCell ref="O6:O15"/>
    <mergeCell ref="P6:P15"/>
    <mergeCell ref="AG6:AG15"/>
    <mergeCell ref="Q6:Q15"/>
    <mergeCell ref="R6:R15"/>
    <mergeCell ref="S6:S15"/>
    <mergeCell ref="U6:U15"/>
    <mergeCell ref="W6:W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Ribot Oliver</dc:creator>
  <cp:lastModifiedBy>Miguel Sánchez Oros</cp:lastModifiedBy>
  <dcterms:created xsi:type="dcterms:W3CDTF">2023-05-09T20:25:25Z</dcterms:created>
  <dcterms:modified xsi:type="dcterms:W3CDTF">2023-05-23T20:08:06Z</dcterms:modified>
</cp:coreProperties>
</file>