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bes-my.sharepoint.com/personal/jro754_id_uib_eu/Documents/"/>
    </mc:Choice>
  </mc:AlternateContent>
  <xr:revisionPtr revIDLastSave="750" documentId="8_{3E68F28C-2422-A24C-975E-E5658FDCDA54}" xr6:coauthVersionLast="47" xr6:coauthVersionMax="47" xr10:uidLastSave="{E3C718DD-3BEC-C54D-B3AE-A0D1E0186157}"/>
  <bookViews>
    <workbookView xWindow="1120" yWindow="500" windowWidth="28800" windowHeight="16100" activeTab="2" xr2:uid="{7F2A3E0C-8A26-7E47-86F0-67E267064E5A}"/>
  </bookViews>
  <sheets>
    <sheet name="Constant de Planck" sheetId="1" r:id="rId1"/>
    <sheet name="Tots casos" sheetId="2" r:id="rId2"/>
    <sheet name="Hoja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1" l="1"/>
  <c r="AL8" i="3"/>
  <c r="I8" i="3"/>
  <c r="H8" i="3"/>
  <c r="G8" i="3"/>
  <c r="O57" i="3"/>
  <c r="G74" i="3"/>
  <c r="H74" i="3"/>
  <c r="I74" i="3"/>
  <c r="J74" i="3"/>
  <c r="L74" i="3"/>
  <c r="AI74" i="3"/>
  <c r="AJ74" i="3"/>
  <c r="AK74" i="3"/>
  <c r="AL74" i="3"/>
  <c r="J75" i="3"/>
  <c r="L75" i="3"/>
  <c r="T75" i="3"/>
  <c r="V75" i="3" s="1"/>
  <c r="X75" i="3"/>
  <c r="Z75" i="3"/>
  <c r="AB75" i="3"/>
  <c r="J76" i="3"/>
  <c r="K74" i="3" s="1"/>
  <c r="L76" i="3"/>
  <c r="T76" i="3"/>
  <c r="V76" i="3" s="1"/>
  <c r="Z76" i="3"/>
  <c r="AB76" i="3"/>
  <c r="J77" i="3"/>
  <c r="L77" i="3"/>
  <c r="M74" i="3" s="1"/>
  <c r="T77" i="3"/>
  <c r="X77" i="3" s="1"/>
  <c r="V77" i="3"/>
  <c r="J78" i="3"/>
  <c r="L78" i="3"/>
  <c r="T78" i="3"/>
  <c r="V78" i="3" s="1"/>
  <c r="J79" i="3"/>
  <c r="L79" i="3"/>
  <c r="T79" i="3"/>
  <c r="X79" i="3" s="1"/>
  <c r="V79" i="3"/>
  <c r="J80" i="3"/>
  <c r="L80" i="3"/>
  <c r="T80" i="3"/>
  <c r="Z80" i="3" s="1"/>
  <c r="V80" i="3"/>
  <c r="X80" i="3"/>
  <c r="J81" i="3"/>
  <c r="L81" i="3"/>
  <c r="T81" i="3"/>
  <c r="AB81" i="3" s="1"/>
  <c r="V81" i="3"/>
  <c r="X81" i="3"/>
  <c r="Z81" i="3"/>
  <c r="J82" i="3"/>
  <c r="L82" i="3"/>
  <c r="T82" i="3"/>
  <c r="V82" i="3"/>
  <c r="X82" i="3"/>
  <c r="Z82" i="3"/>
  <c r="AB82" i="3"/>
  <c r="J83" i="3"/>
  <c r="L83" i="3"/>
  <c r="T83" i="3"/>
  <c r="V83" i="3"/>
  <c r="X83" i="3"/>
  <c r="Z83" i="3"/>
  <c r="AB83" i="3"/>
  <c r="G57" i="3"/>
  <c r="H57" i="3"/>
  <c r="I57" i="3"/>
  <c r="J57" i="3"/>
  <c r="L57" i="3"/>
  <c r="AI57" i="3"/>
  <c r="AJ57" i="3"/>
  <c r="AK57" i="3"/>
  <c r="AL57" i="3"/>
  <c r="J58" i="3"/>
  <c r="K57" i="3" s="1"/>
  <c r="L58" i="3"/>
  <c r="T58" i="3"/>
  <c r="V58" i="3" s="1"/>
  <c r="X58" i="3"/>
  <c r="Z58" i="3"/>
  <c r="AB58" i="3"/>
  <c r="J59" i="3"/>
  <c r="L59" i="3"/>
  <c r="T59" i="3"/>
  <c r="V59" i="3" s="1"/>
  <c r="AB59" i="3"/>
  <c r="J60" i="3"/>
  <c r="L60" i="3"/>
  <c r="M57" i="3" s="1"/>
  <c r="T60" i="3"/>
  <c r="Z60" i="3" s="1"/>
  <c r="V60" i="3"/>
  <c r="X60" i="3"/>
  <c r="J61" i="3"/>
  <c r="L61" i="3"/>
  <c r="T61" i="3"/>
  <c r="V61" i="3" s="1"/>
  <c r="J62" i="3"/>
  <c r="L62" i="3"/>
  <c r="T62" i="3"/>
  <c r="X62" i="3" s="1"/>
  <c r="V62" i="3"/>
  <c r="J63" i="3"/>
  <c r="L63" i="3"/>
  <c r="T63" i="3"/>
  <c r="Z63" i="3" s="1"/>
  <c r="V63" i="3"/>
  <c r="X63" i="3"/>
  <c r="J64" i="3"/>
  <c r="L64" i="3"/>
  <c r="T64" i="3"/>
  <c r="AB64" i="3" s="1"/>
  <c r="V64" i="3"/>
  <c r="X64" i="3"/>
  <c r="Z64" i="3"/>
  <c r="J65" i="3"/>
  <c r="L65" i="3"/>
  <c r="T65" i="3"/>
  <c r="V65" i="3"/>
  <c r="X65" i="3"/>
  <c r="Z65" i="3"/>
  <c r="AB65" i="3"/>
  <c r="J66" i="3"/>
  <c r="L66" i="3"/>
  <c r="T66" i="3"/>
  <c r="V66" i="3" s="1"/>
  <c r="X66" i="3"/>
  <c r="Z66" i="3"/>
  <c r="AB66" i="3"/>
  <c r="G41" i="3"/>
  <c r="H41" i="3"/>
  <c r="I41" i="3"/>
  <c r="J41" i="3"/>
  <c r="L41" i="3"/>
  <c r="AI41" i="3"/>
  <c r="AJ41" i="3"/>
  <c r="AK41" i="3"/>
  <c r="AL41" i="3"/>
  <c r="J42" i="3"/>
  <c r="L42" i="3"/>
  <c r="T42" i="3"/>
  <c r="V42" i="3"/>
  <c r="X42" i="3"/>
  <c r="Z42" i="3"/>
  <c r="AB42" i="3"/>
  <c r="J43" i="3"/>
  <c r="L43" i="3"/>
  <c r="T43" i="3"/>
  <c r="V43" i="3" s="1"/>
  <c r="J44" i="3"/>
  <c r="L44" i="3"/>
  <c r="T44" i="3"/>
  <c r="Z44" i="3" s="1"/>
  <c r="V44" i="3"/>
  <c r="X44" i="3"/>
  <c r="J45" i="3"/>
  <c r="L45" i="3"/>
  <c r="T45" i="3"/>
  <c r="V45" i="3" s="1"/>
  <c r="J46" i="3"/>
  <c r="L46" i="3"/>
  <c r="T46" i="3"/>
  <c r="X46" i="3" s="1"/>
  <c r="J47" i="3"/>
  <c r="L47" i="3"/>
  <c r="T47" i="3"/>
  <c r="Z47" i="3" s="1"/>
  <c r="J48" i="3"/>
  <c r="L48" i="3"/>
  <c r="T48" i="3"/>
  <c r="V48" i="3" s="1"/>
  <c r="Z48" i="3"/>
  <c r="J49" i="3"/>
  <c r="L49" i="3"/>
  <c r="T49" i="3"/>
  <c r="Z49" i="3" s="1"/>
  <c r="V49" i="3"/>
  <c r="X49" i="3"/>
  <c r="AB49" i="3"/>
  <c r="J50" i="3"/>
  <c r="L50" i="3"/>
  <c r="AB50" i="3" s="1"/>
  <c r="T50" i="3"/>
  <c r="V50" i="3"/>
  <c r="X50" i="3"/>
  <c r="Z50" i="3"/>
  <c r="G24" i="3"/>
  <c r="H24" i="3"/>
  <c r="I24" i="3"/>
  <c r="J24" i="3"/>
  <c r="L24" i="3"/>
  <c r="AI24" i="3"/>
  <c r="AJ24" i="3"/>
  <c r="AK24" i="3"/>
  <c r="AL24" i="3"/>
  <c r="J25" i="3"/>
  <c r="L25" i="3"/>
  <c r="T25" i="3"/>
  <c r="V25" i="3" s="1"/>
  <c r="X25" i="3"/>
  <c r="Z25" i="3"/>
  <c r="AB25" i="3"/>
  <c r="J26" i="3"/>
  <c r="L26" i="3"/>
  <c r="T26" i="3"/>
  <c r="V26" i="3" s="1"/>
  <c r="X26" i="3"/>
  <c r="Z26" i="3"/>
  <c r="J27" i="3"/>
  <c r="L27" i="3"/>
  <c r="AB27" i="3" s="1"/>
  <c r="T27" i="3"/>
  <c r="V27" i="3" s="1"/>
  <c r="J28" i="3"/>
  <c r="L28" i="3"/>
  <c r="T28" i="3"/>
  <c r="V28" i="3" s="1"/>
  <c r="J29" i="3"/>
  <c r="L29" i="3"/>
  <c r="T29" i="3"/>
  <c r="X29" i="3" s="1"/>
  <c r="V29" i="3"/>
  <c r="J30" i="3"/>
  <c r="L30" i="3"/>
  <c r="T30" i="3"/>
  <c r="Z30" i="3" s="1"/>
  <c r="V30" i="3"/>
  <c r="X30" i="3"/>
  <c r="J31" i="3"/>
  <c r="L31" i="3"/>
  <c r="T31" i="3"/>
  <c r="AB31" i="3" s="1"/>
  <c r="V31" i="3"/>
  <c r="X31" i="3"/>
  <c r="Z31" i="3"/>
  <c r="J32" i="3"/>
  <c r="L32" i="3"/>
  <c r="T32" i="3"/>
  <c r="V32" i="3"/>
  <c r="X32" i="3"/>
  <c r="Z32" i="3"/>
  <c r="AB32" i="3"/>
  <c r="J33" i="3"/>
  <c r="L33" i="3"/>
  <c r="T33" i="3"/>
  <c r="V33" i="3"/>
  <c r="X33" i="3"/>
  <c r="Z33" i="3"/>
  <c r="AB33" i="3"/>
  <c r="T9" i="3"/>
  <c r="X9" i="3" s="1"/>
  <c r="T10" i="3"/>
  <c r="X10" i="3" s="1"/>
  <c r="T11" i="3"/>
  <c r="V11" i="3" s="1"/>
  <c r="T12" i="3"/>
  <c r="V12" i="3" s="1"/>
  <c r="X14" i="3"/>
  <c r="X15" i="3"/>
  <c r="Z16" i="3"/>
  <c r="J8" i="3"/>
  <c r="L8" i="3"/>
  <c r="AI8" i="3"/>
  <c r="AJ8" i="3"/>
  <c r="AK8" i="3"/>
  <c r="J9" i="3"/>
  <c r="L9" i="3"/>
  <c r="J10" i="3"/>
  <c r="L10" i="3"/>
  <c r="J11" i="3"/>
  <c r="L11" i="3"/>
  <c r="Z11" i="3"/>
  <c r="J12" i="3"/>
  <c r="L12" i="3"/>
  <c r="J13" i="3"/>
  <c r="L13" i="3"/>
  <c r="X13" i="3"/>
  <c r="V13" i="3"/>
  <c r="J14" i="3"/>
  <c r="L14" i="3"/>
  <c r="J15" i="3"/>
  <c r="L15" i="3"/>
  <c r="AB15" i="3"/>
  <c r="J16" i="3"/>
  <c r="L16" i="3"/>
  <c r="AB16" i="3"/>
  <c r="J17" i="3"/>
  <c r="L17" i="3"/>
  <c r="X17" i="3"/>
  <c r="AB17" i="3"/>
  <c r="O8" i="1"/>
  <c r="O7" i="1"/>
  <c r="U23" i="2"/>
  <c r="U22" i="2"/>
  <c r="U21" i="2"/>
  <c r="U20" i="2"/>
  <c r="U19" i="2"/>
  <c r="S6" i="1" a="1"/>
  <c r="S6" i="1" s="1"/>
  <c r="O11" i="1"/>
  <c r="O10" i="1"/>
  <c r="O9" i="1"/>
  <c r="P8" i="1"/>
  <c r="P9" i="1"/>
  <c r="P10" i="1"/>
  <c r="P11" i="1"/>
  <c r="G5" i="1"/>
  <c r="Z43" i="3" l="1"/>
  <c r="AB43" i="3"/>
  <c r="X43" i="3"/>
  <c r="AB44" i="3"/>
  <c r="X48" i="3"/>
  <c r="X47" i="3"/>
  <c r="AB48" i="3"/>
  <c r="V47" i="3"/>
  <c r="V46" i="3"/>
  <c r="K41" i="3"/>
  <c r="Z27" i="3"/>
  <c r="X27" i="3"/>
  <c r="AB26" i="3"/>
  <c r="K24" i="3"/>
  <c r="X11" i="3"/>
  <c r="AB11" i="3"/>
  <c r="Z10" i="3"/>
  <c r="AB10" i="3"/>
  <c r="V10" i="3"/>
  <c r="K8" i="3"/>
  <c r="N74" i="3"/>
  <c r="S74" i="3" s="1"/>
  <c r="R74" i="3"/>
  <c r="AB77" i="3"/>
  <c r="AB78" i="3"/>
  <c r="Z77" i="3"/>
  <c r="X76" i="3"/>
  <c r="AB79" i="3"/>
  <c r="Z78" i="3"/>
  <c r="AB80" i="3"/>
  <c r="Z79" i="3"/>
  <c r="X78" i="3"/>
  <c r="N57" i="3"/>
  <c r="R57" i="3" s="1"/>
  <c r="AB60" i="3"/>
  <c r="Z59" i="3"/>
  <c r="AB61" i="3"/>
  <c r="X59" i="3"/>
  <c r="AB62" i="3"/>
  <c r="Z61" i="3"/>
  <c r="AB63" i="3"/>
  <c r="Z62" i="3"/>
  <c r="X61" i="3"/>
  <c r="M41" i="3"/>
  <c r="AB45" i="3"/>
  <c r="AB46" i="3"/>
  <c r="Z45" i="3"/>
  <c r="AB47" i="3"/>
  <c r="Z46" i="3"/>
  <c r="X45" i="3"/>
  <c r="AB28" i="3"/>
  <c r="M24" i="3"/>
  <c r="AB29" i="3"/>
  <c r="Z28" i="3"/>
  <c r="AB30" i="3"/>
  <c r="Z29" i="3"/>
  <c r="X28" i="3"/>
  <c r="V16" i="3"/>
  <c r="V14" i="3"/>
  <c r="Z14" i="3"/>
  <c r="X16" i="3"/>
  <c r="Z15" i="3"/>
  <c r="M8" i="3"/>
  <c r="Z9" i="3"/>
  <c r="V17" i="3"/>
  <c r="AB12" i="3"/>
  <c r="V9" i="3"/>
  <c r="AB13" i="3"/>
  <c r="AB9" i="3"/>
  <c r="Z17" i="3"/>
  <c r="V15" i="3"/>
  <c r="Z12" i="3"/>
  <c r="AB14" i="3"/>
  <c r="Z13" i="3"/>
  <c r="X12" i="3"/>
  <c r="O74" i="3" l="1"/>
  <c r="T74" i="3"/>
  <c r="S57" i="3"/>
  <c r="N41" i="3"/>
  <c r="S41" i="3" s="1"/>
  <c r="N24" i="3"/>
  <c r="S24" i="3" s="1"/>
  <c r="N8" i="3"/>
  <c r="S8" i="3" s="1"/>
  <c r="R41" i="3" l="1"/>
  <c r="T24" i="3"/>
  <c r="O24" i="3"/>
  <c r="T8" i="3"/>
  <c r="O8" i="3"/>
  <c r="Q8" i="3" s="1"/>
  <c r="AB74" i="3"/>
  <c r="AC74" i="3" s="1"/>
  <c r="U74" i="3"/>
  <c r="X74" i="3"/>
  <c r="Y74" i="3" s="1"/>
  <c r="V74" i="3"/>
  <c r="W74" i="3" s="1"/>
  <c r="Z74" i="3"/>
  <c r="AA74" i="3" s="1"/>
  <c r="P74" i="3"/>
  <c r="Q74" i="3"/>
  <c r="T57" i="3"/>
  <c r="O41" i="3"/>
  <c r="T41" i="3"/>
  <c r="R24" i="3"/>
  <c r="R8" i="3"/>
  <c r="P8" i="3" l="1"/>
  <c r="Z8" i="3"/>
  <c r="AA8" i="3" s="1"/>
  <c r="AB8" i="3"/>
  <c r="AC8" i="3" s="1"/>
  <c r="U8" i="3"/>
  <c r="X8" i="3"/>
  <c r="Y8" i="3" s="1"/>
  <c r="V8" i="3"/>
  <c r="W8" i="3" s="1"/>
  <c r="AF74" i="3"/>
  <c r="AE74" i="3" s="1"/>
  <c r="AD74" i="3"/>
  <c r="AG74" i="3"/>
  <c r="X57" i="3"/>
  <c r="Y57" i="3" s="1"/>
  <c r="U57" i="3"/>
  <c r="V57" i="3"/>
  <c r="W57" i="3" s="1"/>
  <c r="Z57" i="3"/>
  <c r="AA57" i="3" s="1"/>
  <c r="AB57" i="3"/>
  <c r="AC57" i="3" s="1"/>
  <c r="P57" i="3"/>
  <c r="Q57" i="3"/>
  <c r="X41" i="3"/>
  <c r="Y41" i="3" s="1"/>
  <c r="U41" i="3"/>
  <c r="Z41" i="3"/>
  <c r="AA41" i="3" s="1"/>
  <c r="AB41" i="3"/>
  <c r="AC41" i="3" s="1"/>
  <c r="V41" i="3"/>
  <c r="W41" i="3" s="1"/>
  <c r="P41" i="3"/>
  <c r="Q41" i="3"/>
  <c r="U24" i="3"/>
  <c r="X24" i="3"/>
  <c r="Y24" i="3" s="1"/>
  <c r="AB24" i="3"/>
  <c r="AC24" i="3" s="1"/>
  <c r="V24" i="3"/>
  <c r="W24" i="3" s="1"/>
  <c r="Z24" i="3"/>
  <c r="AA24" i="3" s="1"/>
  <c r="P24" i="3"/>
  <c r="Q24" i="3"/>
  <c r="AF8" i="3" l="1"/>
  <c r="AG8" i="3" s="1"/>
  <c r="AH74" i="3"/>
  <c r="AF57" i="3"/>
  <c r="AG57" i="3" s="1"/>
  <c r="AH57" i="3"/>
  <c r="AF41" i="3"/>
  <c r="AG41" i="3" s="1"/>
  <c r="AF24" i="3"/>
  <c r="AG24" i="3" s="1"/>
  <c r="AD8" i="3" l="1"/>
  <c r="AE8" i="3"/>
  <c r="AH8" i="3"/>
  <c r="AE57" i="3"/>
  <c r="AD57" i="3"/>
  <c r="AH41" i="3"/>
  <c r="AD41" i="3"/>
  <c r="AE41" i="3"/>
  <c r="AH24" i="3"/>
  <c r="AE24" i="3"/>
  <c r="AD2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tc={08234B04-197C-F440-8507-021B6BC976BD}</author>
  </authors>
  <commentList>
    <comment ref="G27" authorId="0" shapeId="0" xr:uid="{08234B04-197C-F440-8507-021B6BC976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Inclús podem posar 0,05 perque balla molt
Respuesta:
    0,05 ***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<sst xmlns="http://schemas.openxmlformats.org/spreadsheetml/2006/main" count="310" uniqueCount="76">
  <si>
    <t>Constant de Planck</t>
  </si>
  <si>
    <t>Filtre groc</t>
  </si>
  <si>
    <t>Filtre verd</t>
  </si>
  <si>
    <t>Taula de freqüències</t>
  </si>
  <si>
    <t>Color</t>
  </si>
  <si>
    <t>Verd</t>
  </si>
  <si>
    <t>Blau</t>
  </si>
  <si>
    <t>Groc</t>
  </si>
  <si>
    <t>Violeta 1</t>
  </si>
  <si>
    <t>Violeta 2</t>
  </si>
  <si>
    <t>Hz (10^14)</t>
  </si>
  <si>
    <t>V (v)</t>
  </si>
  <si>
    <t>e (C)</t>
  </si>
  <si>
    <t>h</t>
  </si>
  <si>
    <t>phi_0</t>
  </si>
  <si>
    <t>Filtres de transmissió variable</t>
  </si>
  <si>
    <t>Filtre</t>
  </si>
  <si>
    <t>entre 1,6 mm i 0,6 mm …</t>
  </si>
  <si>
    <t xml:space="preserve">Repetir! No sé si per un color en concret </t>
  </si>
  <si>
    <t>Quan V = 0</t>
  </si>
  <si>
    <t>hv/e = phi</t>
  </si>
  <si>
    <t>V = h/e * v - phi_0</t>
  </si>
  <si>
    <t>casi casi 0,01 v pq ballen molt es dos darrers</t>
  </si>
  <si>
    <t>0,001 v</t>
  </si>
  <si>
    <t>0,0005 v</t>
  </si>
  <si>
    <t>0,005 v</t>
  </si>
  <si>
    <t>devora es blau</t>
  </si>
  <si>
    <t>1r</t>
  </si>
  <si>
    <t>2n</t>
  </si>
  <si>
    <t>enfora es blau</t>
  </si>
  <si>
    <t>Filtre + verd</t>
  </si>
  <si>
    <t>Filtre + groc</t>
  </si>
  <si>
    <t>fer promig ò triar un…</t>
  </si>
  <si>
    <t>Taula ajust</t>
  </si>
  <si>
    <t>Voltatge</t>
  </si>
  <si>
    <t>v/e</t>
  </si>
  <si>
    <t>AMB FILTRES GROC I VERD</t>
  </si>
  <si>
    <t>R^2</t>
  </si>
  <si>
    <t>Y = BX + A</t>
  </si>
  <si>
    <t>B</t>
  </si>
  <si>
    <t>DB</t>
  </si>
  <si>
    <t>DA</t>
  </si>
  <si>
    <t>A</t>
  </si>
  <si>
    <t>V (±0,001v)</t>
  </si>
  <si>
    <t>d (±0,20 mm)</t>
  </si>
  <si>
    <t>V (±0,01v)</t>
  </si>
  <si>
    <t>Sin pesos</t>
  </si>
  <si>
    <t>Con peos</t>
  </si>
  <si>
    <t>x</t>
  </si>
  <si>
    <t>y</t>
  </si>
  <si>
    <t>Incertidumbre de x</t>
  </si>
  <si>
    <t>Incertidumbre de y</t>
  </si>
  <si>
    <t>Sn</t>
  </si>
  <si>
    <t>Sx</t>
  </si>
  <si>
    <t>Sy</t>
  </si>
  <si>
    <t>xy</t>
  </si>
  <si>
    <t>Sxy</t>
  </si>
  <si>
    <r>
      <t>X</t>
    </r>
    <r>
      <rPr>
        <vertAlign val="superscript"/>
        <sz val="11"/>
        <color theme="1"/>
        <rFont val="Calibri"/>
        <family val="2"/>
        <scheme val="minor"/>
      </rPr>
      <t>2</t>
    </r>
  </si>
  <si>
    <r>
      <t>Sx</t>
    </r>
    <r>
      <rPr>
        <vertAlign val="superscript"/>
        <sz val="11"/>
        <color theme="1"/>
        <rFont val="Calibri"/>
        <family val="2"/>
        <scheme val="minor"/>
      </rPr>
      <t>2</t>
    </r>
  </si>
  <si>
    <t>Δ</t>
  </si>
  <si>
    <r>
      <t>σ</t>
    </r>
    <r>
      <rPr>
        <vertAlign val="subscript"/>
        <sz val="11"/>
        <rFont val="Calibri"/>
        <family val="2"/>
      </rPr>
      <t>y (equivalente)</t>
    </r>
  </si>
  <si>
    <r>
      <t>σ</t>
    </r>
    <r>
      <rPr>
        <vertAlign val="subscript"/>
        <sz val="11"/>
        <rFont val="Calibri"/>
        <family val="2"/>
      </rPr>
      <t>A</t>
    </r>
  </si>
  <si>
    <r>
      <t>σ</t>
    </r>
    <r>
      <rPr>
        <vertAlign val="subscript"/>
        <sz val="11"/>
        <rFont val="Calibri"/>
        <family val="2"/>
      </rPr>
      <t>B</t>
    </r>
  </si>
  <si>
    <t>W</t>
  </si>
  <si>
    <t>wx</t>
  </si>
  <si>
    <t>wy</t>
  </si>
  <si>
    <t>wxy</t>
  </si>
  <si>
    <t>wx2</t>
  </si>
  <si>
    <t>Sx2</t>
  </si>
  <si>
    <r>
      <t>σ</t>
    </r>
    <r>
      <rPr>
        <vertAlign val="subscript"/>
        <sz val="11"/>
        <color theme="0"/>
        <rFont val="Calibri"/>
        <family val="2"/>
      </rPr>
      <t>A</t>
    </r>
  </si>
  <si>
    <r>
      <t>σ</t>
    </r>
    <r>
      <rPr>
        <vertAlign val="subscript"/>
        <sz val="11"/>
        <color theme="0"/>
        <rFont val="Calibri"/>
        <family val="2"/>
      </rPr>
      <t>B</t>
    </r>
  </si>
  <si>
    <r>
      <t>σ</t>
    </r>
    <r>
      <rPr>
        <vertAlign val="subscript"/>
        <sz val="11"/>
        <color theme="1"/>
        <rFont val="Calibri"/>
        <family val="2"/>
        <scheme val="minor"/>
      </rPr>
      <t>x</t>
    </r>
  </si>
  <si>
    <r>
      <t>σ</t>
    </r>
    <r>
      <rPr>
        <vertAlign val="subscript"/>
        <sz val="11"/>
        <color theme="1"/>
        <rFont val="Calibri"/>
        <family val="2"/>
        <scheme val="minor"/>
      </rPr>
      <t>y</t>
    </r>
  </si>
  <si>
    <r>
      <t>σ</t>
    </r>
    <r>
      <rPr>
        <vertAlign val="subscript"/>
        <sz val="11"/>
        <color theme="1"/>
        <rFont val="Calibri"/>
        <family val="2"/>
        <scheme val="minor"/>
      </rPr>
      <t>xy</t>
    </r>
  </si>
  <si>
    <t>R</t>
  </si>
  <si>
    <t>MILLOR A HOJA1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</si>
</sst>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>
    <font>
      <sz val="12"/>
      <color theme="1"/>
      <name val="Calibri"/>
      <family val="2"/>
      <scheme val="minor"/>
    </font>
    <font>
      <sz val="10"/>
      <color theme="1"/>
      <name val="TimesNewRomanPSMT"/>
    </font>
    <font>
      <sz val="12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11"/>
      <color theme="0"/>
      <name val="Calibri"/>
      <family val="2"/>
    </font>
    <font>
      <vertAlign val="superscript"/>
      <sz val="11"/>
      <color theme="1"/>
      <name val="Calibri"/>
      <family val="2"/>
      <scheme val="minor"/>
    </font>
    <font>
      <vertAlign val="subscript"/>
      <sz val="11"/>
      <name val="Calibri"/>
      <family val="2"/>
    </font>
    <font>
      <vertAlign val="subscript"/>
      <sz val="11"/>
      <color theme="0"/>
      <name val="Calibri"/>
      <family val="2"/>
    </font>
    <font>
      <vertAlign val="subscript"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E3B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3" borderId="0" xfId="0" applyFill="1"/>
    <xf numFmtId="0" fontId="0" fillId="2" borderId="0" xfId="0" applyFill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9" fontId="0" fillId="0" borderId="0" xfId="0" applyNumberFormat="1"/>
    <xf numFmtId="9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7" borderId="1" xfId="0" applyFill="1" applyBorder="1" applyAlignment="1">
      <alignment horizontal="center"/>
    </xf>
    <xf numFmtId="9" fontId="0" fillId="7" borderId="1" xfId="0" applyNumberForma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8" borderId="0" xfId="0" applyFill="1"/>
    <xf numFmtId="0" fontId="0" fillId="0" borderId="0" xfId="0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2" fontId="0" fillId="11" borderId="19" xfId="0" applyNumberFormat="1" applyFill="1" applyBorder="1" applyAlignment="1">
      <alignment horizontal="center" vertical="center"/>
    </xf>
    <xf numFmtId="164" fontId="0" fillId="11" borderId="19" xfId="0" applyNumberFormat="1" applyFill="1" applyBorder="1" applyAlignment="1">
      <alignment horizontal="center" vertical="center"/>
    </xf>
    <xf numFmtId="0" fontId="0" fillId="11" borderId="19" xfId="0" applyFill="1" applyBorder="1" applyAlignment="1">
      <alignment horizontal="center" vertical="center"/>
    </xf>
    <xf numFmtId="0" fontId="0" fillId="11" borderId="20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2" fontId="0" fillId="11" borderId="20" xfId="0" applyNumberFormat="1" applyFill="1" applyBorder="1" applyAlignment="1">
      <alignment horizontal="center" vertical="center"/>
    </xf>
    <xf numFmtId="164" fontId="0" fillId="11" borderId="20" xfId="0" applyNumberFormat="1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2" fontId="0" fillId="11" borderId="21" xfId="0" applyNumberFormat="1" applyFill="1" applyBorder="1" applyAlignment="1">
      <alignment horizontal="center" vertical="center"/>
    </xf>
    <xf numFmtId="164" fontId="0" fillId="11" borderId="21" xfId="0" applyNumberFormat="1" applyFill="1" applyBorder="1" applyAlignment="1">
      <alignment horizontal="center" vertical="center"/>
    </xf>
    <xf numFmtId="0" fontId="0" fillId="11" borderId="21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19" xfId="0" applyFill="1" applyBorder="1" applyAlignment="1">
      <alignment horizontal="center" vertical="center"/>
    </xf>
    <xf numFmtId="0" fontId="0" fillId="11" borderId="20" xfId="0" applyFill="1" applyBorder="1" applyAlignment="1">
      <alignment horizontal="center" vertical="center"/>
    </xf>
    <xf numFmtId="0" fontId="0" fillId="11" borderId="21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3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 Vs. v/e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9.9999999999999995E+32"/>
            <c:backward val="1.4999999999999999E+33"/>
            <c:dispRSqr val="1"/>
            <c:dispEq val="1"/>
            <c:trendlineLbl>
              <c:layout>
                <c:manualLayout>
                  <c:x val="-9.8137357830271221E-2"/>
                  <c:y val="0.379212962962962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'Constant de Planck'!$P$7:$P$11</c:f>
              <c:numCache>
                <c:formatCode>General</c:formatCode>
                <c:ptCount val="5"/>
                <c:pt idx="0">
                  <c:v>3.2412499999999994E+33</c:v>
                </c:pt>
                <c:pt idx="1">
                  <c:v>3.7124999999999998E+33</c:v>
                </c:pt>
                <c:pt idx="2">
                  <c:v>4.2987499999999997E+33</c:v>
                </c:pt>
                <c:pt idx="3">
                  <c:v>4.6299999999999995E+33</c:v>
                </c:pt>
                <c:pt idx="4">
                  <c:v>5.1262499999999998E+33</c:v>
                </c:pt>
              </c:numCache>
            </c:numRef>
          </c:xVal>
          <c:yVal>
            <c:numRef>
              <c:f>'Constant de Planck'!$O$7:$O$11</c:f>
              <c:numCache>
                <c:formatCode>General</c:formatCode>
                <c:ptCount val="5"/>
                <c:pt idx="0">
                  <c:v>0.78323333333333334</c:v>
                </c:pt>
                <c:pt idx="1">
                  <c:v>0.90450000000000008</c:v>
                </c:pt>
                <c:pt idx="2">
                  <c:v>1.5067000000000002</c:v>
                </c:pt>
                <c:pt idx="3">
                  <c:v>1.6995333333333331</c:v>
                </c:pt>
                <c:pt idx="4">
                  <c:v>1.9395999999999998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C3-094D-B85E-6831BEF71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295200"/>
        <c:axId val="1509249296"/>
      </c:scatterChart>
      <c:valAx>
        <c:axId val="1470295200"/>
        <c:scaling>
          <c:orientation val="minMax"/>
          <c:max val="5.9999999999999997E+33"/>
          <c:min val="1.9999999999999999E+3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09249296"/>
        <c:crosses val="autoZero"/>
        <c:crossBetween val="midCat"/>
        <c:majorUnit val="9.9999999999999995E+32"/>
      </c:valAx>
      <c:valAx>
        <c:axId val="1509249296"/>
        <c:scaling>
          <c:orientation val="minMax"/>
          <c:max val="2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7029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317500</xdr:colOff>
      <xdr:row>10</xdr:row>
      <xdr:rowOff>82550</xdr:rowOff>
    </xdr:from>
    <xdr:to>
      <xdr:col>21</xdr:col>
      <xdr:colOff>660400</xdr:colOff>
      <xdr:row>23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A2B374-ED73-BA66-9BA5-4192B15D8A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an Ribot Oliver" id="{AA7987D5-30CD-3A44-B4B9-D5D74B05B9C4}" userId="S::jro754@id.uib.eu::d6ffbf2a-980c-4cf7-a9cb-3f49d0b22768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7" dT="2023-05-19T06:48:34.10" personId="{AA7987D5-30CD-3A44-B4B9-D5D74B05B9C4}" id="{08234B04-197C-F440-8507-021B6BC976BD}">
    <text xml:space="preserve">Inclús podem posar 0,05 perque balla molt
</text>
  </threadedComment>
  <threadedComment ref="G27" dT="2023-05-19T06:58:56.72" personId="{AA7987D5-30CD-3A44-B4B9-D5D74B05B9C4}" id="{0ED0767D-598D-004E-BD2A-FAEB7E85CEB9}" parentId="{08234B04-197C-F440-8507-021B6BC976BD}">
    <text>0,05 ***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67BD-6FDB-034B-AB39-34C125BF39AD}">
  <dimension ref="B4:U34"/>
  <sheetViews>
    <sheetView topLeftCell="B1" workbookViewId="0">
      <selection activeCell="O18" sqref="O18"/>
    </sheetView>
  </sheetViews>
  <sheetFormatPr baseColWidth="10" defaultRowHeight="16"/>
  <cols>
    <col min="15" max="16" width="12.1640625" bestFit="1" customWidth="1"/>
    <col min="19" max="19" width="12.1640625" bestFit="1" customWidth="1"/>
  </cols>
  <sheetData>
    <row r="4" spans="3:21">
      <c r="C4" t="s">
        <v>0</v>
      </c>
      <c r="G4" s="2" t="s">
        <v>12</v>
      </c>
      <c r="N4" t="s">
        <v>33</v>
      </c>
      <c r="O4" t="s">
        <v>36</v>
      </c>
      <c r="R4" t="s">
        <v>38</v>
      </c>
      <c r="S4" t="s">
        <v>75</v>
      </c>
    </row>
    <row r="5" spans="3:21" ht="17" thickBot="1">
      <c r="G5" s="2">
        <f>1.6*10^-19</f>
        <v>1.6000000000000002E-19</v>
      </c>
    </row>
    <row r="6" spans="3:21" ht="17" thickBot="1">
      <c r="M6" s="37" t="s">
        <v>4</v>
      </c>
      <c r="N6" s="38" t="s">
        <v>10</v>
      </c>
      <c r="O6" s="38" t="s">
        <v>34</v>
      </c>
      <c r="P6" s="39" t="s">
        <v>35</v>
      </c>
      <c r="R6" s="3" t="s">
        <v>39</v>
      </c>
      <c r="S6" s="3" cm="1">
        <f t="array" ref="S6:T10">LINEST(O7:O11,P7:P11,1,1)</f>
        <v>6.6637590958238806E-34</v>
      </c>
      <c r="T6" s="3">
        <v>-1.433231644754466</v>
      </c>
      <c r="U6" s="3" t="s">
        <v>42</v>
      </c>
    </row>
    <row r="7" spans="3:21">
      <c r="C7" t="s">
        <v>3</v>
      </c>
      <c r="M7" s="33" t="s">
        <v>7</v>
      </c>
      <c r="N7" s="34">
        <v>5.1859999999999999</v>
      </c>
      <c r="O7" s="34">
        <f>AVERAGE(G11:G13)</f>
        <v>0.78323333333333334</v>
      </c>
      <c r="P7" s="35">
        <f>N7*10^14/$G$5</f>
        <v>3.2412499999999994E+33</v>
      </c>
      <c r="R7" s="3" t="s">
        <v>40</v>
      </c>
      <c r="S7" s="3">
        <v>6.8981821869276568E-35</v>
      </c>
      <c r="T7" s="3">
        <v>0.29344926768051843</v>
      </c>
      <c r="U7" s="3" t="s">
        <v>41</v>
      </c>
    </row>
    <row r="8" spans="3:21" ht="17" thickBot="1">
      <c r="G8" s="6" t="s">
        <v>1</v>
      </c>
      <c r="M8" s="12" t="s">
        <v>5</v>
      </c>
      <c r="N8" s="30">
        <v>5.94</v>
      </c>
      <c r="O8" s="30">
        <f>AVERAGE(G22:G24)</f>
        <v>0.90450000000000008</v>
      </c>
      <c r="P8" s="13">
        <f t="shared" ref="P8:P11" si="0">N8*10^14/$G$5</f>
        <v>3.7124999999999998E+33</v>
      </c>
      <c r="R8" s="3" t="s">
        <v>37</v>
      </c>
      <c r="S8" s="3">
        <v>0.96885344024528286</v>
      </c>
      <c r="T8" s="40">
        <v>0.10253569765678829</v>
      </c>
    </row>
    <row r="9" spans="3:21">
      <c r="C9" s="8" t="s">
        <v>4</v>
      </c>
      <c r="D9" s="9" t="s">
        <v>10</v>
      </c>
      <c r="M9" s="14" t="s">
        <v>6</v>
      </c>
      <c r="N9" s="31">
        <v>6.8780000000000001</v>
      </c>
      <c r="O9" s="31">
        <f>AVERAGE(K32:K34)</f>
        <v>1.5067000000000002</v>
      </c>
      <c r="P9" s="15">
        <f t="shared" si="0"/>
        <v>4.2987499999999997E+33</v>
      </c>
      <c r="S9" s="40">
        <v>93.318823768189858</v>
      </c>
      <c r="T9" s="40">
        <v>3</v>
      </c>
    </row>
    <row r="10" spans="3:21">
      <c r="C10" s="10" t="s">
        <v>7</v>
      </c>
      <c r="D10" s="11">
        <v>5.1859999999999999</v>
      </c>
      <c r="F10" t="s">
        <v>24</v>
      </c>
      <c r="G10" s="2" t="s">
        <v>11</v>
      </c>
      <c r="I10" s="2" t="s">
        <v>13</v>
      </c>
      <c r="J10" s="2" t="s">
        <v>14</v>
      </c>
      <c r="L10" s="3"/>
      <c r="M10" s="16" t="s">
        <v>8</v>
      </c>
      <c r="N10" s="32">
        <v>7.4080000000000004</v>
      </c>
      <c r="O10" s="32">
        <f>AVERAGE(O32:O34)</f>
        <v>1.6995333333333331</v>
      </c>
      <c r="P10" s="17">
        <f t="shared" si="0"/>
        <v>4.6299999999999995E+33</v>
      </c>
      <c r="S10" s="40">
        <v>0.98111392011810661</v>
      </c>
      <c r="T10" s="40">
        <v>3.1540707881892893E-2</v>
      </c>
    </row>
    <row r="11" spans="3:21" ht="17" thickBot="1">
      <c r="C11" s="12" t="s">
        <v>5</v>
      </c>
      <c r="D11" s="13">
        <v>5.94</v>
      </c>
      <c r="G11" s="2">
        <v>0.78280000000000005</v>
      </c>
      <c r="L11" s="3"/>
      <c r="M11" s="18" t="s">
        <v>9</v>
      </c>
      <c r="N11" s="36">
        <v>8.202</v>
      </c>
      <c r="O11" s="36">
        <f>AVERAGE(S32:S34)</f>
        <v>1.9395999999999998</v>
      </c>
      <c r="P11" s="19">
        <f t="shared" si="0"/>
        <v>5.1262499999999998E+33</v>
      </c>
    </row>
    <row r="12" spans="3:21">
      <c r="C12" s="14" t="s">
        <v>6</v>
      </c>
      <c r="D12" s="15">
        <v>6.8780000000000001</v>
      </c>
      <c r="G12" s="2">
        <v>0.78349999999999997</v>
      </c>
      <c r="L12" s="3"/>
      <c r="M12" s="3"/>
      <c r="N12" s="3"/>
      <c r="O12" s="3"/>
      <c r="P12" s="3"/>
    </row>
    <row r="13" spans="3:21">
      <c r="C13" s="16" t="s">
        <v>8</v>
      </c>
      <c r="D13" s="17">
        <v>7.4080000000000004</v>
      </c>
      <c r="G13" s="23">
        <v>0.78339999999999999</v>
      </c>
      <c r="L13" s="3"/>
    </row>
    <row r="14" spans="3:21" ht="17" thickBot="1">
      <c r="C14" s="18" t="s">
        <v>9</v>
      </c>
      <c r="D14" s="19">
        <v>8.202</v>
      </c>
      <c r="G14" s="24"/>
      <c r="L14" s="3"/>
    </row>
    <row r="18" spans="2:20">
      <c r="C18" t="s">
        <v>21</v>
      </c>
    </row>
    <row r="19" spans="2:20">
      <c r="G19" s="7" t="s">
        <v>2</v>
      </c>
    </row>
    <row r="21" spans="2:20">
      <c r="F21" t="s">
        <v>24</v>
      </c>
      <c r="G21" s="4" t="s">
        <v>11</v>
      </c>
      <c r="I21" s="2" t="s">
        <v>13</v>
      </c>
      <c r="J21" s="2" t="s">
        <v>14</v>
      </c>
      <c r="L21" s="22"/>
      <c r="N21" s="3"/>
      <c r="O21" s="3"/>
    </row>
    <row r="22" spans="2:20">
      <c r="C22" t="s">
        <v>19</v>
      </c>
      <c r="G22" s="5">
        <v>0.90400000000000003</v>
      </c>
      <c r="L22" s="22"/>
    </row>
    <row r="23" spans="2:20">
      <c r="F23" s="1"/>
      <c r="G23" s="5">
        <v>0.90480000000000005</v>
      </c>
      <c r="L23" s="22"/>
    </row>
    <row r="24" spans="2:20">
      <c r="C24" t="s">
        <v>20</v>
      </c>
      <c r="G24" s="4">
        <v>0.90469999999999995</v>
      </c>
      <c r="L24" s="22"/>
    </row>
    <row r="25" spans="2:20">
      <c r="G25" s="22"/>
      <c r="L25" s="22"/>
      <c r="O25" t="s">
        <v>27</v>
      </c>
      <c r="S25" t="s">
        <v>28</v>
      </c>
    </row>
    <row r="27" spans="2:20">
      <c r="G27" t="s">
        <v>22</v>
      </c>
      <c r="O27" t="s">
        <v>26</v>
      </c>
      <c r="S27" t="s">
        <v>29</v>
      </c>
    </row>
    <row r="29" spans="2:20">
      <c r="C29" s="6" t="s">
        <v>7</v>
      </c>
      <c r="D29" s="6"/>
      <c r="G29" s="68" t="s">
        <v>5</v>
      </c>
      <c r="H29" s="68"/>
      <c r="K29" s="69" t="s">
        <v>6</v>
      </c>
      <c r="L29" s="69"/>
      <c r="O29" s="70" t="s">
        <v>8</v>
      </c>
      <c r="P29" s="70"/>
      <c r="S29" s="67" t="s">
        <v>9</v>
      </c>
      <c r="T29" s="67"/>
    </row>
    <row r="31" spans="2:20">
      <c r="C31" s="2" t="s">
        <v>11</v>
      </c>
      <c r="D31" s="26"/>
      <c r="G31" s="25" t="s">
        <v>11</v>
      </c>
      <c r="H31" s="26"/>
      <c r="K31" s="2" t="s">
        <v>11</v>
      </c>
      <c r="L31" s="2"/>
      <c r="O31" s="2" t="s">
        <v>11</v>
      </c>
      <c r="P31" s="2"/>
      <c r="S31" s="2" t="s">
        <v>11</v>
      </c>
      <c r="T31" s="2"/>
    </row>
    <row r="32" spans="2:20">
      <c r="B32" t="s">
        <v>25</v>
      </c>
      <c r="C32" s="2">
        <v>1.2709999999999999</v>
      </c>
      <c r="F32" t="s">
        <v>25</v>
      </c>
      <c r="G32" s="2">
        <v>1.1619999999999999</v>
      </c>
      <c r="J32" t="s">
        <v>24</v>
      </c>
      <c r="K32" s="2">
        <v>1.5065</v>
      </c>
      <c r="N32" t="s">
        <v>24</v>
      </c>
      <c r="O32" s="2">
        <v>1.6997</v>
      </c>
      <c r="R32" t="s">
        <v>24</v>
      </c>
      <c r="S32" s="2">
        <v>1.9395</v>
      </c>
    </row>
    <row r="33" spans="3:19">
      <c r="C33" s="2">
        <v>1.2729999999999999</v>
      </c>
      <c r="G33" s="2">
        <v>1.1619999999999999</v>
      </c>
      <c r="K33" s="2">
        <v>1.5065</v>
      </c>
      <c r="O33" s="2">
        <v>1.6994</v>
      </c>
      <c r="S33" s="2">
        <v>1.9397</v>
      </c>
    </row>
    <row r="34" spans="3:19">
      <c r="C34" s="2">
        <v>1.272</v>
      </c>
      <c r="G34" s="2">
        <v>1.1619999999999999</v>
      </c>
      <c r="K34" s="2">
        <v>1.5071000000000001</v>
      </c>
      <c r="O34" s="2">
        <v>1.6995</v>
      </c>
      <c r="S34" s="2">
        <v>1.9396</v>
      </c>
    </row>
  </sheetData>
  <mergeCells count="4">
    <mergeCell ref="S29:T29"/>
    <mergeCell ref="G29:H29"/>
    <mergeCell ref="K29:L29"/>
    <mergeCell ref="O29:P29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E5C7C-A01E-FB4F-8B11-6C9EC3C2952B}">
  <dimension ref="A4:V46"/>
  <sheetViews>
    <sheetView workbookViewId="0">
      <selection activeCell="A41" sqref="A41"/>
    </sheetView>
  </sheetViews>
  <sheetFormatPr baseColWidth="10" defaultRowHeight="16"/>
  <sheetData>
    <row r="4" spans="2:18">
      <c r="B4" t="s">
        <v>3</v>
      </c>
      <c r="E4" t="s">
        <v>15</v>
      </c>
    </row>
    <row r="5" spans="2:18" ht="17" thickBot="1"/>
    <row r="6" spans="2:18">
      <c r="B6" s="8" t="s">
        <v>4</v>
      </c>
      <c r="C6" s="9" t="s">
        <v>10</v>
      </c>
      <c r="E6" s="20">
        <v>0.2</v>
      </c>
    </row>
    <row r="7" spans="2:18">
      <c r="B7" s="10" t="s">
        <v>7</v>
      </c>
      <c r="C7" s="11">
        <v>5.1859999999999999</v>
      </c>
      <c r="E7" s="20">
        <v>0.4</v>
      </c>
    </row>
    <row r="8" spans="2:18">
      <c r="B8" s="12" t="s">
        <v>5</v>
      </c>
      <c r="C8" s="13">
        <v>5.94</v>
      </c>
      <c r="E8" s="20">
        <v>0.6</v>
      </c>
    </row>
    <row r="9" spans="2:18">
      <c r="B9" s="14" t="s">
        <v>6</v>
      </c>
      <c r="C9" s="15">
        <v>6.8780000000000001</v>
      </c>
      <c r="E9" s="20">
        <v>0.8</v>
      </c>
    </row>
    <row r="10" spans="2:18">
      <c r="B10" s="16" t="s">
        <v>8</v>
      </c>
      <c r="C10" s="17">
        <v>7.4080000000000004</v>
      </c>
      <c r="E10" s="20">
        <v>1</v>
      </c>
    </row>
    <row r="11" spans="2:18" ht="17" thickBot="1">
      <c r="B11" s="18" t="s">
        <v>9</v>
      </c>
      <c r="C11" s="19">
        <v>8.202</v>
      </c>
    </row>
    <row r="14" spans="2:18">
      <c r="R14" t="s">
        <v>32</v>
      </c>
    </row>
    <row r="16" spans="2:18" ht="17" thickBot="1"/>
    <row r="17" spans="1:22" ht="17" thickBot="1">
      <c r="B17" s="73" t="s">
        <v>7</v>
      </c>
      <c r="C17" s="74"/>
      <c r="F17" s="75" t="s">
        <v>5</v>
      </c>
      <c r="G17" s="76"/>
      <c r="J17" s="77" t="s">
        <v>6</v>
      </c>
      <c r="K17" s="78"/>
      <c r="N17" s="79" t="s">
        <v>8</v>
      </c>
      <c r="O17" s="80"/>
      <c r="R17" s="71" t="s">
        <v>9</v>
      </c>
      <c r="S17" s="72"/>
      <c r="U17" s="71" t="s">
        <v>9</v>
      </c>
      <c r="V17" s="72"/>
    </row>
    <row r="18" spans="1:22">
      <c r="B18" s="27" t="s">
        <v>43</v>
      </c>
      <c r="C18" s="27" t="s">
        <v>31</v>
      </c>
      <c r="F18" s="27" t="s">
        <v>43</v>
      </c>
      <c r="G18" s="27" t="s">
        <v>30</v>
      </c>
      <c r="J18" s="27" t="s">
        <v>43</v>
      </c>
      <c r="K18" s="27" t="s">
        <v>16</v>
      </c>
      <c r="N18" s="27" t="s">
        <v>43</v>
      </c>
      <c r="O18" s="27" t="s">
        <v>16</v>
      </c>
      <c r="R18" s="27" t="s">
        <v>43</v>
      </c>
      <c r="S18" s="27" t="s">
        <v>16</v>
      </c>
      <c r="U18" s="27" t="s">
        <v>43</v>
      </c>
      <c r="V18" s="27" t="s">
        <v>16</v>
      </c>
    </row>
    <row r="19" spans="1:22">
      <c r="A19" t="s">
        <v>23</v>
      </c>
      <c r="B19" s="2">
        <v>0.76600000000000001</v>
      </c>
      <c r="C19" s="21">
        <v>0.2</v>
      </c>
      <c r="E19" t="s">
        <v>23</v>
      </c>
      <c r="F19" s="2">
        <v>0.879</v>
      </c>
      <c r="G19" s="21">
        <v>0.2</v>
      </c>
      <c r="I19" t="s">
        <v>23</v>
      </c>
      <c r="J19" s="2">
        <v>1.468</v>
      </c>
      <c r="K19" s="21">
        <v>0.2</v>
      </c>
      <c r="M19" t="s">
        <v>23</v>
      </c>
      <c r="N19" s="2">
        <v>1.6419999999999999</v>
      </c>
      <c r="O19" s="21">
        <v>0.2</v>
      </c>
      <c r="Q19" t="s">
        <v>23</v>
      </c>
      <c r="R19" s="2">
        <v>1.849</v>
      </c>
      <c r="S19" s="21">
        <v>0.2</v>
      </c>
      <c r="U19" s="2">
        <f>AVERAGE(R19:R20)</f>
        <v>1.8519999999999999</v>
      </c>
      <c r="V19" s="21">
        <v>0.2</v>
      </c>
    </row>
    <row r="20" spans="1:22">
      <c r="B20" s="27">
        <v>0.77600000000000002</v>
      </c>
      <c r="C20" s="28">
        <v>0.4</v>
      </c>
      <c r="F20" s="27">
        <v>0.88900000000000001</v>
      </c>
      <c r="G20" s="28">
        <v>0.4</v>
      </c>
      <c r="J20" s="27">
        <v>1.482</v>
      </c>
      <c r="K20" s="28">
        <v>0.4</v>
      </c>
      <c r="N20" s="27">
        <v>1.665</v>
      </c>
      <c r="O20" s="28">
        <v>0.4</v>
      </c>
      <c r="R20" s="2">
        <v>1.855</v>
      </c>
      <c r="S20" s="21">
        <v>0.2</v>
      </c>
      <c r="U20" s="27">
        <f>AVERAGE(R21:R22)</f>
        <v>1.879</v>
      </c>
      <c r="V20" s="28">
        <v>0.4</v>
      </c>
    </row>
    <row r="21" spans="1:22">
      <c r="B21" s="2">
        <v>0.78100000000000003</v>
      </c>
      <c r="C21" s="21">
        <v>0.6</v>
      </c>
      <c r="F21" s="2">
        <v>0.89300000000000002</v>
      </c>
      <c r="G21" s="21">
        <v>0.6</v>
      </c>
      <c r="J21" s="2">
        <v>1.486</v>
      </c>
      <c r="K21" s="21">
        <v>0.6</v>
      </c>
      <c r="N21" s="2">
        <v>1.6719999999999999</v>
      </c>
      <c r="O21" s="21">
        <v>0.6</v>
      </c>
      <c r="R21" s="27">
        <v>1.879</v>
      </c>
      <c r="S21" s="28">
        <v>0.4</v>
      </c>
      <c r="U21" s="2">
        <f>AVERAGE(R23:R24)</f>
        <v>1.8885000000000001</v>
      </c>
      <c r="V21" s="21">
        <v>0.6</v>
      </c>
    </row>
    <row r="22" spans="1:22">
      <c r="B22" s="27">
        <v>0.78100000000000003</v>
      </c>
      <c r="C22" s="28">
        <v>0.8</v>
      </c>
      <c r="F22" s="27">
        <v>0.89500000000000002</v>
      </c>
      <c r="G22" s="28">
        <v>0.8</v>
      </c>
      <c r="J22" s="27">
        <v>1.4890000000000001</v>
      </c>
      <c r="K22" s="28">
        <v>0.8</v>
      </c>
      <c r="N22" s="27">
        <v>1.677</v>
      </c>
      <c r="O22" s="28">
        <v>0.8</v>
      </c>
      <c r="R22" s="27">
        <v>1.879</v>
      </c>
      <c r="S22" s="28">
        <v>0.4</v>
      </c>
      <c r="U22" s="27">
        <f>AVERAGE(R25:R26)</f>
        <v>1.8955</v>
      </c>
      <c r="V22" s="28">
        <v>0.8</v>
      </c>
    </row>
    <row r="23" spans="1:22">
      <c r="B23" s="2">
        <v>0.77800000000000002</v>
      </c>
      <c r="C23" s="21">
        <v>1</v>
      </c>
      <c r="F23" s="2">
        <v>0.89600000000000002</v>
      </c>
      <c r="G23" s="21">
        <v>1</v>
      </c>
      <c r="J23" s="2">
        <v>1.49</v>
      </c>
      <c r="K23" s="21">
        <v>1</v>
      </c>
      <c r="N23" s="2">
        <v>1.6759999999999999</v>
      </c>
      <c r="O23" s="21">
        <v>1</v>
      </c>
      <c r="R23" s="2">
        <v>1.889</v>
      </c>
      <c r="S23" s="21">
        <v>0.6</v>
      </c>
      <c r="U23" s="2">
        <f>AVERAGE(R27:R28)</f>
        <v>1.8955</v>
      </c>
      <c r="V23" s="21">
        <v>1</v>
      </c>
    </row>
    <row r="24" spans="1:22">
      <c r="F24" s="3"/>
      <c r="G24" s="29"/>
      <c r="J24" s="3"/>
      <c r="K24" s="29"/>
      <c r="N24" s="3"/>
      <c r="O24" s="29"/>
      <c r="R24" s="2">
        <v>1.8879999999999999</v>
      </c>
      <c r="S24" s="21">
        <v>0.6</v>
      </c>
    </row>
    <row r="25" spans="1:22">
      <c r="R25" s="27">
        <v>1.895</v>
      </c>
      <c r="S25" s="28">
        <v>0.8</v>
      </c>
    </row>
    <row r="26" spans="1:22">
      <c r="F26" s="3"/>
      <c r="G26" s="29"/>
      <c r="J26" s="3"/>
      <c r="K26" s="29"/>
      <c r="N26" s="3"/>
      <c r="O26" s="29"/>
      <c r="R26" s="27">
        <v>1.8959999999999999</v>
      </c>
      <c r="S26" s="28">
        <v>0.8</v>
      </c>
    </row>
    <row r="27" spans="1:22">
      <c r="R27" s="2">
        <v>1.8939999999999999</v>
      </c>
      <c r="S27" s="21">
        <v>1</v>
      </c>
    </row>
    <row r="28" spans="1:22">
      <c r="F28" s="3"/>
      <c r="G28" s="29"/>
      <c r="J28" s="3"/>
      <c r="K28" s="29"/>
      <c r="N28" s="3"/>
      <c r="O28" s="29"/>
      <c r="R28" s="2">
        <v>1.897</v>
      </c>
      <c r="S28" s="21">
        <v>1</v>
      </c>
    </row>
    <row r="34" spans="2:20">
      <c r="B34" t="s">
        <v>17</v>
      </c>
    </row>
    <row r="36" spans="2:20">
      <c r="B36" t="s">
        <v>18</v>
      </c>
    </row>
    <row r="38" spans="2:20" ht="17" thickBot="1"/>
    <row r="39" spans="2:20" ht="17" thickBot="1">
      <c r="B39" s="73" t="s">
        <v>7</v>
      </c>
      <c r="C39" s="74"/>
      <c r="F39" s="75" t="s">
        <v>5</v>
      </c>
      <c r="G39" s="76"/>
      <c r="J39" s="77" t="s">
        <v>6</v>
      </c>
      <c r="K39" s="78"/>
      <c r="N39" s="79" t="s">
        <v>8</v>
      </c>
      <c r="O39" s="80"/>
      <c r="R39" s="71" t="s">
        <v>9</v>
      </c>
      <c r="S39" s="72"/>
    </row>
    <row r="40" spans="2:20">
      <c r="B40" s="2" t="s">
        <v>43</v>
      </c>
      <c r="C40" s="2" t="s">
        <v>44</v>
      </c>
      <c r="F40" s="2" t="s">
        <v>43</v>
      </c>
      <c r="G40" s="2" t="s">
        <v>44</v>
      </c>
      <c r="J40" s="2" t="s">
        <v>45</v>
      </c>
      <c r="K40" s="2" t="s">
        <v>44</v>
      </c>
      <c r="N40" s="2" t="s">
        <v>43</v>
      </c>
      <c r="O40" s="2" t="s">
        <v>44</v>
      </c>
      <c r="R40" s="2" t="s">
        <v>45</v>
      </c>
      <c r="S40" s="2" t="s">
        <v>44</v>
      </c>
    </row>
    <row r="41" spans="2:20">
      <c r="B41" s="2">
        <v>0.77300000000000002</v>
      </c>
      <c r="C41" s="2">
        <v>0.6</v>
      </c>
      <c r="D41" s="3"/>
      <c r="E41" s="3"/>
      <c r="F41" s="2">
        <v>0.89900000000000002</v>
      </c>
      <c r="G41" s="2">
        <v>0.6</v>
      </c>
      <c r="H41" s="3"/>
      <c r="I41" s="3"/>
      <c r="J41" s="2">
        <v>1.5</v>
      </c>
      <c r="K41" s="2">
        <v>0.6</v>
      </c>
      <c r="L41" s="3"/>
      <c r="M41" s="3"/>
      <c r="N41" s="2">
        <v>1.6879999999999999</v>
      </c>
      <c r="O41" s="2">
        <v>0.6</v>
      </c>
      <c r="P41" s="3"/>
      <c r="Q41" s="3"/>
      <c r="R41" s="2">
        <v>1.93</v>
      </c>
      <c r="S41" s="2">
        <v>0.6</v>
      </c>
      <c r="T41" s="3"/>
    </row>
    <row r="42" spans="2:20">
      <c r="B42" s="2">
        <v>0.77</v>
      </c>
      <c r="C42" s="2">
        <v>0.8</v>
      </c>
      <c r="D42" s="29"/>
      <c r="F42" s="2">
        <v>0.90400000000000003</v>
      </c>
      <c r="G42" s="2">
        <v>0.8</v>
      </c>
      <c r="H42" s="29"/>
      <c r="J42" s="2">
        <v>1.5</v>
      </c>
      <c r="K42" s="2">
        <v>0.8</v>
      </c>
      <c r="L42" s="29"/>
      <c r="N42" s="2">
        <v>1.6859999999999999</v>
      </c>
      <c r="O42" s="2">
        <v>0.8</v>
      </c>
      <c r="P42" s="29"/>
      <c r="R42" s="2">
        <v>1.93</v>
      </c>
      <c r="S42" s="2">
        <v>0.8</v>
      </c>
    </row>
    <row r="43" spans="2:20">
      <c r="B43" s="2">
        <v>0.77500000000000002</v>
      </c>
      <c r="C43" s="2">
        <v>1</v>
      </c>
      <c r="D43" s="29"/>
      <c r="F43" s="2">
        <v>0.90100000000000002</v>
      </c>
      <c r="G43" s="2">
        <v>1</v>
      </c>
      <c r="H43" s="29"/>
      <c r="J43" s="2">
        <v>1.49</v>
      </c>
      <c r="K43" s="2">
        <v>1</v>
      </c>
      <c r="L43" s="29"/>
      <c r="N43" s="2">
        <v>1.6879999999999999</v>
      </c>
      <c r="O43" s="2">
        <v>1</v>
      </c>
      <c r="P43" s="29"/>
      <c r="R43" s="2">
        <v>1.93</v>
      </c>
      <c r="S43" s="2">
        <v>1</v>
      </c>
    </row>
    <row r="44" spans="2:20">
      <c r="B44" s="2">
        <v>0.76900000000000002</v>
      </c>
      <c r="C44" s="2">
        <v>1.2</v>
      </c>
      <c r="D44" s="29"/>
      <c r="F44" s="2">
        <v>0.89500000000000002</v>
      </c>
      <c r="G44" s="2">
        <v>1.2</v>
      </c>
      <c r="H44" s="29"/>
      <c r="J44" s="2">
        <v>1.5</v>
      </c>
      <c r="K44" s="2">
        <v>1.2</v>
      </c>
      <c r="L44" s="29"/>
      <c r="N44" s="2">
        <v>1.698</v>
      </c>
      <c r="O44" s="2">
        <v>1.2</v>
      </c>
      <c r="P44" s="29"/>
      <c r="R44" s="2">
        <v>1.93</v>
      </c>
      <c r="S44" s="2">
        <v>1.2</v>
      </c>
    </row>
    <row r="45" spans="2:20">
      <c r="B45" s="2">
        <v>0.78800000000000003</v>
      </c>
      <c r="C45" s="2">
        <v>1.4</v>
      </c>
      <c r="D45" s="29"/>
      <c r="F45" s="2">
        <v>0.89400000000000002</v>
      </c>
      <c r="G45" s="2">
        <v>1.4</v>
      </c>
      <c r="H45" s="29"/>
      <c r="J45" s="2">
        <v>1.5</v>
      </c>
      <c r="K45" s="2">
        <v>1.4</v>
      </c>
      <c r="L45" s="29"/>
      <c r="N45" s="2">
        <v>1.6970000000000001</v>
      </c>
      <c r="O45" s="2">
        <v>1.4</v>
      </c>
      <c r="P45" s="29"/>
      <c r="R45" s="2">
        <v>1.93</v>
      </c>
      <c r="S45" s="2">
        <v>1.4</v>
      </c>
    </row>
    <row r="46" spans="2:20">
      <c r="B46" s="2">
        <v>0.77500000000000002</v>
      </c>
      <c r="C46" s="2">
        <v>1.6</v>
      </c>
      <c r="F46" s="2">
        <v>0.89700000000000002</v>
      </c>
      <c r="G46" s="2">
        <v>1.6</v>
      </c>
      <c r="J46" s="2">
        <v>1.5</v>
      </c>
      <c r="K46" s="2">
        <v>1.6</v>
      </c>
      <c r="N46" s="2">
        <v>1.698</v>
      </c>
      <c r="O46" s="2">
        <v>1.6</v>
      </c>
      <c r="R46" s="2">
        <v>1.96</v>
      </c>
      <c r="S46" s="2">
        <v>1.6</v>
      </c>
    </row>
  </sheetData>
  <mergeCells count="11">
    <mergeCell ref="U17:V17"/>
    <mergeCell ref="B39:C39"/>
    <mergeCell ref="F39:G39"/>
    <mergeCell ref="J39:K39"/>
    <mergeCell ref="N39:O39"/>
    <mergeCell ref="R39:S39"/>
    <mergeCell ref="B17:C17"/>
    <mergeCell ref="F17:G17"/>
    <mergeCell ref="J17:K17"/>
    <mergeCell ref="N17:O17"/>
    <mergeCell ref="R17:S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5FA57-6E2F-AC45-9678-811B03EF4535}">
  <dimension ref="A1:AM83"/>
  <sheetViews>
    <sheetView tabSelected="1" topLeftCell="A32" workbookViewId="0">
      <selection activeCell="F41" sqref="F41"/>
    </sheetView>
  </sheetViews>
  <sheetFormatPr baseColWidth="10" defaultRowHeight="16"/>
  <cols>
    <col min="5" max="6" width="16.6640625" customWidth="1"/>
  </cols>
  <sheetData>
    <row r="1" spans="1:39">
      <c r="A1" t="s">
        <v>4</v>
      </c>
      <c r="B1" t="s">
        <v>10</v>
      </c>
      <c r="C1" t="s">
        <v>34</v>
      </c>
      <c r="D1" t="s">
        <v>35</v>
      </c>
    </row>
    <row r="2" spans="1:39">
      <c r="A2" t="s">
        <v>7</v>
      </c>
      <c r="B2">
        <v>5.1859999999999999</v>
      </c>
      <c r="C2">
        <v>0.78323333333333334</v>
      </c>
      <c r="D2">
        <v>3.2412499999999994E+33</v>
      </c>
    </row>
    <row r="3" spans="1:39">
      <c r="A3" t="s">
        <v>5</v>
      </c>
      <c r="B3">
        <v>5.94</v>
      </c>
      <c r="C3">
        <v>0.90450000000000008</v>
      </c>
      <c r="D3">
        <v>3.7124999999999998E+33</v>
      </c>
    </row>
    <row r="4" spans="1:39">
      <c r="A4" t="s">
        <v>6</v>
      </c>
      <c r="B4">
        <v>6.8780000000000001</v>
      </c>
      <c r="C4">
        <v>1.5067000000000002</v>
      </c>
      <c r="D4">
        <v>4.2987499999999997E+33</v>
      </c>
    </row>
    <row r="5" spans="1:39" ht="17" thickBot="1">
      <c r="A5" t="s">
        <v>8</v>
      </c>
      <c r="B5">
        <v>7.4080000000000004</v>
      </c>
      <c r="C5">
        <v>1.6995333333333331</v>
      </c>
      <c r="D5">
        <v>4.6299999999999995E+33</v>
      </c>
    </row>
    <row r="6" spans="1:39" ht="17" thickBot="1">
      <c r="A6" t="s">
        <v>9</v>
      </c>
      <c r="B6">
        <v>8.202</v>
      </c>
      <c r="C6" s="41">
        <v>1.9395999999999998</v>
      </c>
      <c r="D6" s="41">
        <v>5.1262499999999998E+33</v>
      </c>
      <c r="E6" s="41"/>
      <c r="F6" s="41"/>
      <c r="G6" s="93" t="s">
        <v>46</v>
      </c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5"/>
      <c r="T6" s="96" t="s">
        <v>47</v>
      </c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8"/>
      <c r="AI6" s="41"/>
      <c r="AJ6" s="41"/>
      <c r="AK6" s="41"/>
      <c r="AL6" s="41"/>
      <c r="AM6" s="41"/>
    </row>
    <row r="7" spans="1:39" ht="18" thickBot="1">
      <c r="C7" s="44" t="s">
        <v>48</v>
      </c>
      <c r="D7" s="44" t="s">
        <v>49</v>
      </c>
      <c r="E7" s="44" t="s">
        <v>50</v>
      </c>
      <c r="F7" s="44" t="s">
        <v>51</v>
      </c>
      <c r="G7" s="45" t="s">
        <v>52</v>
      </c>
      <c r="H7" s="45" t="s">
        <v>53</v>
      </c>
      <c r="I7" s="45" t="s">
        <v>54</v>
      </c>
      <c r="J7" s="45" t="s">
        <v>55</v>
      </c>
      <c r="K7" s="45" t="s">
        <v>56</v>
      </c>
      <c r="L7" s="45" t="s">
        <v>57</v>
      </c>
      <c r="M7" s="45" t="s">
        <v>58</v>
      </c>
      <c r="N7" s="45" t="s">
        <v>59</v>
      </c>
      <c r="O7" s="46" t="s">
        <v>60</v>
      </c>
      <c r="P7" s="46" t="s">
        <v>61</v>
      </c>
      <c r="Q7" s="46" t="s">
        <v>62</v>
      </c>
      <c r="R7" s="45" t="s">
        <v>42</v>
      </c>
      <c r="S7" s="45" t="s">
        <v>39</v>
      </c>
      <c r="T7" s="47" t="s">
        <v>63</v>
      </c>
      <c r="U7" s="42" t="s">
        <v>52</v>
      </c>
      <c r="V7" s="42" t="s">
        <v>64</v>
      </c>
      <c r="W7" s="42" t="s">
        <v>53</v>
      </c>
      <c r="X7" s="48" t="s">
        <v>65</v>
      </c>
      <c r="Y7" s="47" t="s">
        <v>54</v>
      </c>
      <c r="Z7" s="43" t="s">
        <v>66</v>
      </c>
      <c r="AA7" s="43" t="s">
        <v>56</v>
      </c>
      <c r="AB7" s="43" t="s">
        <v>67</v>
      </c>
      <c r="AC7" s="43" t="s">
        <v>68</v>
      </c>
      <c r="AD7" s="47" t="s">
        <v>42</v>
      </c>
      <c r="AE7" s="47" t="s">
        <v>39</v>
      </c>
      <c r="AF7" s="42" t="s">
        <v>59</v>
      </c>
      <c r="AG7" s="49" t="s">
        <v>69</v>
      </c>
      <c r="AH7" s="49" t="s">
        <v>70</v>
      </c>
      <c r="AI7" s="50" t="s">
        <v>71</v>
      </c>
      <c r="AJ7" s="50" t="s">
        <v>72</v>
      </c>
      <c r="AK7" s="51" t="s">
        <v>73</v>
      </c>
      <c r="AL7" s="50" t="s">
        <v>74</v>
      </c>
      <c r="AM7" s="41"/>
    </row>
    <row r="8" spans="1:39">
      <c r="C8">
        <v>3.2412499999999994E+33</v>
      </c>
      <c r="D8">
        <v>0.78322999999999998</v>
      </c>
      <c r="E8" s="53">
        <v>0</v>
      </c>
      <c r="F8" s="53">
        <v>5.0000000000000001E-4</v>
      </c>
      <c r="G8" s="90">
        <f>COUNTA(D8:D17)</f>
        <v>5</v>
      </c>
      <c r="H8" s="87">
        <f>SUM(C8:C17)</f>
        <v>2.1008749999999999E+34</v>
      </c>
      <c r="I8" s="87">
        <f>SUM(D8:D17)</f>
        <v>6.8335633333333332</v>
      </c>
      <c r="J8" s="54">
        <f t="shared" ref="J8:J17" si="0">C8*D8</f>
        <v>2.5386442374999994E+33</v>
      </c>
      <c r="K8" s="87">
        <f>SUM(J8:J17)</f>
        <v>3.0185240945833331E+34</v>
      </c>
      <c r="L8" s="54">
        <f t="shared" ref="L8:L17" si="1">C8^2</f>
        <v>1.0505701562499996E+67</v>
      </c>
      <c r="M8" s="87">
        <f>SUM(L8:L17)</f>
        <v>9.0482948437499995E+67</v>
      </c>
      <c r="N8" s="87">
        <f>(G8*M8)-(H8^2)</f>
        <v>1.1047165625000044E+67</v>
      </c>
      <c r="O8" s="87">
        <f>SQRT($F8^2+(S8*$E8)^2)</f>
        <v>5.0000000000000001E-4</v>
      </c>
      <c r="P8" s="87">
        <f>O8*SQRT(M8/N8)</f>
        <v>1.4309614816430246E-3</v>
      </c>
      <c r="Q8" s="87">
        <f>O8*SQRT(G8/N8)</f>
        <v>3.3637954120220277E-37</v>
      </c>
      <c r="R8" s="87">
        <f>(M8*I8-H8*K8)/N8</f>
        <v>-1.433238400133549</v>
      </c>
      <c r="S8" s="87">
        <f>((G8*K8)-(H8*I8))/N8</f>
        <v>6.6637735867203217E-34</v>
      </c>
      <c r="T8" s="55">
        <f t="shared" ref="T8:T12" si="2">1/(F8^2+($S8*E8)^2)</f>
        <v>4000000</v>
      </c>
      <c r="U8" s="87">
        <f>SUM(T8:T17)</f>
        <v>20000000</v>
      </c>
      <c r="V8" s="56">
        <f t="shared" ref="V8:V17" si="3">T8*C8</f>
        <v>1.2964999999999998E+40</v>
      </c>
      <c r="W8" s="87">
        <f>SUM(V8:V17)</f>
        <v>8.4034999999999999E+40</v>
      </c>
      <c r="X8" s="54">
        <f t="shared" ref="X8:X17" si="4">T8*D8</f>
        <v>3132920</v>
      </c>
      <c r="Y8" s="87">
        <f>SUM(X8:X17)</f>
        <v>27334253.333333332</v>
      </c>
      <c r="Z8" s="57">
        <f t="shared" ref="Z8:Z17" si="5">T8*C8*D8</f>
        <v>1.0154576949999998E+40</v>
      </c>
      <c r="AA8" s="87">
        <f>SUM(Z8:Z17)</f>
        <v>1.2074096378333331E+41</v>
      </c>
      <c r="AB8" s="57">
        <f t="shared" ref="AB8:AB17" si="6">T8*L8</f>
        <v>4.2022806249999981E+73</v>
      </c>
      <c r="AC8" s="87">
        <f>SUM(AB8:AB17)</f>
        <v>3.6193179374999997E+74</v>
      </c>
      <c r="AD8" s="87">
        <f>((AC8*Y8)-(W8*AA8))/AF8</f>
        <v>-1.433238400133559</v>
      </c>
      <c r="AE8" s="87">
        <f>((U8*AA8)-(W8*Y8))/AF8</f>
        <v>6.6637735867203576E-34</v>
      </c>
      <c r="AF8" s="84">
        <f>(U8*AC8)-(W8^2)</f>
        <v>1.7675464999999935E+80</v>
      </c>
      <c r="AG8" s="87">
        <f>SQRT((AC8/AF8))</f>
        <v>1.4309614816430298E-3</v>
      </c>
      <c r="AH8" s="87">
        <f>SQRT((U8/AF8))</f>
        <v>3.3637954120220406E-37</v>
      </c>
      <c r="AI8" s="81">
        <f>_xlfn.STDEV.S(C8:C17)</f>
        <v>7.4320810090445168E+32</v>
      </c>
      <c r="AJ8" s="81">
        <f>_xlfn.STDEV.S(D8:D17)</f>
        <v>0.50315467747889264</v>
      </c>
      <c r="AK8" s="81">
        <f>_xlfn.COVARIANCE.S(C8:C17,D8:D17)</f>
        <v>3.6807905249999998E+32</v>
      </c>
      <c r="AL8" s="81">
        <f>CORREL(C8:C17,D8:D17)</f>
        <v>0.98430378051119793</v>
      </c>
      <c r="AM8" s="41"/>
    </row>
    <row r="9" spans="1:39">
      <c r="C9">
        <v>3.7124999999999998E+33</v>
      </c>
      <c r="D9">
        <v>0.90449999999999997</v>
      </c>
      <c r="E9" s="59">
        <v>0</v>
      </c>
      <c r="F9" s="59">
        <v>5.0000000000000001E-4</v>
      </c>
      <c r="G9" s="91"/>
      <c r="H9" s="88"/>
      <c r="I9" s="88"/>
      <c r="J9" s="55">
        <f t="shared" si="0"/>
        <v>3.3579562499999999E+33</v>
      </c>
      <c r="K9" s="88"/>
      <c r="L9" s="55">
        <f t="shared" si="1"/>
        <v>1.3782656249999998E+67</v>
      </c>
      <c r="M9" s="88"/>
      <c r="N9" s="88"/>
      <c r="O9" s="88"/>
      <c r="P9" s="88"/>
      <c r="Q9" s="88"/>
      <c r="R9" s="88"/>
      <c r="S9" s="88"/>
      <c r="T9" s="55">
        <f t="shared" si="2"/>
        <v>4000000</v>
      </c>
      <c r="U9" s="88"/>
      <c r="V9" s="60">
        <f t="shared" si="3"/>
        <v>1.4849999999999999E+40</v>
      </c>
      <c r="W9" s="88"/>
      <c r="X9" s="55">
        <f t="shared" si="4"/>
        <v>3618000</v>
      </c>
      <c r="Y9" s="88"/>
      <c r="Z9" s="61">
        <f t="shared" si="5"/>
        <v>1.3431824999999999E+40</v>
      </c>
      <c r="AA9" s="88"/>
      <c r="AB9" s="61">
        <f t="shared" si="6"/>
        <v>5.5130624999999993E+73</v>
      </c>
      <c r="AC9" s="88"/>
      <c r="AD9" s="88"/>
      <c r="AE9" s="88"/>
      <c r="AF9" s="85"/>
      <c r="AG9" s="88"/>
      <c r="AH9" s="88"/>
      <c r="AI9" s="82"/>
      <c r="AJ9" s="82"/>
      <c r="AK9" s="82"/>
      <c r="AL9" s="82"/>
      <c r="AM9" s="41"/>
    </row>
    <row r="10" spans="1:39">
      <c r="C10">
        <v>4.2987499999999997E+33</v>
      </c>
      <c r="D10">
        <v>1.5067000000000002</v>
      </c>
      <c r="E10" s="59">
        <v>0</v>
      </c>
      <c r="F10" s="59">
        <v>5.0000000000000001E-4</v>
      </c>
      <c r="G10" s="91"/>
      <c r="H10" s="88"/>
      <c r="I10" s="88"/>
      <c r="J10" s="55">
        <f t="shared" si="0"/>
        <v>6.4769266250000001E+33</v>
      </c>
      <c r="K10" s="88"/>
      <c r="L10" s="55">
        <f t="shared" si="1"/>
        <v>1.8479251562499996E+67</v>
      </c>
      <c r="M10" s="88"/>
      <c r="N10" s="88"/>
      <c r="O10" s="88"/>
      <c r="P10" s="88"/>
      <c r="Q10" s="88"/>
      <c r="R10" s="88"/>
      <c r="S10" s="88"/>
      <c r="T10" s="55">
        <f t="shared" si="2"/>
        <v>4000000</v>
      </c>
      <c r="U10" s="88"/>
      <c r="V10" s="60">
        <f t="shared" si="3"/>
        <v>1.7194999999999999E+40</v>
      </c>
      <c r="W10" s="88"/>
      <c r="X10" s="55">
        <f t="shared" si="4"/>
        <v>6026800.0000000009</v>
      </c>
      <c r="Y10" s="88"/>
      <c r="Z10" s="61">
        <f t="shared" si="5"/>
        <v>2.5907706499999999E+40</v>
      </c>
      <c r="AA10" s="88"/>
      <c r="AB10" s="61">
        <f t="shared" si="6"/>
        <v>7.3917006249999988E+73</v>
      </c>
      <c r="AC10" s="88"/>
      <c r="AD10" s="88"/>
      <c r="AE10" s="88"/>
      <c r="AF10" s="85"/>
      <c r="AG10" s="88"/>
      <c r="AH10" s="88"/>
      <c r="AI10" s="82"/>
      <c r="AJ10" s="82"/>
      <c r="AK10" s="82"/>
      <c r="AL10" s="82"/>
      <c r="AM10" s="41"/>
    </row>
    <row r="11" spans="1:39">
      <c r="C11">
        <v>4.6299999999999995E+33</v>
      </c>
      <c r="D11">
        <v>1.6995333333333331</v>
      </c>
      <c r="E11" s="59">
        <v>0</v>
      </c>
      <c r="F11" s="59">
        <v>5.0000000000000001E-4</v>
      </c>
      <c r="G11" s="91"/>
      <c r="H11" s="88"/>
      <c r="I11" s="88"/>
      <c r="J11" s="55">
        <f t="shared" si="0"/>
        <v>7.8688393333333314E+33</v>
      </c>
      <c r="K11" s="88"/>
      <c r="L11" s="55">
        <f t="shared" si="1"/>
        <v>2.1436899999999995E+67</v>
      </c>
      <c r="M11" s="88"/>
      <c r="N11" s="88"/>
      <c r="O11" s="88"/>
      <c r="P11" s="88"/>
      <c r="Q11" s="88"/>
      <c r="R11" s="88"/>
      <c r="S11" s="88"/>
      <c r="T11" s="55">
        <f t="shared" si="2"/>
        <v>4000000</v>
      </c>
      <c r="U11" s="88"/>
      <c r="V11" s="60">
        <f t="shared" si="3"/>
        <v>1.8519999999999997E+40</v>
      </c>
      <c r="W11" s="88"/>
      <c r="X11" s="55">
        <f t="shared" si="4"/>
        <v>6798133.3333333321</v>
      </c>
      <c r="Y11" s="88"/>
      <c r="Z11" s="61">
        <f t="shared" si="5"/>
        <v>3.1475357333333326E+40</v>
      </c>
      <c r="AA11" s="88"/>
      <c r="AB11" s="61">
        <f t="shared" si="6"/>
        <v>8.5747599999999984E+73</v>
      </c>
      <c r="AC11" s="88"/>
      <c r="AD11" s="88"/>
      <c r="AE11" s="88"/>
      <c r="AF11" s="85"/>
      <c r="AG11" s="88"/>
      <c r="AH11" s="88"/>
      <c r="AI11" s="82"/>
      <c r="AJ11" s="82"/>
      <c r="AK11" s="82"/>
      <c r="AL11" s="82"/>
      <c r="AM11" s="41"/>
    </row>
    <row r="12" spans="1:39">
      <c r="C12" s="41">
        <v>5.1262499999999998E+33</v>
      </c>
      <c r="D12" s="41">
        <v>1.9395999999999998</v>
      </c>
      <c r="E12" s="59">
        <v>0</v>
      </c>
      <c r="F12" s="59">
        <v>5.0000000000000001E-4</v>
      </c>
      <c r="G12" s="91"/>
      <c r="H12" s="88"/>
      <c r="I12" s="88"/>
      <c r="J12" s="55">
        <f t="shared" si="0"/>
        <v>9.9428744999999989E+33</v>
      </c>
      <c r="K12" s="88"/>
      <c r="L12" s="55">
        <f t="shared" si="1"/>
        <v>2.6278439062499999E+67</v>
      </c>
      <c r="M12" s="88"/>
      <c r="N12" s="88"/>
      <c r="O12" s="88"/>
      <c r="P12" s="88"/>
      <c r="Q12" s="88"/>
      <c r="R12" s="88"/>
      <c r="S12" s="88"/>
      <c r="T12" s="55">
        <f t="shared" si="2"/>
        <v>4000000</v>
      </c>
      <c r="U12" s="88"/>
      <c r="V12" s="60">
        <f t="shared" si="3"/>
        <v>2.0504999999999999E+40</v>
      </c>
      <c r="W12" s="88"/>
      <c r="X12" s="55">
        <f t="shared" si="4"/>
        <v>7758399.9999999991</v>
      </c>
      <c r="Y12" s="88"/>
      <c r="Z12" s="61">
        <f t="shared" si="5"/>
        <v>3.9771497999999996E+40</v>
      </c>
      <c r="AA12" s="88"/>
      <c r="AB12" s="61">
        <f t="shared" si="6"/>
        <v>1.0511375624999999E+74</v>
      </c>
      <c r="AC12" s="88"/>
      <c r="AD12" s="88"/>
      <c r="AE12" s="88"/>
      <c r="AF12" s="85"/>
      <c r="AG12" s="88"/>
      <c r="AH12" s="88"/>
      <c r="AI12" s="82"/>
      <c r="AJ12" s="82"/>
      <c r="AK12" s="82"/>
      <c r="AL12" s="82"/>
      <c r="AM12" s="41"/>
    </row>
    <row r="13" spans="1:39">
      <c r="C13" s="58"/>
      <c r="D13" s="59"/>
      <c r="E13" s="59">
        <v>0</v>
      </c>
      <c r="F13" s="59">
        <v>0</v>
      </c>
      <c r="G13" s="91"/>
      <c r="H13" s="88"/>
      <c r="I13" s="88"/>
      <c r="J13" s="55">
        <f t="shared" si="0"/>
        <v>0</v>
      </c>
      <c r="K13" s="88"/>
      <c r="L13" s="55">
        <f t="shared" si="1"/>
        <v>0</v>
      </c>
      <c r="M13" s="88"/>
      <c r="N13" s="88"/>
      <c r="O13" s="88"/>
      <c r="P13" s="88"/>
      <c r="Q13" s="88"/>
      <c r="R13" s="88"/>
      <c r="S13" s="88"/>
      <c r="T13" s="55"/>
      <c r="U13" s="88"/>
      <c r="V13" s="60">
        <f t="shared" si="3"/>
        <v>0</v>
      </c>
      <c r="W13" s="88"/>
      <c r="X13" s="55">
        <f t="shared" si="4"/>
        <v>0</v>
      </c>
      <c r="Y13" s="88"/>
      <c r="Z13" s="61">
        <f t="shared" si="5"/>
        <v>0</v>
      </c>
      <c r="AA13" s="88"/>
      <c r="AB13" s="61">
        <f t="shared" si="6"/>
        <v>0</v>
      </c>
      <c r="AC13" s="88"/>
      <c r="AD13" s="88"/>
      <c r="AE13" s="88"/>
      <c r="AF13" s="85"/>
      <c r="AG13" s="88"/>
      <c r="AH13" s="88"/>
      <c r="AI13" s="82"/>
      <c r="AJ13" s="82"/>
      <c r="AK13" s="82"/>
      <c r="AL13" s="82"/>
      <c r="AM13" s="41"/>
    </row>
    <row r="14" spans="1:39">
      <c r="C14" s="58"/>
      <c r="D14" s="59"/>
      <c r="E14" s="59">
        <v>0</v>
      </c>
      <c r="F14" s="59">
        <v>0</v>
      </c>
      <c r="G14" s="91"/>
      <c r="H14" s="88"/>
      <c r="I14" s="88"/>
      <c r="J14" s="55">
        <f t="shared" si="0"/>
        <v>0</v>
      </c>
      <c r="K14" s="88"/>
      <c r="L14" s="55">
        <f t="shared" si="1"/>
        <v>0</v>
      </c>
      <c r="M14" s="88"/>
      <c r="N14" s="88"/>
      <c r="O14" s="88"/>
      <c r="P14" s="88"/>
      <c r="Q14" s="88"/>
      <c r="R14" s="88"/>
      <c r="S14" s="88"/>
      <c r="T14" s="55"/>
      <c r="U14" s="88"/>
      <c r="V14" s="60">
        <f t="shared" si="3"/>
        <v>0</v>
      </c>
      <c r="W14" s="88"/>
      <c r="X14" s="55">
        <f t="shared" si="4"/>
        <v>0</v>
      </c>
      <c r="Y14" s="88"/>
      <c r="Z14" s="61">
        <f t="shared" si="5"/>
        <v>0</v>
      </c>
      <c r="AA14" s="88"/>
      <c r="AB14" s="61">
        <f t="shared" si="6"/>
        <v>0</v>
      </c>
      <c r="AC14" s="88"/>
      <c r="AD14" s="88"/>
      <c r="AE14" s="88"/>
      <c r="AF14" s="85"/>
      <c r="AG14" s="88"/>
      <c r="AH14" s="88"/>
      <c r="AI14" s="82"/>
      <c r="AJ14" s="82"/>
      <c r="AK14" s="82"/>
      <c r="AL14" s="82"/>
      <c r="AM14" s="41"/>
    </row>
    <row r="15" spans="1:39">
      <c r="C15" s="58"/>
      <c r="D15" s="59"/>
      <c r="E15" s="59">
        <v>0</v>
      </c>
      <c r="F15" s="59">
        <v>0</v>
      </c>
      <c r="G15" s="91"/>
      <c r="H15" s="88"/>
      <c r="I15" s="88"/>
      <c r="J15" s="55">
        <f t="shared" si="0"/>
        <v>0</v>
      </c>
      <c r="K15" s="88"/>
      <c r="L15" s="55">
        <f t="shared" si="1"/>
        <v>0</v>
      </c>
      <c r="M15" s="88"/>
      <c r="N15" s="88"/>
      <c r="O15" s="88"/>
      <c r="P15" s="88"/>
      <c r="Q15" s="88"/>
      <c r="R15" s="88"/>
      <c r="S15" s="88"/>
      <c r="T15" s="55"/>
      <c r="U15" s="88"/>
      <c r="V15" s="60">
        <f t="shared" si="3"/>
        <v>0</v>
      </c>
      <c r="W15" s="88"/>
      <c r="X15" s="55">
        <f t="shared" si="4"/>
        <v>0</v>
      </c>
      <c r="Y15" s="88"/>
      <c r="Z15" s="61">
        <f t="shared" si="5"/>
        <v>0</v>
      </c>
      <c r="AA15" s="88"/>
      <c r="AB15" s="61">
        <f t="shared" si="6"/>
        <v>0</v>
      </c>
      <c r="AC15" s="88"/>
      <c r="AD15" s="88"/>
      <c r="AE15" s="88"/>
      <c r="AF15" s="85"/>
      <c r="AG15" s="88"/>
      <c r="AH15" s="88"/>
      <c r="AI15" s="82"/>
      <c r="AJ15" s="82"/>
      <c r="AK15" s="82"/>
      <c r="AL15" s="82"/>
      <c r="AM15" s="41"/>
    </row>
    <row r="16" spans="1:39">
      <c r="C16" s="58"/>
      <c r="D16" s="59"/>
      <c r="E16" s="59">
        <v>0</v>
      </c>
      <c r="F16" s="59">
        <v>0</v>
      </c>
      <c r="G16" s="91"/>
      <c r="H16" s="88"/>
      <c r="I16" s="88"/>
      <c r="J16" s="55">
        <f t="shared" si="0"/>
        <v>0</v>
      </c>
      <c r="K16" s="88"/>
      <c r="L16" s="55">
        <f t="shared" si="1"/>
        <v>0</v>
      </c>
      <c r="M16" s="88"/>
      <c r="N16" s="88"/>
      <c r="O16" s="88"/>
      <c r="P16" s="88"/>
      <c r="Q16" s="88"/>
      <c r="R16" s="88"/>
      <c r="S16" s="88"/>
      <c r="T16" s="55"/>
      <c r="U16" s="88"/>
      <c r="V16" s="60">
        <f t="shared" si="3"/>
        <v>0</v>
      </c>
      <c r="W16" s="88"/>
      <c r="X16" s="55">
        <f t="shared" si="4"/>
        <v>0</v>
      </c>
      <c r="Y16" s="88"/>
      <c r="Z16" s="61">
        <f t="shared" si="5"/>
        <v>0</v>
      </c>
      <c r="AA16" s="88"/>
      <c r="AB16" s="61">
        <f t="shared" si="6"/>
        <v>0</v>
      </c>
      <c r="AC16" s="88"/>
      <c r="AD16" s="88"/>
      <c r="AE16" s="88"/>
      <c r="AF16" s="85"/>
      <c r="AG16" s="88"/>
      <c r="AH16" s="88"/>
      <c r="AI16" s="82"/>
      <c r="AJ16" s="82"/>
      <c r="AK16" s="82"/>
      <c r="AL16" s="82"/>
      <c r="AM16" s="41"/>
    </row>
    <row r="17" spans="3:39" ht="17" thickBot="1">
      <c r="C17" s="62"/>
      <c r="D17" s="63"/>
      <c r="E17" s="63">
        <v>0</v>
      </c>
      <c r="F17" s="63">
        <v>0</v>
      </c>
      <c r="G17" s="92"/>
      <c r="H17" s="89"/>
      <c r="I17" s="89"/>
      <c r="J17" s="64">
        <f t="shared" si="0"/>
        <v>0</v>
      </c>
      <c r="K17" s="89"/>
      <c r="L17" s="64">
        <f t="shared" si="1"/>
        <v>0</v>
      </c>
      <c r="M17" s="89"/>
      <c r="N17" s="89"/>
      <c r="O17" s="89"/>
      <c r="P17" s="89"/>
      <c r="Q17" s="89"/>
      <c r="R17" s="89"/>
      <c r="S17" s="89"/>
      <c r="T17" s="55"/>
      <c r="U17" s="89"/>
      <c r="V17" s="65">
        <f t="shared" si="3"/>
        <v>0</v>
      </c>
      <c r="W17" s="89"/>
      <c r="X17" s="64">
        <f t="shared" si="4"/>
        <v>0</v>
      </c>
      <c r="Y17" s="89"/>
      <c r="Z17" s="66">
        <f t="shared" si="5"/>
        <v>0</v>
      </c>
      <c r="AA17" s="89"/>
      <c r="AB17" s="66">
        <f t="shared" si="6"/>
        <v>0</v>
      </c>
      <c r="AC17" s="89"/>
      <c r="AD17" s="89"/>
      <c r="AE17" s="89"/>
      <c r="AF17" s="86"/>
      <c r="AG17" s="89"/>
      <c r="AH17" s="89"/>
      <c r="AI17" s="83"/>
      <c r="AJ17" s="83"/>
      <c r="AK17" s="83"/>
      <c r="AL17" s="83"/>
      <c r="AM17" s="41"/>
    </row>
    <row r="21" spans="3:39" ht="17" thickBot="1"/>
    <row r="22" spans="3:39" ht="17" thickBot="1">
      <c r="C22" s="41"/>
      <c r="D22" s="41"/>
      <c r="E22" s="41"/>
      <c r="F22" s="41"/>
      <c r="G22" s="93" t="s">
        <v>46</v>
      </c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5"/>
      <c r="T22" s="96" t="s">
        <v>47</v>
      </c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8"/>
      <c r="AI22" s="41"/>
      <c r="AJ22" s="41"/>
      <c r="AK22" s="41"/>
      <c r="AL22" s="41"/>
    </row>
    <row r="23" spans="3:39" ht="18" thickBot="1">
      <c r="C23" s="44" t="s">
        <v>48</v>
      </c>
      <c r="D23" s="44" t="s">
        <v>49</v>
      </c>
      <c r="E23" s="44" t="s">
        <v>50</v>
      </c>
      <c r="F23" s="44" t="s">
        <v>51</v>
      </c>
      <c r="G23" s="45" t="s">
        <v>52</v>
      </c>
      <c r="H23" s="45" t="s">
        <v>53</v>
      </c>
      <c r="I23" s="45" t="s">
        <v>54</v>
      </c>
      <c r="J23" s="45" t="s">
        <v>55</v>
      </c>
      <c r="K23" s="45" t="s">
        <v>56</v>
      </c>
      <c r="L23" s="45" t="s">
        <v>57</v>
      </c>
      <c r="M23" s="45" t="s">
        <v>58</v>
      </c>
      <c r="N23" s="45" t="s">
        <v>59</v>
      </c>
      <c r="O23" s="46" t="s">
        <v>60</v>
      </c>
      <c r="P23" s="46" t="s">
        <v>61</v>
      </c>
      <c r="Q23" s="46" t="s">
        <v>62</v>
      </c>
      <c r="R23" s="45" t="s">
        <v>42</v>
      </c>
      <c r="S23" s="45" t="s">
        <v>39</v>
      </c>
      <c r="T23" s="47" t="s">
        <v>63</v>
      </c>
      <c r="U23" s="42" t="s">
        <v>52</v>
      </c>
      <c r="V23" s="42" t="s">
        <v>64</v>
      </c>
      <c r="W23" s="42" t="s">
        <v>53</v>
      </c>
      <c r="X23" s="48" t="s">
        <v>65</v>
      </c>
      <c r="Y23" s="47" t="s">
        <v>54</v>
      </c>
      <c r="Z23" s="43" t="s">
        <v>66</v>
      </c>
      <c r="AA23" s="43" t="s">
        <v>56</v>
      </c>
      <c r="AB23" s="43" t="s">
        <v>67</v>
      </c>
      <c r="AC23" s="43" t="s">
        <v>68</v>
      </c>
      <c r="AD23" s="47" t="s">
        <v>42</v>
      </c>
      <c r="AE23" s="47" t="s">
        <v>39</v>
      </c>
      <c r="AF23" s="42" t="s">
        <v>59</v>
      </c>
      <c r="AG23" s="49" t="s">
        <v>69</v>
      </c>
      <c r="AH23" s="49" t="s">
        <v>70</v>
      </c>
      <c r="AI23" s="50" t="s">
        <v>71</v>
      </c>
      <c r="AJ23" s="50" t="s">
        <v>72</v>
      </c>
      <c r="AK23" s="51" t="s">
        <v>73</v>
      </c>
      <c r="AL23" s="50" t="s">
        <v>74</v>
      </c>
    </row>
    <row r="24" spans="3:39">
      <c r="C24">
        <v>3.2412499999999994E+33</v>
      </c>
      <c r="D24">
        <v>1.272</v>
      </c>
      <c r="E24" s="53">
        <v>0</v>
      </c>
      <c r="F24" s="53">
        <v>5.0000000000000001E-3</v>
      </c>
      <c r="G24" s="90">
        <f>COUNTA(D24:D33)</f>
        <v>10</v>
      </c>
      <c r="H24" s="87">
        <f>SUM(C24:C33)</f>
        <v>2.1008749999999999E+34</v>
      </c>
      <c r="I24" s="87">
        <f>SUM(D24:D33)</f>
        <v>7.5798333333333332</v>
      </c>
      <c r="J24" s="54">
        <f t="shared" ref="J24:J33" si="7">C24*D24</f>
        <v>4.1228699999999996E+33</v>
      </c>
      <c r="K24" s="87">
        <f>SUM(J24:J33)</f>
        <v>3.2725435458333325E+34</v>
      </c>
      <c r="L24" s="54">
        <f t="shared" ref="L24:L33" si="8">C24^2</f>
        <v>1.0505701562499996E+67</v>
      </c>
      <c r="M24" s="87">
        <f>SUM(L24:L33)</f>
        <v>9.0482948437499995E+67</v>
      </c>
      <c r="N24" s="87">
        <f>(G24*M24)-(H24^2)</f>
        <v>4.6346190781250005E+68</v>
      </c>
      <c r="O24" s="87">
        <f>SQRT($F24^2+(S24*$E24)^2)</f>
        <v>5.0000000000000001E-3</v>
      </c>
      <c r="P24" s="87">
        <f>O24*SQRT(M24/N24)</f>
        <v>2.2092575800576721E-3</v>
      </c>
      <c r="Q24" s="87">
        <f>O24*SQRT(G24/N24)</f>
        <v>7.3445126268031849E-37</v>
      </c>
      <c r="R24" s="87">
        <f>(M24*I24-H24*K24)/N24</f>
        <v>-3.6137242180734348E-3</v>
      </c>
      <c r="S24" s="87">
        <f>((G24*K24)-(H24*I24))/N24</f>
        <v>3.6251421790987411E-34</v>
      </c>
      <c r="T24" s="55">
        <f t="shared" ref="T24:T33" si="9">1/(F24^2+($S24*E24)^2)</f>
        <v>40000</v>
      </c>
      <c r="U24" s="87" t="e">
        <f>SUM(T24:T33)</f>
        <v>#DIV/0!</v>
      </c>
      <c r="V24" s="56">
        <f t="shared" ref="V24:V33" si="10">T24*C24</f>
        <v>1.2964999999999997E+38</v>
      </c>
      <c r="W24" s="87" t="e">
        <f>SUM(V24:V33)</f>
        <v>#DIV/0!</v>
      </c>
      <c r="X24" s="54">
        <f t="shared" ref="X24:X33" si="11">T24*D24</f>
        <v>50880</v>
      </c>
      <c r="Y24" s="87" t="e">
        <f>SUM(X24:X33)</f>
        <v>#DIV/0!</v>
      </c>
      <c r="Z24" s="57">
        <f t="shared" ref="Z24:Z33" si="12">T24*C24*D24</f>
        <v>1.6491479999999996E+38</v>
      </c>
      <c r="AA24" s="87" t="e">
        <f>SUM(Z24:Z33)</f>
        <v>#DIV/0!</v>
      </c>
      <c r="AB24" s="57">
        <f t="shared" ref="AB24:AB33" si="13">T24*L24</f>
        <v>4.2022806249999984E+71</v>
      </c>
      <c r="AC24" s="87" t="e">
        <f>SUM(AB24:AB33)</f>
        <v>#DIV/0!</v>
      </c>
      <c r="AD24" s="87" t="e">
        <f>((AC24*Y24)-(W24*AA24))/AF24</f>
        <v>#DIV/0!</v>
      </c>
      <c r="AE24" s="87" t="e">
        <f>((U24*AA24)-(W24*Y24))/AF24</f>
        <v>#DIV/0!</v>
      </c>
      <c r="AF24" s="84" t="e">
        <f>(U24*AC24)-(W24^2)</f>
        <v>#DIV/0!</v>
      </c>
      <c r="AG24" s="87" t="e">
        <f>SQRT((AC24/AF24))</f>
        <v>#DIV/0!</v>
      </c>
      <c r="AH24" s="87" t="e">
        <f>SQRT((U24/AF24))</f>
        <v>#DIV/0!</v>
      </c>
      <c r="AI24" s="81">
        <f>_xlfn.STDEV.S(C24:C33)</f>
        <v>2.2692678893141335E+33</v>
      </c>
      <c r="AJ24" s="81">
        <f>_xlfn.STDEV.S(D24:D33)</f>
        <v>0.82619928084371186</v>
      </c>
      <c r="AK24" s="81">
        <f>_xlfn.COVARIANCE.S(C24:C33,D24:D33)</f>
        <v>1.8667947893518511E+33</v>
      </c>
      <c r="AL24" s="81">
        <f>CORREL(C24:C33,D24:D33)</f>
        <v>0.995694251007608</v>
      </c>
    </row>
    <row r="25" spans="3:39">
      <c r="C25">
        <v>3.7124999999999998E+33</v>
      </c>
      <c r="D25">
        <v>1.1619999999999999</v>
      </c>
      <c r="E25" s="59">
        <v>0</v>
      </c>
      <c r="F25" s="59">
        <v>5.0000000000000001E-3</v>
      </c>
      <c r="G25" s="91"/>
      <c r="H25" s="88"/>
      <c r="I25" s="88"/>
      <c r="J25" s="55">
        <f t="shared" si="7"/>
        <v>4.3139249999999997E+33</v>
      </c>
      <c r="K25" s="88"/>
      <c r="L25" s="55">
        <f t="shared" si="8"/>
        <v>1.3782656249999998E+67</v>
      </c>
      <c r="M25" s="88"/>
      <c r="N25" s="88"/>
      <c r="O25" s="88"/>
      <c r="P25" s="88"/>
      <c r="Q25" s="88"/>
      <c r="R25" s="88"/>
      <c r="S25" s="88"/>
      <c r="T25" s="55">
        <f t="shared" si="9"/>
        <v>40000</v>
      </c>
      <c r="U25" s="88"/>
      <c r="V25" s="60">
        <f t="shared" si="10"/>
        <v>1.485E+38</v>
      </c>
      <c r="W25" s="88"/>
      <c r="X25" s="55">
        <f t="shared" si="11"/>
        <v>46480</v>
      </c>
      <c r="Y25" s="88"/>
      <c r="Z25" s="61">
        <f t="shared" si="12"/>
        <v>1.7255699999999998E+38</v>
      </c>
      <c r="AA25" s="88"/>
      <c r="AB25" s="61">
        <f t="shared" si="13"/>
        <v>5.5130624999999987E+71</v>
      </c>
      <c r="AC25" s="88"/>
      <c r="AD25" s="88"/>
      <c r="AE25" s="88"/>
      <c r="AF25" s="85"/>
      <c r="AG25" s="88"/>
      <c r="AH25" s="88"/>
      <c r="AI25" s="82"/>
      <c r="AJ25" s="82"/>
      <c r="AK25" s="82"/>
      <c r="AL25" s="82"/>
    </row>
    <row r="26" spans="3:39">
      <c r="C26">
        <v>4.2987499999999997E+33</v>
      </c>
      <c r="D26">
        <v>1.5067000000000002</v>
      </c>
      <c r="E26" s="59">
        <v>0</v>
      </c>
      <c r="F26" s="59">
        <v>5.0000000000000001E-4</v>
      </c>
      <c r="G26" s="91"/>
      <c r="H26" s="88"/>
      <c r="I26" s="88"/>
      <c r="J26" s="55">
        <f t="shared" si="7"/>
        <v>6.4769266250000001E+33</v>
      </c>
      <c r="K26" s="88"/>
      <c r="L26" s="55">
        <f t="shared" si="8"/>
        <v>1.8479251562499996E+67</v>
      </c>
      <c r="M26" s="88"/>
      <c r="N26" s="88"/>
      <c r="O26" s="88"/>
      <c r="P26" s="88"/>
      <c r="Q26" s="88"/>
      <c r="R26" s="88"/>
      <c r="S26" s="88"/>
      <c r="T26" s="55">
        <f t="shared" si="9"/>
        <v>4000000</v>
      </c>
      <c r="U26" s="88"/>
      <c r="V26" s="60">
        <f t="shared" si="10"/>
        <v>1.7194999999999999E+40</v>
      </c>
      <c r="W26" s="88"/>
      <c r="X26" s="55">
        <f t="shared" si="11"/>
        <v>6026800.0000000009</v>
      </c>
      <c r="Y26" s="88"/>
      <c r="Z26" s="61">
        <f t="shared" si="12"/>
        <v>2.5907706499999999E+40</v>
      </c>
      <c r="AA26" s="88"/>
      <c r="AB26" s="61">
        <f t="shared" si="13"/>
        <v>7.3917006249999988E+73</v>
      </c>
      <c r="AC26" s="88"/>
      <c r="AD26" s="88"/>
      <c r="AE26" s="88"/>
      <c r="AF26" s="85"/>
      <c r="AG26" s="88"/>
      <c r="AH26" s="88"/>
      <c r="AI26" s="82"/>
      <c r="AJ26" s="82"/>
      <c r="AK26" s="82"/>
      <c r="AL26" s="82"/>
    </row>
    <row r="27" spans="3:39">
      <c r="C27">
        <v>4.6299999999999995E+33</v>
      </c>
      <c r="D27">
        <v>1.6995333333333331</v>
      </c>
      <c r="E27" s="59">
        <v>0</v>
      </c>
      <c r="F27" s="59">
        <v>5.0000000000000001E-4</v>
      </c>
      <c r="G27" s="91"/>
      <c r="H27" s="88"/>
      <c r="I27" s="88"/>
      <c r="J27" s="55">
        <f t="shared" si="7"/>
        <v>7.8688393333333314E+33</v>
      </c>
      <c r="K27" s="88"/>
      <c r="L27" s="55">
        <f t="shared" si="8"/>
        <v>2.1436899999999995E+67</v>
      </c>
      <c r="M27" s="88"/>
      <c r="N27" s="88"/>
      <c r="O27" s="88"/>
      <c r="P27" s="88"/>
      <c r="Q27" s="88"/>
      <c r="R27" s="88"/>
      <c r="S27" s="88"/>
      <c r="T27" s="55">
        <f t="shared" si="9"/>
        <v>4000000</v>
      </c>
      <c r="U27" s="88"/>
      <c r="V27" s="60">
        <f t="shared" si="10"/>
        <v>1.8519999999999997E+40</v>
      </c>
      <c r="W27" s="88"/>
      <c r="X27" s="55">
        <f t="shared" si="11"/>
        <v>6798133.3333333321</v>
      </c>
      <c r="Y27" s="88"/>
      <c r="Z27" s="61">
        <f t="shared" si="12"/>
        <v>3.1475357333333326E+40</v>
      </c>
      <c r="AA27" s="88"/>
      <c r="AB27" s="61">
        <f t="shared" si="13"/>
        <v>8.5747599999999984E+73</v>
      </c>
      <c r="AC27" s="88"/>
      <c r="AD27" s="88"/>
      <c r="AE27" s="88"/>
      <c r="AF27" s="85"/>
      <c r="AG27" s="88"/>
      <c r="AH27" s="88"/>
      <c r="AI27" s="82"/>
      <c r="AJ27" s="82"/>
      <c r="AK27" s="82"/>
      <c r="AL27" s="82"/>
    </row>
    <row r="28" spans="3:39">
      <c r="C28" s="41">
        <v>5.1262499999999998E+33</v>
      </c>
      <c r="D28" s="41">
        <v>1.9395999999999998</v>
      </c>
      <c r="E28" s="59">
        <v>0</v>
      </c>
      <c r="F28" s="59">
        <v>5.0000000000000001E-4</v>
      </c>
      <c r="G28" s="91"/>
      <c r="H28" s="88"/>
      <c r="I28" s="88"/>
      <c r="J28" s="55">
        <f t="shared" si="7"/>
        <v>9.9428744999999989E+33</v>
      </c>
      <c r="K28" s="88"/>
      <c r="L28" s="55">
        <f t="shared" si="8"/>
        <v>2.6278439062499999E+67</v>
      </c>
      <c r="M28" s="88"/>
      <c r="N28" s="88"/>
      <c r="O28" s="88"/>
      <c r="P28" s="88"/>
      <c r="Q28" s="88"/>
      <c r="R28" s="88"/>
      <c r="S28" s="88"/>
      <c r="T28" s="55">
        <f t="shared" si="9"/>
        <v>4000000</v>
      </c>
      <c r="U28" s="88"/>
      <c r="V28" s="60">
        <f t="shared" si="10"/>
        <v>2.0504999999999999E+40</v>
      </c>
      <c r="W28" s="88"/>
      <c r="X28" s="55">
        <f t="shared" si="11"/>
        <v>7758399.9999999991</v>
      </c>
      <c r="Y28" s="88"/>
      <c r="Z28" s="61">
        <f t="shared" si="12"/>
        <v>3.9771497999999996E+40</v>
      </c>
      <c r="AA28" s="88"/>
      <c r="AB28" s="61">
        <f t="shared" si="13"/>
        <v>1.0511375624999999E+74</v>
      </c>
      <c r="AC28" s="88"/>
      <c r="AD28" s="88"/>
      <c r="AE28" s="88"/>
      <c r="AF28" s="85"/>
      <c r="AG28" s="88"/>
      <c r="AH28" s="88"/>
      <c r="AI28" s="82"/>
      <c r="AJ28" s="82"/>
      <c r="AK28" s="82"/>
      <c r="AL28" s="82"/>
    </row>
    <row r="29" spans="3:39">
      <c r="C29" s="58">
        <v>0</v>
      </c>
      <c r="D29" s="59">
        <v>0</v>
      </c>
      <c r="E29" s="59">
        <v>0</v>
      </c>
      <c r="F29" s="59">
        <v>0</v>
      </c>
      <c r="G29" s="91"/>
      <c r="H29" s="88"/>
      <c r="I29" s="88"/>
      <c r="J29" s="55">
        <f t="shared" si="7"/>
        <v>0</v>
      </c>
      <c r="K29" s="88"/>
      <c r="L29" s="55">
        <f t="shared" si="8"/>
        <v>0</v>
      </c>
      <c r="M29" s="88"/>
      <c r="N29" s="88"/>
      <c r="O29" s="88"/>
      <c r="P29" s="88"/>
      <c r="Q29" s="88"/>
      <c r="R29" s="88"/>
      <c r="S29" s="88"/>
      <c r="T29" s="55" t="e">
        <f t="shared" si="9"/>
        <v>#DIV/0!</v>
      </c>
      <c r="U29" s="88"/>
      <c r="V29" s="60" t="e">
        <f t="shared" si="10"/>
        <v>#DIV/0!</v>
      </c>
      <c r="W29" s="88"/>
      <c r="X29" s="55" t="e">
        <f t="shared" si="11"/>
        <v>#DIV/0!</v>
      </c>
      <c r="Y29" s="88"/>
      <c r="Z29" s="61" t="e">
        <f t="shared" si="12"/>
        <v>#DIV/0!</v>
      </c>
      <c r="AA29" s="88"/>
      <c r="AB29" s="61" t="e">
        <f t="shared" si="13"/>
        <v>#DIV/0!</v>
      </c>
      <c r="AC29" s="88"/>
      <c r="AD29" s="88"/>
      <c r="AE29" s="88"/>
      <c r="AF29" s="85"/>
      <c r="AG29" s="88"/>
      <c r="AH29" s="88"/>
      <c r="AI29" s="82"/>
      <c r="AJ29" s="82"/>
      <c r="AK29" s="82"/>
      <c r="AL29" s="82"/>
    </row>
    <row r="30" spans="3:39">
      <c r="C30" s="58">
        <v>0</v>
      </c>
      <c r="D30" s="59">
        <v>0</v>
      </c>
      <c r="E30" s="59">
        <v>0</v>
      </c>
      <c r="F30" s="59">
        <v>0</v>
      </c>
      <c r="G30" s="91"/>
      <c r="H30" s="88"/>
      <c r="I30" s="88"/>
      <c r="J30" s="55">
        <f t="shared" si="7"/>
        <v>0</v>
      </c>
      <c r="K30" s="88"/>
      <c r="L30" s="55">
        <f t="shared" si="8"/>
        <v>0</v>
      </c>
      <c r="M30" s="88"/>
      <c r="N30" s="88"/>
      <c r="O30" s="88"/>
      <c r="P30" s="88"/>
      <c r="Q30" s="88"/>
      <c r="R30" s="88"/>
      <c r="S30" s="88"/>
      <c r="T30" s="55" t="e">
        <f t="shared" si="9"/>
        <v>#DIV/0!</v>
      </c>
      <c r="U30" s="88"/>
      <c r="V30" s="60" t="e">
        <f t="shared" si="10"/>
        <v>#DIV/0!</v>
      </c>
      <c r="W30" s="88"/>
      <c r="X30" s="55" t="e">
        <f t="shared" si="11"/>
        <v>#DIV/0!</v>
      </c>
      <c r="Y30" s="88"/>
      <c r="Z30" s="61" t="e">
        <f t="shared" si="12"/>
        <v>#DIV/0!</v>
      </c>
      <c r="AA30" s="88"/>
      <c r="AB30" s="61" t="e">
        <f t="shared" si="13"/>
        <v>#DIV/0!</v>
      </c>
      <c r="AC30" s="88"/>
      <c r="AD30" s="88"/>
      <c r="AE30" s="88"/>
      <c r="AF30" s="85"/>
      <c r="AG30" s="88"/>
      <c r="AH30" s="88"/>
      <c r="AI30" s="82"/>
      <c r="AJ30" s="82"/>
      <c r="AK30" s="82"/>
      <c r="AL30" s="82"/>
    </row>
    <row r="31" spans="3:39">
      <c r="C31" s="58">
        <v>0</v>
      </c>
      <c r="D31" s="59">
        <v>0</v>
      </c>
      <c r="E31" s="59">
        <v>0</v>
      </c>
      <c r="F31" s="59">
        <v>0</v>
      </c>
      <c r="G31" s="91"/>
      <c r="H31" s="88"/>
      <c r="I31" s="88"/>
      <c r="J31" s="55">
        <f t="shared" si="7"/>
        <v>0</v>
      </c>
      <c r="K31" s="88"/>
      <c r="L31" s="55">
        <f t="shared" si="8"/>
        <v>0</v>
      </c>
      <c r="M31" s="88"/>
      <c r="N31" s="88"/>
      <c r="O31" s="88"/>
      <c r="P31" s="88"/>
      <c r="Q31" s="88"/>
      <c r="R31" s="88"/>
      <c r="S31" s="88"/>
      <c r="T31" s="55" t="e">
        <f t="shared" si="9"/>
        <v>#DIV/0!</v>
      </c>
      <c r="U31" s="88"/>
      <c r="V31" s="60" t="e">
        <f t="shared" si="10"/>
        <v>#DIV/0!</v>
      </c>
      <c r="W31" s="88"/>
      <c r="X31" s="55" t="e">
        <f t="shared" si="11"/>
        <v>#DIV/0!</v>
      </c>
      <c r="Y31" s="88"/>
      <c r="Z31" s="61" t="e">
        <f t="shared" si="12"/>
        <v>#DIV/0!</v>
      </c>
      <c r="AA31" s="88"/>
      <c r="AB31" s="61" t="e">
        <f t="shared" si="13"/>
        <v>#DIV/0!</v>
      </c>
      <c r="AC31" s="88"/>
      <c r="AD31" s="88"/>
      <c r="AE31" s="88"/>
      <c r="AF31" s="85"/>
      <c r="AG31" s="88"/>
      <c r="AH31" s="88"/>
      <c r="AI31" s="82"/>
      <c r="AJ31" s="82"/>
      <c r="AK31" s="82"/>
      <c r="AL31" s="82"/>
    </row>
    <row r="32" spans="3:39">
      <c r="C32" s="58">
        <v>0</v>
      </c>
      <c r="D32" s="59">
        <v>0</v>
      </c>
      <c r="E32" s="59">
        <v>0</v>
      </c>
      <c r="F32" s="59">
        <v>0</v>
      </c>
      <c r="G32" s="91"/>
      <c r="H32" s="88"/>
      <c r="I32" s="88"/>
      <c r="J32" s="55">
        <f t="shared" si="7"/>
        <v>0</v>
      </c>
      <c r="K32" s="88"/>
      <c r="L32" s="55">
        <f t="shared" si="8"/>
        <v>0</v>
      </c>
      <c r="M32" s="88"/>
      <c r="N32" s="88"/>
      <c r="O32" s="88"/>
      <c r="P32" s="88"/>
      <c r="Q32" s="88"/>
      <c r="R32" s="88"/>
      <c r="S32" s="88"/>
      <c r="T32" s="55" t="e">
        <f t="shared" si="9"/>
        <v>#DIV/0!</v>
      </c>
      <c r="U32" s="88"/>
      <c r="V32" s="60" t="e">
        <f t="shared" si="10"/>
        <v>#DIV/0!</v>
      </c>
      <c r="W32" s="88"/>
      <c r="X32" s="55" t="e">
        <f t="shared" si="11"/>
        <v>#DIV/0!</v>
      </c>
      <c r="Y32" s="88"/>
      <c r="Z32" s="61" t="e">
        <f t="shared" si="12"/>
        <v>#DIV/0!</v>
      </c>
      <c r="AA32" s="88"/>
      <c r="AB32" s="61" t="e">
        <f t="shared" si="13"/>
        <v>#DIV/0!</v>
      </c>
      <c r="AC32" s="88"/>
      <c r="AD32" s="88"/>
      <c r="AE32" s="88"/>
      <c r="AF32" s="85"/>
      <c r="AG32" s="88"/>
      <c r="AH32" s="88"/>
      <c r="AI32" s="82"/>
      <c r="AJ32" s="82"/>
      <c r="AK32" s="82"/>
      <c r="AL32" s="82"/>
    </row>
    <row r="33" spans="3:38" ht="17" thickBot="1">
      <c r="C33" s="62">
        <v>0</v>
      </c>
      <c r="D33" s="63">
        <v>0</v>
      </c>
      <c r="E33" s="63">
        <v>0</v>
      </c>
      <c r="F33" s="63">
        <v>0</v>
      </c>
      <c r="G33" s="92"/>
      <c r="H33" s="89"/>
      <c r="I33" s="89"/>
      <c r="J33" s="64">
        <f t="shared" si="7"/>
        <v>0</v>
      </c>
      <c r="K33" s="89"/>
      <c r="L33" s="64">
        <f t="shared" si="8"/>
        <v>0</v>
      </c>
      <c r="M33" s="89"/>
      <c r="N33" s="89"/>
      <c r="O33" s="89"/>
      <c r="P33" s="89"/>
      <c r="Q33" s="89"/>
      <c r="R33" s="89"/>
      <c r="S33" s="89"/>
      <c r="T33" s="55" t="e">
        <f t="shared" si="9"/>
        <v>#DIV/0!</v>
      </c>
      <c r="U33" s="89"/>
      <c r="V33" s="65" t="e">
        <f t="shared" si="10"/>
        <v>#DIV/0!</v>
      </c>
      <c r="W33" s="89"/>
      <c r="X33" s="64" t="e">
        <f t="shared" si="11"/>
        <v>#DIV/0!</v>
      </c>
      <c r="Y33" s="89"/>
      <c r="Z33" s="66" t="e">
        <f t="shared" si="12"/>
        <v>#DIV/0!</v>
      </c>
      <c r="AA33" s="89"/>
      <c r="AB33" s="66" t="e">
        <f t="shared" si="13"/>
        <v>#DIV/0!</v>
      </c>
      <c r="AC33" s="89"/>
      <c r="AD33" s="89"/>
      <c r="AE33" s="89"/>
      <c r="AF33" s="86"/>
      <c r="AG33" s="89"/>
      <c r="AH33" s="89"/>
      <c r="AI33" s="83"/>
      <c r="AJ33" s="83"/>
      <c r="AK33" s="83"/>
      <c r="AL33" s="83"/>
    </row>
    <row r="38" spans="3:38" ht="17" thickBot="1"/>
    <row r="39" spans="3:38" ht="17" thickBot="1">
      <c r="C39" s="41"/>
      <c r="D39" s="41"/>
      <c r="E39" s="41"/>
      <c r="F39" s="41"/>
      <c r="G39" s="93" t="s">
        <v>46</v>
      </c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5"/>
      <c r="T39" s="96" t="s">
        <v>47</v>
      </c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8"/>
      <c r="AI39" s="41"/>
      <c r="AJ39" s="41"/>
      <c r="AK39" s="41"/>
      <c r="AL39" s="41"/>
    </row>
    <row r="40" spans="3:38" ht="18" thickBot="1">
      <c r="C40" s="44" t="s">
        <v>48</v>
      </c>
      <c r="D40" s="44" t="s">
        <v>49</v>
      </c>
      <c r="E40" s="44" t="s">
        <v>50</v>
      </c>
      <c r="F40" s="44" t="s">
        <v>51</v>
      </c>
      <c r="G40" s="45" t="s">
        <v>52</v>
      </c>
      <c r="H40" s="45" t="s">
        <v>53</v>
      </c>
      <c r="I40" s="45" t="s">
        <v>54</v>
      </c>
      <c r="J40" s="45" t="s">
        <v>55</v>
      </c>
      <c r="K40" s="45" t="s">
        <v>56</v>
      </c>
      <c r="L40" s="45" t="s">
        <v>57</v>
      </c>
      <c r="M40" s="45" t="s">
        <v>58</v>
      </c>
      <c r="N40" s="45" t="s">
        <v>59</v>
      </c>
      <c r="O40" s="46" t="s">
        <v>60</v>
      </c>
      <c r="P40" s="46" t="s">
        <v>61</v>
      </c>
      <c r="Q40" s="46" t="s">
        <v>62</v>
      </c>
      <c r="R40" s="45" t="s">
        <v>42</v>
      </c>
      <c r="S40" s="45" t="s">
        <v>39</v>
      </c>
      <c r="T40" s="47" t="s">
        <v>63</v>
      </c>
      <c r="U40" s="42" t="s">
        <v>52</v>
      </c>
      <c r="V40" s="42" t="s">
        <v>64</v>
      </c>
      <c r="W40" s="42" t="s">
        <v>53</v>
      </c>
      <c r="X40" s="48" t="s">
        <v>65</v>
      </c>
      <c r="Y40" s="47" t="s">
        <v>54</v>
      </c>
      <c r="Z40" s="43" t="s">
        <v>66</v>
      </c>
      <c r="AA40" s="43" t="s">
        <v>56</v>
      </c>
      <c r="AB40" s="43" t="s">
        <v>67</v>
      </c>
      <c r="AC40" s="43" t="s">
        <v>68</v>
      </c>
      <c r="AD40" s="47" t="s">
        <v>42</v>
      </c>
      <c r="AE40" s="47" t="s">
        <v>39</v>
      </c>
      <c r="AF40" s="42" t="s">
        <v>59</v>
      </c>
      <c r="AG40" s="49" t="s">
        <v>69</v>
      </c>
      <c r="AH40" s="49" t="s">
        <v>70</v>
      </c>
      <c r="AI40" s="50" t="s">
        <v>71</v>
      </c>
      <c r="AJ40" s="50" t="s">
        <v>72</v>
      </c>
      <c r="AK40" s="51" t="s">
        <v>73</v>
      </c>
      <c r="AL40" s="50" t="s">
        <v>74</v>
      </c>
    </row>
    <row r="41" spans="3:38">
      <c r="C41" s="52">
        <v>518599999999999.94</v>
      </c>
      <c r="D41" s="53">
        <v>0.78323333333333334</v>
      </c>
      <c r="E41" s="53">
        <v>0</v>
      </c>
      <c r="F41" s="53">
        <v>5.0000000000000001E-4</v>
      </c>
      <c r="G41" s="90">
        <f>COUNTA(D41:D50)</f>
        <v>5</v>
      </c>
      <c r="H41" s="87">
        <f>SUM(C41:C50)</f>
        <v>3361400000000000</v>
      </c>
      <c r="I41" s="87">
        <f>SUM(D41:D50)</f>
        <v>6.8335666666666661</v>
      </c>
      <c r="J41" s="54">
        <f t="shared" ref="J41:J50" si="14">C41*D41</f>
        <v>406184806666666.62</v>
      </c>
      <c r="K41" s="87">
        <f>SUM(J41:J50)</f>
        <v>4829640280000000</v>
      </c>
      <c r="L41" s="54">
        <f t="shared" ref="L41:L50" si="15">C41^2</f>
        <v>2.6894595999999993E+29</v>
      </c>
      <c r="M41" s="87">
        <f>SUM(L41:L50)</f>
        <v>2.3163634799999998E+30</v>
      </c>
      <c r="N41" s="87">
        <f>(G41*M41)-(H41^2)</f>
        <v>2.8280743999999777E+29</v>
      </c>
      <c r="O41" s="87">
        <f>SQRT($F41^2+(S41*$E41)^2)</f>
        <v>5.0000000000000001E-4</v>
      </c>
      <c r="P41" s="87">
        <f>O41*SQRT(M41/N41)</f>
        <v>1.4309614816430331E-3</v>
      </c>
      <c r="Q41" s="87">
        <f>O41*SQRT(G41/N41)</f>
        <v>2.1023721325137796E-18</v>
      </c>
      <c r="R41" s="87">
        <f>(M41*I41-H41*K41)/N41</f>
        <v>-1.4332316447544924</v>
      </c>
      <c r="S41" s="87">
        <f>((G41*K41)-(H41*I41))/N41</f>
        <v>4.1648494348899633E-15</v>
      </c>
      <c r="T41" s="55">
        <f t="shared" ref="T41:T50" si="16">1/(F41^2+($S41*E41)^2)</f>
        <v>4000000</v>
      </c>
      <c r="U41" s="87" t="e">
        <f>SUM(T41:T50)</f>
        <v>#DIV/0!</v>
      </c>
      <c r="V41" s="56">
        <f t="shared" ref="V41:V50" si="17">T41*C41</f>
        <v>2.0743999999999997E+21</v>
      </c>
      <c r="W41" s="87" t="e">
        <f>SUM(V41:V50)</f>
        <v>#DIV/0!</v>
      </c>
      <c r="X41" s="54">
        <f t="shared" ref="X41:X50" si="18">T41*D41</f>
        <v>3132933.3333333335</v>
      </c>
      <c r="Y41" s="87" t="e">
        <f>SUM(X41:X50)</f>
        <v>#DIV/0!</v>
      </c>
      <c r="Z41" s="57">
        <f t="shared" ref="Z41:Z50" si="19">T41*C41*D41</f>
        <v>1.6247392266666666E+21</v>
      </c>
      <c r="AA41" s="87" t="e">
        <f>SUM(Z41:Z50)</f>
        <v>#DIV/0!</v>
      </c>
      <c r="AB41" s="57">
        <f t="shared" ref="AB41:AB50" si="20">T41*L41</f>
        <v>1.0757838399999998E+36</v>
      </c>
      <c r="AC41" s="87" t="e">
        <f>SUM(AB41:AB50)</f>
        <v>#DIV/0!</v>
      </c>
      <c r="AD41" s="87" t="e">
        <f>((AC41*Y41)-(W41*AA41))/AF41</f>
        <v>#DIV/0!</v>
      </c>
      <c r="AE41" s="87" t="e">
        <f>((U41*AA41)-(W41*Y41))/AF41</f>
        <v>#DIV/0!</v>
      </c>
      <c r="AF41" s="84" t="e">
        <f>(U41*AC41)-(W41^2)</f>
        <v>#DIV/0!</v>
      </c>
      <c r="AG41" s="87" t="e">
        <f>SQRT((AC41/AF41))</f>
        <v>#DIV/0!</v>
      </c>
      <c r="AH41" s="87" t="e">
        <f>SQRT((U41/AF41))</f>
        <v>#DIV/0!</v>
      </c>
      <c r="AI41" s="81">
        <f>_xlfn.STDEV.S(C41:C50)</f>
        <v>118913296144711.69</v>
      </c>
      <c r="AJ41" s="81">
        <f>_xlfn.STDEV.S(D41:D50)</f>
        <v>0.50315371110625828</v>
      </c>
      <c r="AK41" s="81">
        <f>_xlfn.COVARIANCE.S(C41:C50,D41:D50)</f>
        <v>58892520333333.328</v>
      </c>
      <c r="AL41" s="81">
        <f>CORREL(C41:C50,D41:D50)</f>
        <v>0.9843035305459813</v>
      </c>
    </row>
    <row r="42" spans="3:38">
      <c r="C42" s="58">
        <v>594000000000000</v>
      </c>
      <c r="D42" s="59">
        <v>0.90450000000000008</v>
      </c>
      <c r="E42" s="59">
        <v>0</v>
      </c>
      <c r="F42" s="59">
        <v>5.0000000000000001E-4</v>
      </c>
      <c r="G42" s="91"/>
      <c r="H42" s="88"/>
      <c r="I42" s="88"/>
      <c r="J42" s="55">
        <f t="shared" si="14"/>
        <v>537273000000000.06</v>
      </c>
      <c r="K42" s="88"/>
      <c r="L42" s="55">
        <f t="shared" si="15"/>
        <v>3.5283599999999999E+29</v>
      </c>
      <c r="M42" s="88"/>
      <c r="N42" s="88"/>
      <c r="O42" s="88"/>
      <c r="P42" s="88"/>
      <c r="Q42" s="88"/>
      <c r="R42" s="88"/>
      <c r="S42" s="88"/>
      <c r="T42" s="55">
        <f t="shared" si="16"/>
        <v>4000000</v>
      </c>
      <c r="U42" s="88"/>
      <c r="V42" s="60">
        <f t="shared" si="17"/>
        <v>2.376E+21</v>
      </c>
      <c r="W42" s="88"/>
      <c r="X42" s="55">
        <f t="shared" si="18"/>
        <v>3618000.0000000005</v>
      </c>
      <c r="Y42" s="88"/>
      <c r="Z42" s="61">
        <f t="shared" si="19"/>
        <v>2.1490920000000001E+21</v>
      </c>
      <c r="AA42" s="88"/>
      <c r="AB42" s="61">
        <f t="shared" si="20"/>
        <v>1.411344E+36</v>
      </c>
      <c r="AC42" s="88"/>
      <c r="AD42" s="88"/>
      <c r="AE42" s="88"/>
      <c r="AF42" s="85"/>
      <c r="AG42" s="88"/>
      <c r="AH42" s="88"/>
      <c r="AI42" s="82"/>
      <c r="AJ42" s="82"/>
      <c r="AK42" s="82"/>
      <c r="AL42" s="82"/>
    </row>
    <row r="43" spans="3:38">
      <c r="C43" s="58">
        <v>687800000000000</v>
      </c>
      <c r="D43" s="59">
        <v>1.5067000000000002</v>
      </c>
      <c r="E43" s="59">
        <v>0</v>
      </c>
      <c r="F43" s="59">
        <v>5.0000000000000001E-4</v>
      </c>
      <c r="G43" s="91"/>
      <c r="H43" s="88"/>
      <c r="I43" s="88"/>
      <c r="J43" s="55">
        <f t="shared" si="14"/>
        <v>1036308260000000.1</v>
      </c>
      <c r="K43" s="88"/>
      <c r="L43" s="55">
        <f t="shared" si="15"/>
        <v>4.7306883999999998E+29</v>
      </c>
      <c r="M43" s="88"/>
      <c r="N43" s="88"/>
      <c r="O43" s="88"/>
      <c r="P43" s="88"/>
      <c r="Q43" s="88"/>
      <c r="R43" s="88"/>
      <c r="S43" s="88"/>
      <c r="T43" s="55">
        <f t="shared" si="16"/>
        <v>4000000</v>
      </c>
      <c r="U43" s="88"/>
      <c r="V43" s="60">
        <f t="shared" si="17"/>
        <v>2.7512E+21</v>
      </c>
      <c r="W43" s="88"/>
      <c r="X43" s="55">
        <f t="shared" si="18"/>
        <v>6026800.0000000009</v>
      </c>
      <c r="Y43" s="88"/>
      <c r="Z43" s="61">
        <f t="shared" si="19"/>
        <v>4.1452330400000005E+21</v>
      </c>
      <c r="AA43" s="88"/>
      <c r="AB43" s="61">
        <f t="shared" si="20"/>
        <v>1.8922753599999998E+36</v>
      </c>
      <c r="AC43" s="88"/>
      <c r="AD43" s="88"/>
      <c r="AE43" s="88"/>
      <c r="AF43" s="85"/>
      <c r="AG43" s="88"/>
      <c r="AH43" s="88"/>
      <c r="AI43" s="82"/>
      <c r="AJ43" s="82"/>
      <c r="AK43" s="82"/>
      <c r="AL43" s="82"/>
    </row>
    <row r="44" spans="3:38">
      <c r="C44" s="58">
        <v>740800000000000</v>
      </c>
      <c r="D44" s="59">
        <v>1.6995333333333331</v>
      </c>
      <c r="E44" s="59">
        <v>0</v>
      </c>
      <c r="F44" s="59">
        <v>5.0000000000000001E-4</v>
      </c>
      <c r="G44" s="91"/>
      <c r="H44" s="88"/>
      <c r="I44" s="88"/>
      <c r="J44" s="55">
        <f t="shared" si="14"/>
        <v>1259014293333333.2</v>
      </c>
      <c r="K44" s="88"/>
      <c r="L44" s="55">
        <f t="shared" si="15"/>
        <v>5.4878463999999999E+29</v>
      </c>
      <c r="M44" s="88"/>
      <c r="N44" s="88"/>
      <c r="O44" s="88"/>
      <c r="P44" s="88"/>
      <c r="Q44" s="88"/>
      <c r="R44" s="88"/>
      <c r="S44" s="88"/>
      <c r="T44" s="55">
        <f t="shared" si="16"/>
        <v>4000000</v>
      </c>
      <c r="U44" s="88"/>
      <c r="V44" s="60">
        <f t="shared" si="17"/>
        <v>2.9632E+21</v>
      </c>
      <c r="W44" s="88"/>
      <c r="X44" s="55">
        <f t="shared" si="18"/>
        <v>6798133.3333333321</v>
      </c>
      <c r="Y44" s="88"/>
      <c r="Z44" s="61">
        <f t="shared" si="19"/>
        <v>5.036057173333333E+21</v>
      </c>
      <c r="AA44" s="88"/>
      <c r="AB44" s="61">
        <f t="shared" si="20"/>
        <v>2.1951385599999999E+36</v>
      </c>
      <c r="AC44" s="88"/>
      <c r="AD44" s="88"/>
      <c r="AE44" s="88"/>
      <c r="AF44" s="85"/>
      <c r="AG44" s="88"/>
      <c r="AH44" s="88"/>
      <c r="AI44" s="82"/>
      <c r="AJ44" s="82"/>
      <c r="AK44" s="82"/>
      <c r="AL44" s="82"/>
    </row>
    <row r="45" spans="3:38">
      <c r="C45" s="58">
        <v>820200000000000</v>
      </c>
      <c r="D45" s="59">
        <v>1.9395999999999998</v>
      </c>
      <c r="E45" s="59">
        <v>0</v>
      </c>
      <c r="F45" s="59">
        <v>5.0000000000000001E-4</v>
      </c>
      <c r="G45" s="91"/>
      <c r="H45" s="88"/>
      <c r="I45" s="88"/>
      <c r="J45" s="55">
        <f t="shared" si="14"/>
        <v>1590859919999999.8</v>
      </c>
      <c r="K45" s="88"/>
      <c r="L45" s="55">
        <f t="shared" si="15"/>
        <v>6.7272803999999999E+29</v>
      </c>
      <c r="M45" s="88"/>
      <c r="N45" s="88"/>
      <c r="O45" s="88"/>
      <c r="P45" s="88"/>
      <c r="Q45" s="88"/>
      <c r="R45" s="88"/>
      <c r="S45" s="88"/>
      <c r="T45" s="55">
        <f t="shared" si="16"/>
        <v>4000000</v>
      </c>
      <c r="U45" s="88"/>
      <c r="V45" s="60">
        <f t="shared" si="17"/>
        <v>3.2808E+21</v>
      </c>
      <c r="W45" s="88"/>
      <c r="X45" s="55">
        <f t="shared" si="18"/>
        <v>7758399.9999999991</v>
      </c>
      <c r="Y45" s="88"/>
      <c r="Z45" s="61">
        <f t="shared" si="19"/>
        <v>6.3634396799999997E+21</v>
      </c>
      <c r="AA45" s="88"/>
      <c r="AB45" s="61">
        <f t="shared" si="20"/>
        <v>2.6909121600000001E+36</v>
      </c>
      <c r="AC45" s="88"/>
      <c r="AD45" s="88"/>
      <c r="AE45" s="88"/>
      <c r="AF45" s="85"/>
      <c r="AG45" s="88"/>
      <c r="AH45" s="88"/>
      <c r="AI45" s="82"/>
      <c r="AJ45" s="82"/>
      <c r="AK45" s="82"/>
      <c r="AL45" s="82"/>
    </row>
    <row r="46" spans="3:38">
      <c r="C46" s="58"/>
      <c r="D46" s="59"/>
      <c r="E46" s="59"/>
      <c r="F46" s="59"/>
      <c r="G46" s="91"/>
      <c r="H46" s="88"/>
      <c r="I46" s="88"/>
      <c r="J46" s="55">
        <f t="shared" si="14"/>
        <v>0</v>
      </c>
      <c r="K46" s="88"/>
      <c r="L46" s="55">
        <f t="shared" si="15"/>
        <v>0</v>
      </c>
      <c r="M46" s="88"/>
      <c r="N46" s="88"/>
      <c r="O46" s="88"/>
      <c r="P46" s="88"/>
      <c r="Q46" s="88"/>
      <c r="R46" s="88"/>
      <c r="S46" s="88"/>
      <c r="T46" s="55" t="e">
        <f t="shared" si="16"/>
        <v>#DIV/0!</v>
      </c>
      <c r="U46" s="88"/>
      <c r="V46" s="60" t="e">
        <f t="shared" si="17"/>
        <v>#DIV/0!</v>
      </c>
      <c r="W46" s="88"/>
      <c r="X46" s="55" t="e">
        <f t="shared" si="18"/>
        <v>#DIV/0!</v>
      </c>
      <c r="Y46" s="88"/>
      <c r="Z46" s="61" t="e">
        <f t="shared" si="19"/>
        <v>#DIV/0!</v>
      </c>
      <c r="AA46" s="88"/>
      <c r="AB46" s="61" t="e">
        <f t="shared" si="20"/>
        <v>#DIV/0!</v>
      </c>
      <c r="AC46" s="88"/>
      <c r="AD46" s="88"/>
      <c r="AE46" s="88"/>
      <c r="AF46" s="85"/>
      <c r="AG46" s="88"/>
      <c r="AH46" s="88"/>
      <c r="AI46" s="82"/>
      <c r="AJ46" s="82"/>
      <c r="AK46" s="82"/>
      <c r="AL46" s="82"/>
    </row>
    <row r="47" spans="3:38">
      <c r="C47" s="58"/>
      <c r="D47" s="59"/>
      <c r="E47" s="59"/>
      <c r="F47" s="59"/>
      <c r="G47" s="91"/>
      <c r="H47" s="88"/>
      <c r="I47" s="88"/>
      <c r="J47" s="55">
        <f t="shared" si="14"/>
        <v>0</v>
      </c>
      <c r="K47" s="88"/>
      <c r="L47" s="55">
        <f t="shared" si="15"/>
        <v>0</v>
      </c>
      <c r="M47" s="88"/>
      <c r="N47" s="88"/>
      <c r="O47" s="88"/>
      <c r="P47" s="88"/>
      <c r="Q47" s="88"/>
      <c r="R47" s="88"/>
      <c r="S47" s="88"/>
      <c r="T47" s="55" t="e">
        <f t="shared" si="16"/>
        <v>#DIV/0!</v>
      </c>
      <c r="U47" s="88"/>
      <c r="V47" s="60" t="e">
        <f t="shared" si="17"/>
        <v>#DIV/0!</v>
      </c>
      <c r="W47" s="88"/>
      <c r="X47" s="55" t="e">
        <f t="shared" si="18"/>
        <v>#DIV/0!</v>
      </c>
      <c r="Y47" s="88"/>
      <c r="Z47" s="61" t="e">
        <f t="shared" si="19"/>
        <v>#DIV/0!</v>
      </c>
      <c r="AA47" s="88"/>
      <c r="AB47" s="61" t="e">
        <f t="shared" si="20"/>
        <v>#DIV/0!</v>
      </c>
      <c r="AC47" s="88"/>
      <c r="AD47" s="88"/>
      <c r="AE47" s="88"/>
      <c r="AF47" s="85"/>
      <c r="AG47" s="88"/>
      <c r="AH47" s="88"/>
      <c r="AI47" s="82"/>
      <c r="AJ47" s="82"/>
      <c r="AK47" s="82"/>
      <c r="AL47" s="82"/>
    </row>
    <row r="48" spans="3:38">
      <c r="C48" s="58"/>
      <c r="D48" s="59"/>
      <c r="E48" s="59"/>
      <c r="F48" s="59"/>
      <c r="G48" s="91"/>
      <c r="H48" s="88"/>
      <c r="I48" s="88"/>
      <c r="J48" s="55">
        <f t="shared" si="14"/>
        <v>0</v>
      </c>
      <c r="K48" s="88"/>
      <c r="L48" s="55">
        <f t="shared" si="15"/>
        <v>0</v>
      </c>
      <c r="M48" s="88"/>
      <c r="N48" s="88"/>
      <c r="O48" s="88"/>
      <c r="P48" s="88"/>
      <c r="Q48" s="88"/>
      <c r="R48" s="88"/>
      <c r="S48" s="88"/>
      <c r="T48" s="55" t="e">
        <f t="shared" si="16"/>
        <v>#DIV/0!</v>
      </c>
      <c r="U48" s="88"/>
      <c r="V48" s="60" t="e">
        <f t="shared" si="17"/>
        <v>#DIV/0!</v>
      </c>
      <c r="W48" s="88"/>
      <c r="X48" s="55" t="e">
        <f t="shared" si="18"/>
        <v>#DIV/0!</v>
      </c>
      <c r="Y48" s="88"/>
      <c r="Z48" s="61" t="e">
        <f t="shared" si="19"/>
        <v>#DIV/0!</v>
      </c>
      <c r="AA48" s="88"/>
      <c r="AB48" s="61" t="e">
        <f t="shared" si="20"/>
        <v>#DIV/0!</v>
      </c>
      <c r="AC48" s="88"/>
      <c r="AD48" s="88"/>
      <c r="AE48" s="88"/>
      <c r="AF48" s="85"/>
      <c r="AG48" s="88"/>
      <c r="AH48" s="88"/>
      <c r="AI48" s="82"/>
      <c r="AJ48" s="82"/>
      <c r="AK48" s="82"/>
      <c r="AL48" s="82"/>
    </row>
    <row r="49" spans="3:38">
      <c r="C49" s="58"/>
      <c r="D49" s="59"/>
      <c r="E49" s="59"/>
      <c r="F49" s="59"/>
      <c r="G49" s="91"/>
      <c r="H49" s="88"/>
      <c r="I49" s="88"/>
      <c r="J49" s="55">
        <f t="shared" si="14"/>
        <v>0</v>
      </c>
      <c r="K49" s="88"/>
      <c r="L49" s="55">
        <f t="shared" si="15"/>
        <v>0</v>
      </c>
      <c r="M49" s="88"/>
      <c r="N49" s="88"/>
      <c r="O49" s="88"/>
      <c r="P49" s="88"/>
      <c r="Q49" s="88"/>
      <c r="R49" s="88"/>
      <c r="S49" s="88"/>
      <c r="T49" s="55" t="e">
        <f t="shared" si="16"/>
        <v>#DIV/0!</v>
      </c>
      <c r="U49" s="88"/>
      <c r="V49" s="60" t="e">
        <f t="shared" si="17"/>
        <v>#DIV/0!</v>
      </c>
      <c r="W49" s="88"/>
      <c r="X49" s="55" t="e">
        <f t="shared" si="18"/>
        <v>#DIV/0!</v>
      </c>
      <c r="Y49" s="88"/>
      <c r="Z49" s="61" t="e">
        <f t="shared" si="19"/>
        <v>#DIV/0!</v>
      </c>
      <c r="AA49" s="88"/>
      <c r="AB49" s="61" t="e">
        <f t="shared" si="20"/>
        <v>#DIV/0!</v>
      </c>
      <c r="AC49" s="88"/>
      <c r="AD49" s="88"/>
      <c r="AE49" s="88"/>
      <c r="AF49" s="85"/>
      <c r="AG49" s="88"/>
      <c r="AH49" s="88"/>
      <c r="AI49" s="82"/>
      <c r="AJ49" s="82"/>
      <c r="AK49" s="82"/>
      <c r="AL49" s="82"/>
    </row>
    <row r="50" spans="3:38" ht="17" thickBot="1">
      <c r="C50" s="62"/>
      <c r="D50" s="63"/>
      <c r="E50" s="63"/>
      <c r="F50" s="63"/>
      <c r="G50" s="92"/>
      <c r="H50" s="89"/>
      <c r="I50" s="89"/>
      <c r="J50" s="64">
        <f t="shared" si="14"/>
        <v>0</v>
      </c>
      <c r="K50" s="89"/>
      <c r="L50" s="64">
        <f t="shared" si="15"/>
        <v>0</v>
      </c>
      <c r="M50" s="89"/>
      <c r="N50" s="89"/>
      <c r="O50" s="89"/>
      <c r="P50" s="89"/>
      <c r="Q50" s="89"/>
      <c r="R50" s="89"/>
      <c r="S50" s="89"/>
      <c r="T50" s="55" t="e">
        <f t="shared" si="16"/>
        <v>#DIV/0!</v>
      </c>
      <c r="U50" s="89"/>
      <c r="V50" s="65" t="e">
        <f t="shared" si="17"/>
        <v>#DIV/0!</v>
      </c>
      <c r="W50" s="89"/>
      <c r="X50" s="64" t="e">
        <f t="shared" si="18"/>
        <v>#DIV/0!</v>
      </c>
      <c r="Y50" s="89"/>
      <c r="Z50" s="66" t="e">
        <f t="shared" si="19"/>
        <v>#DIV/0!</v>
      </c>
      <c r="AA50" s="89"/>
      <c r="AB50" s="66" t="e">
        <f t="shared" si="20"/>
        <v>#DIV/0!</v>
      </c>
      <c r="AC50" s="89"/>
      <c r="AD50" s="89"/>
      <c r="AE50" s="89"/>
      <c r="AF50" s="86"/>
      <c r="AG50" s="89"/>
      <c r="AH50" s="89"/>
      <c r="AI50" s="83"/>
      <c r="AJ50" s="83"/>
      <c r="AK50" s="83"/>
      <c r="AL50" s="83"/>
    </row>
    <row r="54" spans="3:38" ht="17" thickBot="1"/>
    <row r="55" spans="3:38" ht="17" thickBot="1">
      <c r="C55" s="41"/>
      <c r="D55" s="41"/>
      <c r="E55" s="41"/>
      <c r="F55" s="41"/>
      <c r="G55" s="93" t="s">
        <v>46</v>
      </c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5"/>
      <c r="T55" s="96" t="s">
        <v>47</v>
      </c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8"/>
      <c r="AI55" s="41"/>
      <c r="AJ55" s="41"/>
      <c r="AK55" s="41"/>
      <c r="AL55" s="41"/>
    </row>
    <row r="56" spans="3:38" ht="18" thickBot="1">
      <c r="C56" s="44" t="s">
        <v>48</v>
      </c>
      <c r="D56" s="44" t="s">
        <v>49</v>
      </c>
      <c r="E56" s="44" t="s">
        <v>50</v>
      </c>
      <c r="F56" s="44" t="s">
        <v>51</v>
      </c>
      <c r="G56" s="45" t="s">
        <v>52</v>
      </c>
      <c r="H56" s="45" t="s">
        <v>53</v>
      </c>
      <c r="I56" s="45" t="s">
        <v>54</v>
      </c>
      <c r="J56" s="45" t="s">
        <v>55</v>
      </c>
      <c r="K56" s="45" t="s">
        <v>56</v>
      </c>
      <c r="L56" s="45" t="s">
        <v>57</v>
      </c>
      <c r="M56" s="45" t="s">
        <v>58</v>
      </c>
      <c r="N56" s="45" t="s">
        <v>59</v>
      </c>
      <c r="O56" s="46" t="s">
        <v>60</v>
      </c>
      <c r="P56" s="46" t="s">
        <v>61</v>
      </c>
      <c r="Q56" s="46" t="s">
        <v>62</v>
      </c>
      <c r="R56" s="45" t="s">
        <v>42</v>
      </c>
      <c r="S56" s="45" t="s">
        <v>39</v>
      </c>
      <c r="T56" s="47" t="s">
        <v>63</v>
      </c>
      <c r="U56" s="42" t="s">
        <v>52</v>
      </c>
      <c r="V56" s="42" t="s">
        <v>64</v>
      </c>
      <c r="W56" s="42" t="s">
        <v>53</v>
      </c>
      <c r="X56" s="48" t="s">
        <v>65</v>
      </c>
      <c r="Y56" s="47" t="s">
        <v>54</v>
      </c>
      <c r="Z56" s="43" t="s">
        <v>66</v>
      </c>
      <c r="AA56" s="43" t="s">
        <v>56</v>
      </c>
      <c r="AB56" s="43" t="s">
        <v>67</v>
      </c>
      <c r="AC56" s="43" t="s">
        <v>68</v>
      </c>
      <c r="AD56" s="47" t="s">
        <v>42</v>
      </c>
      <c r="AE56" s="47" t="s">
        <v>39</v>
      </c>
      <c r="AF56" s="42" t="s">
        <v>59</v>
      </c>
      <c r="AG56" s="49" t="s">
        <v>69</v>
      </c>
      <c r="AH56" s="49" t="s">
        <v>70</v>
      </c>
      <c r="AI56" s="50" t="s">
        <v>71</v>
      </c>
      <c r="AJ56" s="50" t="s">
        <v>72</v>
      </c>
      <c r="AK56" s="51" t="s">
        <v>73</v>
      </c>
      <c r="AL56" s="50" t="s">
        <v>74</v>
      </c>
    </row>
    <row r="57" spans="3:38">
      <c r="C57" s="52">
        <v>0</v>
      </c>
      <c r="D57" s="53">
        <v>0</v>
      </c>
      <c r="E57" s="53">
        <v>0</v>
      </c>
      <c r="F57" s="53">
        <v>0</v>
      </c>
      <c r="G57" s="90">
        <f>COUNTA(D57:D66)</f>
        <v>10</v>
      </c>
      <c r="H57" s="87">
        <f>SUM(C57:C66)</f>
        <v>0</v>
      </c>
      <c r="I57" s="87">
        <f>SUM(D57:D66)</f>
        <v>0</v>
      </c>
      <c r="J57" s="54">
        <f t="shared" ref="J57:J66" si="21">C57*D57</f>
        <v>0</v>
      </c>
      <c r="K57" s="87">
        <f>SUM(J57:J66)</f>
        <v>0</v>
      </c>
      <c r="L57" s="54">
        <f t="shared" ref="L57:L66" si="22">C57^2</f>
        <v>0</v>
      </c>
      <c r="M57" s="87">
        <f>SUM(L57:L66)</f>
        <v>0</v>
      </c>
      <c r="N57" s="87">
        <f>(G57*M57)-(H57^2)</f>
        <v>0</v>
      </c>
      <c r="O57" s="87" t="e">
        <f>SQRT($F57^2+(S57*$E57)^2)</f>
        <v>#DIV/0!</v>
      </c>
      <c r="P57" s="87" t="e">
        <f>O57*SQRT(M57/N57)</f>
        <v>#DIV/0!</v>
      </c>
      <c r="Q57" s="87" t="e">
        <f>O57*SQRT(G57/N57)</f>
        <v>#DIV/0!</v>
      </c>
      <c r="R57" s="87" t="e">
        <f>(M57*I57-H57*K57)/N57</f>
        <v>#DIV/0!</v>
      </c>
      <c r="S57" s="87" t="e">
        <f>((G57*K57)-(H57*I57))/N57</f>
        <v>#DIV/0!</v>
      </c>
      <c r="T57" s="55" t="e">
        <f t="shared" ref="T57:T66" si="23">1/(F57^2+($S57*E57)^2)</f>
        <v>#DIV/0!</v>
      </c>
      <c r="U57" s="87" t="e">
        <f>SUM(T57:T66)</f>
        <v>#DIV/0!</v>
      </c>
      <c r="V57" s="56" t="e">
        <f t="shared" ref="V57:V66" si="24">T57*C57</f>
        <v>#DIV/0!</v>
      </c>
      <c r="W57" s="87" t="e">
        <f>SUM(V57:V66)</f>
        <v>#DIV/0!</v>
      </c>
      <c r="X57" s="54" t="e">
        <f t="shared" ref="X57:X66" si="25">T57*D57</f>
        <v>#DIV/0!</v>
      </c>
      <c r="Y57" s="87" t="e">
        <f>SUM(X57:X66)</f>
        <v>#DIV/0!</v>
      </c>
      <c r="Z57" s="57" t="e">
        <f t="shared" ref="Z57:Z66" si="26">T57*C57*D57</f>
        <v>#DIV/0!</v>
      </c>
      <c r="AA57" s="87" t="e">
        <f>SUM(Z57:Z66)</f>
        <v>#DIV/0!</v>
      </c>
      <c r="AB57" s="57" t="e">
        <f t="shared" ref="AB57:AB66" si="27">T57*L57</f>
        <v>#DIV/0!</v>
      </c>
      <c r="AC57" s="87" t="e">
        <f>SUM(AB57:AB66)</f>
        <v>#DIV/0!</v>
      </c>
      <c r="AD57" s="87" t="e">
        <f>((AC57*Y57)-(W57*AA57))/AF57</f>
        <v>#DIV/0!</v>
      </c>
      <c r="AE57" s="87" t="e">
        <f>((U57*AA57)-(W57*Y57))/AF57</f>
        <v>#DIV/0!</v>
      </c>
      <c r="AF57" s="84" t="e">
        <f>(U57*AC57)-(W57^2)</f>
        <v>#DIV/0!</v>
      </c>
      <c r="AG57" s="87" t="e">
        <f>SQRT((AC57/AF57))</f>
        <v>#DIV/0!</v>
      </c>
      <c r="AH57" s="87" t="e">
        <f>SQRT((U57/AF57))</f>
        <v>#DIV/0!</v>
      </c>
      <c r="AI57" s="81">
        <f>_xlfn.STDEV.S(C57:C66)</f>
        <v>0</v>
      </c>
      <c r="AJ57" s="81">
        <f>_xlfn.STDEV.S(D57:D66)</f>
        <v>0</v>
      </c>
      <c r="AK57" s="81">
        <f>_xlfn.COVARIANCE.S(C57:C66,D57:D66)</f>
        <v>0</v>
      </c>
      <c r="AL57" s="81" t="e">
        <f>CORREL(C57:C66,D57:D66)</f>
        <v>#DIV/0!</v>
      </c>
    </row>
    <row r="58" spans="3:38">
      <c r="C58" s="58">
        <v>0</v>
      </c>
      <c r="D58" s="59">
        <v>0</v>
      </c>
      <c r="E58" s="59">
        <v>0</v>
      </c>
      <c r="F58" s="59">
        <v>0</v>
      </c>
      <c r="G58" s="91"/>
      <c r="H58" s="88"/>
      <c r="I58" s="88"/>
      <c r="J58" s="55">
        <f t="shared" si="21"/>
        <v>0</v>
      </c>
      <c r="K58" s="88"/>
      <c r="L58" s="55">
        <f t="shared" si="22"/>
        <v>0</v>
      </c>
      <c r="M58" s="88"/>
      <c r="N58" s="88"/>
      <c r="O58" s="88"/>
      <c r="P58" s="88"/>
      <c r="Q58" s="88"/>
      <c r="R58" s="88"/>
      <c r="S58" s="88"/>
      <c r="T58" s="55" t="e">
        <f t="shared" si="23"/>
        <v>#DIV/0!</v>
      </c>
      <c r="U58" s="88"/>
      <c r="V58" s="60" t="e">
        <f t="shared" si="24"/>
        <v>#DIV/0!</v>
      </c>
      <c r="W58" s="88"/>
      <c r="X58" s="55" t="e">
        <f t="shared" si="25"/>
        <v>#DIV/0!</v>
      </c>
      <c r="Y58" s="88"/>
      <c r="Z58" s="61" t="e">
        <f t="shared" si="26"/>
        <v>#DIV/0!</v>
      </c>
      <c r="AA58" s="88"/>
      <c r="AB58" s="61" t="e">
        <f t="shared" si="27"/>
        <v>#DIV/0!</v>
      </c>
      <c r="AC58" s="88"/>
      <c r="AD58" s="88"/>
      <c r="AE58" s="88"/>
      <c r="AF58" s="85"/>
      <c r="AG58" s="88"/>
      <c r="AH58" s="88"/>
      <c r="AI58" s="82"/>
      <c r="AJ58" s="82"/>
      <c r="AK58" s="82"/>
      <c r="AL58" s="82"/>
    </row>
    <row r="59" spans="3:38">
      <c r="C59" s="58">
        <v>0</v>
      </c>
      <c r="D59" s="59">
        <v>0</v>
      </c>
      <c r="E59" s="59">
        <v>0</v>
      </c>
      <c r="F59" s="59">
        <v>0</v>
      </c>
      <c r="G59" s="91"/>
      <c r="H59" s="88"/>
      <c r="I59" s="88"/>
      <c r="J59" s="55">
        <f t="shared" si="21"/>
        <v>0</v>
      </c>
      <c r="K59" s="88"/>
      <c r="L59" s="55">
        <f t="shared" si="22"/>
        <v>0</v>
      </c>
      <c r="M59" s="88"/>
      <c r="N59" s="88"/>
      <c r="O59" s="88"/>
      <c r="P59" s="88"/>
      <c r="Q59" s="88"/>
      <c r="R59" s="88"/>
      <c r="S59" s="88"/>
      <c r="T59" s="55" t="e">
        <f t="shared" si="23"/>
        <v>#DIV/0!</v>
      </c>
      <c r="U59" s="88"/>
      <c r="V59" s="60" t="e">
        <f t="shared" si="24"/>
        <v>#DIV/0!</v>
      </c>
      <c r="W59" s="88"/>
      <c r="X59" s="55" t="e">
        <f t="shared" si="25"/>
        <v>#DIV/0!</v>
      </c>
      <c r="Y59" s="88"/>
      <c r="Z59" s="61" t="e">
        <f t="shared" si="26"/>
        <v>#DIV/0!</v>
      </c>
      <c r="AA59" s="88"/>
      <c r="AB59" s="61" t="e">
        <f t="shared" si="27"/>
        <v>#DIV/0!</v>
      </c>
      <c r="AC59" s="88"/>
      <c r="AD59" s="88"/>
      <c r="AE59" s="88"/>
      <c r="AF59" s="85"/>
      <c r="AG59" s="88"/>
      <c r="AH59" s="88"/>
      <c r="AI59" s="82"/>
      <c r="AJ59" s="82"/>
      <c r="AK59" s="82"/>
      <c r="AL59" s="82"/>
    </row>
    <row r="60" spans="3:38">
      <c r="C60" s="58">
        <v>0</v>
      </c>
      <c r="D60" s="59">
        <v>0</v>
      </c>
      <c r="E60" s="59">
        <v>0</v>
      </c>
      <c r="F60" s="59">
        <v>0</v>
      </c>
      <c r="G60" s="91"/>
      <c r="H60" s="88"/>
      <c r="I60" s="88"/>
      <c r="J60" s="55">
        <f t="shared" si="21"/>
        <v>0</v>
      </c>
      <c r="K60" s="88"/>
      <c r="L60" s="55">
        <f t="shared" si="22"/>
        <v>0</v>
      </c>
      <c r="M60" s="88"/>
      <c r="N60" s="88"/>
      <c r="O60" s="88"/>
      <c r="P60" s="88"/>
      <c r="Q60" s="88"/>
      <c r="R60" s="88"/>
      <c r="S60" s="88"/>
      <c r="T60" s="55" t="e">
        <f t="shared" si="23"/>
        <v>#DIV/0!</v>
      </c>
      <c r="U60" s="88"/>
      <c r="V60" s="60" t="e">
        <f t="shared" si="24"/>
        <v>#DIV/0!</v>
      </c>
      <c r="W60" s="88"/>
      <c r="X60" s="55" t="e">
        <f t="shared" si="25"/>
        <v>#DIV/0!</v>
      </c>
      <c r="Y60" s="88"/>
      <c r="Z60" s="61" t="e">
        <f t="shared" si="26"/>
        <v>#DIV/0!</v>
      </c>
      <c r="AA60" s="88"/>
      <c r="AB60" s="61" t="e">
        <f t="shared" si="27"/>
        <v>#DIV/0!</v>
      </c>
      <c r="AC60" s="88"/>
      <c r="AD60" s="88"/>
      <c r="AE60" s="88"/>
      <c r="AF60" s="85"/>
      <c r="AG60" s="88"/>
      <c r="AH60" s="88"/>
      <c r="AI60" s="82"/>
      <c r="AJ60" s="82"/>
      <c r="AK60" s="82"/>
      <c r="AL60" s="82"/>
    </row>
    <row r="61" spans="3:38">
      <c r="C61" s="58">
        <v>0</v>
      </c>
      <c r="D61" s="59">
        <v>0</v>
      </c>
      <c r="E61" s="59">
        <v>0</v>
      </c>
      <c r="F61" s="59">
        <v>0</v>
      </c>
      <c r="G61" s="91"/>
      <c r="H61" s="88"/>
      <c r="I61" s="88"/>
      <c r="J61" s="55">
        <f t="shared" si="21"/>
        <v>0</v>
      </c>
      <c r="K61" s="88"/>
      <c r="L61" s="55">
        <f t="shared" si="22"/>
        <v>0</v>
      </c>
      <c r="M61" s="88"/>
      <c r="N61" s="88"/>
      <c r="O61" s="88"/>
      <c r="P61" s="88"/>
      <c r="Q61" s="88"/>
      <c r="R61" s="88"/>
      <c r="S61" s="88"/>
      <c r="T61" s="55" t="e">
        <f t="shared" si="23"/>
        <v>#DIV/0!</v>
      </c>
      <c r="U61" s="88"/>
      <c r="V61" s="60" t="e">
        <f t="shared" si="24"/>
        <v>#DIV/0!</v>
      </c>
      <c r="W61" s="88"/>
      <c r="X61" s="55" t="e">
        <f t="shared" si="25"/>
        <v>#DIV/0!</v>
      </c>
      <c r="Y61" s="88"/>
      <c r="Z61" s="61" t="e">
        <f t="shared" si="26"/>
        <v>#DIV/0!</v>
      </c>
      <c r="AA61" s="88"/>
      <c r="AB61" s="61" t="e">
        <f t="shared" si="27"/>
        <v>#DIV/0!</v>
      </c>
      <c r="AC61" s="88"/>
      <c r="AD61" s="88"/>
      <c r="AE61" s="88"/>
      <c r="AF61" s="85"/>
      <c r="AG61" s="88"/>
      <c r="AH61" s="88"/>
      <c r="AI61" s="82"/>
      <c r="AJ61" s="82"/>
      <c r="AK61" s="82"/>
      <c r="AL61" s="82"/>
    </row>
    <row r="62" spans="3:38">
      <c r="C62" s="58">
        <v>0</v>
      </c>
      <c r="D62" s="59">
        <v>0</v>
      </c>
      <c r="E62" s="59">
        <v>0</v>
      </c>
      <c r="F62" s="59">
        <v>0</v>
      </c>
      <c r="G62" s="91"/>
      <c r="H62" s="88"/>
      <c r="I62" s="88"/>
      <c r="J62" s="55">
        <f t="shared" si="21"/>
        <v>0</v>
      </c>
      <c r="K62" s="88"/>
      <c r="L62" s="55">
        <f t="shared" si="22"/>
        <v>0</v>
      </c>
      <c r="M62" s="88"/>
      <c r="N62" s="88"/>
      <c r="O62" s="88"/>
      <c r="P62" s="88"/>
      <c r="Q62" s="88"/>
      <c r="R62" s="88"/>
      <c r="S62" s="88"/>
      <c r="T62" s="55" t="e">
        <f t="shared" si="23"/>
        <v>#DIV/0!</v>
      </c>
      <c r="U62" s="88"/>
      <c r="V62" s="60" t="e">
        <f t="shared" si="24"/>
        <v>#DIV/0!</v>
      </c>
      <c r="W62" s="88"/>
      <c r="X62" s="55" t="e">
        <f t="shared" si="25"/>
        <v>#DIV/0!</v>
      </c>
      <c r="Y62" s="88"/>
      <c r="Z62" s="61" t="e">
        <f t="shared" si="26"/>
        <v>#DIV/0!</v>
      </c>
      <c r="AA62" s="88"/>
      <c r="AB62" s="61" t="e">
        <f t="shared" si="27"/>
        <v>#DIV/0!</v>
      </c>
      <c r="AC62" s="88"/>
      <c r="AD62" s="88"/>
      <c r="AE62" s="88"/>
      <c r="AF62" s="85"/>
      <c r="AG62" s="88"/>
      <c r="AH62" s="88"/>
      <c r="AI62" s="82"/>
      <c r="AJ62" s="82"/>
      <c r="AK62" s="82"/>
      <c r="AL62" s="82"/>
    </row>
    <row r="63" spans="3:38">
      <c r="C63" s="58">
        <v>0</v>
      </c>
      <c r="D63" s="59">
        <v>0</v>
      </c>
      <c r="E63" s="59">
        <v>0</v>
      </c>
      <c r="F63" s="59">
        <v>0</v>
      </c>
      <c r="G63" s="91"/>
      <c r="H63" s="88"/>
      <c r="I63" s="88"/>
      <c r="J63" s="55">
        <f t="shared" si="21"/>
        <v>0</v>
      </c>
      <c r="K63" s="88"/>
      <c r="L63" s="55">
        <f t="shared" si="22"/>
        <v>0</v>
      </c>
      <c r="M63" s="88"/>
      <c r="N63" s="88"/>
      <c r="O63" s="88"/>
      <c r="P63" s="88"/>
      <c r="Q63" s="88"/>
      <c r="R63" s="88"/>
      <c r="S63" s="88"/>
      <c r="T63" s="55" t="e">
        <f t="shared" si="23"/>
        <v>#DIV/0!</v>
      </c>
      <c r="U63" s="88"/>
      <c r="V63" s="60" t="e">
        <f t="shared" si="24"/>
        <v>#DIV/0!</v>
      </c>
      <c r="W63" s="88"/>
      <c r="X63" s="55" t="e">
        <f t="shared" si="25"/>
        <v>#DIV/0!</v>
      </c>
      <c r="Y63" s="88"/>
      <c r="Z63" s="61" t="e">
        <f t="shared" si="26"/>
        <v>#DIV/0!</v>
      </c>
      <c r="AA63" s="88"/>
      <c r="AB63" s="61" t="e">
        <f t="shared" si="27"/>
        <v>#DIV/0!</v>
      </c>
      <c r="AC63" s="88"/>
      <c r="AD63" s="88"/>
      <c r="AE63" s="88"/>
      <c r="AF63" s="85"/>
      <c r="AG63" s="88"/>
      <c r="AH63" s="88"/>
      <c r="AI63" s="82"/>
      <c r="AJ63" s="82"/>
      <c r="AK63" s="82"/>
      <c r="AL63" s="82"/>
    </row>
    <row r="64" spans="3:38">
      <c r="C64" s="58">
        <v>0</v>
      </c>
      <c r="D64" s="59">
        <v>0</v>
      </c>
      <c r="E64" s="59">
        <v>0</v>
      </c>
      <c r="F64" s="59">
        <v>0</v>
      </c>
      <c r="G64" s="91"/>
      <c r="H64" s="88"/>
      <c r="I64" s="88"/>
      <c r="J64" s="55">
        <f t="shared" si="21"/>
        <v>0</v>
      </c>
      <c r="K64" s="88"/>
      <c r="L64" s="55">
        <f t="shared" si="22"/>
        <v>0</v>
      </c>
      <c r="M64" s="88"/>
      <c r="N64" s="88"/>
      <c r="O64" s="88"/>
      <c r="P64" s="88"/>
      <c r="Q64" s="88"/>
      <c r="R64" s="88"/>
      <c r="S64" s="88"/>
      <c r="T64" s="55" t="e">
        <f t="shared" si="23"/>
        <v>#DIV/0!</v>
      </c>
      <c r="U64" s="88"/>
      <c r="V64" s="60" t="e">
        <f t="shared" si="24"/>
        <v>#DIV/0!</v>
      </c>
      <c r="W64" s="88"/>
      <c r="X64" s="55" t="e">
        <f t="shared" si="25"/>
        <v>#DIV/0!</v>
      </c>
      <c r="Y64" s="88"/>
      <c r="Z64" s="61" t="e">
        <f t="shared" si="26"/>
        <v>#DIV/0!</v>
      </c>
      <c r="AA64" s="88"/>
      <c r="AB64" s="61" t="e">
        <f t="shared" si="27"/>
        <v>#DIV/0!</v>
      </c>
      <c r="AC64" s="88"/>
      <c r="AD64" s="88"/>
      <c r="AE64" s="88"/>
      <c r="AF64" s="85"/>
      <c r="AG64" s="88"/>
      <c r="AH64" s="88"/>
      <c r="AI64" s="82"/>
      <c r="AJ64" s="82"/>
      <c r="AK64" s="82"/>
      <c r="AL64" s="82"/>
    </row>
    <row r="65" spans="3:38">
      <c r="C65" s="58">
        <v>0</v>
      </c>
      <c r="D65" s="59">
        <v>0</v>
      </c>
      <c r="E65" s="59">
        <v>0</v>
      </c>
      <c r="F65" s="59">
        <v>0</v>
      </c>
      <c r="G65" s="91"/>
      <c r="H65" s="88"/>
      <c r="I65" s="88"/>
      <c r="J65" s="55">
        <f t="shared" si="21"/>
        <v>0</v>
      </c>
      <c r="K65" s="88"/>
      <c r="L65" s="55">
        <f t="shared" si="22"/>
        <v>0</v>
      </c>
      <c r="M65" s="88"/>
      <c r="N65" s="88"/>
      <c r="O65" s="88"/>
      <c r="P65" s="88"/>
      <c r="Q65" s="88"/>
      <c r="R65" s="88"/>
      <c r="S65" s="88"/>
      <c r="T65" s="55" t="e">
        <f t="shared" si="23"/>
        <v>#DIV/0!</v>
      </c>
      <c r="U65" s="88"/>
      <c r="V65" s="60" t="e">
        <f t="shared" si="24"/>
        <v>#DIV/0!</v>
      </c>
      <c r="W65" s="88"/>
      <c r="X65" s="55" t="e">
        <f t="shared" si="25"/>
        <v>#DIV/0!</v>
      </c>
      <c r="Y65" s="88"/>
      <c r="Z65" s="61" t="e">
        <f t="shared" si="26"/>
        <v>#DIV/0!</v>
      </c>
      <c r="AA65" s="88"/>
      <c r="AB65" s="61" t="e">
        <f t="shared" si="27"/>
        <v>#DIV/0!</v>
      </c>
      <c r="AC65" s="88"/>
      <c r="AD65" s="88"/>
      <c r="AE65" s="88"/>
      <c r="AF65" s="85"/>
      <c r="AG65" s="88"/>
      <c r="AH65" s="88"/>
      <c r="AI65" s="82"/>
      <c r="AJ65" s="82"/>
      <c r="AK65" s="82"/>
      <c r="AL65" s="82"/>
    </row>
    <row r="66" spans="3:38" ht="17" thickBot="1">
      <c r="C66" s="62">
        <v>0</v>
      </c>
      <c r="D66" s="63">
        <v>0</v>
      </c>
      <c r="E66" s="63">
        <v>0</v>
      </c>
      <c r="F66" s="63">
        <v>0</v>
      </c>
      <c r="G66" s="92"/>
      <c r="H66" s="89"/>
      <c r="I66" s="89"/>
      <c r="J66" s="64">
        <f t="shared" si="21"/>
        <v>0</v>
      </c>
      <c r="K66" s="89"/>
      <c r="L66" s="64">
        <f t="shared" si="22"/>
        <v>0</v>
      </c>
      <c r="M66" s="89"/>
      <c r="N66" s="89"/>
      <c r="O66" s="89"/>
      <c r="P66" s="89"/>
      <c r="Q66" s="89"/>
      <c r="R66" s="89"/>
      <c r="S66" s="89"/>
      <c r="T66" s="55" t="e">
        <f t="shared" si="23"/>
        <v>#DIV/0!</v>
      </c>
      <c r="U66" s="89"/>
      <c r="V66" s="65" t="e">
        <f t="shared" si="24"/>
        <v>#DIV/0!</v>
      </c>
      <c r="W66" s="89"/>
      <c r="X66" s="64" t="e">
        <f t="shared" si="25"/>
        <v>#DIV/0!</v>
      </c>
      <c r="Y66" s="89"/>
      <c r="Z66" s="66" t="e">
        <f t="shared" si="26"/>
        <v>#DIV/0!</v>
      </c>
      <c r="AA66" s="89"/>
      <c r="AB66" s="66" t="e">
        <f t="shared" si="27"/>
        <v>#DIV/0!</v>
      </c>
      <c r="AC66" s="89"/>
      <c r="AD66" s="89"/>
      <c r="AE66" s="89"/>
      <c r="AF66" s="86"/>
      <c r="AG66" s="89"/>
      <c r="AH66" s="89"/>
      <c r="AI66" s="83"/>
      <c r="AJ66" s="83"/>
      <c r="AK66" s="83"/>
      <c r="AL66" s="83"/>
    </row>
    <row r="71" spans="3:38" ht="17" thickBot="1"/>
    <row r="72" spans="3:38" ht="17" thickBot="1">
      <c r="C72" s="41"/>
      <c r="D72" s="41"/>
      <c r="E72" s="41"/>
      <c r="F72" s="41"/>
      <c r="G72" s="93" t="s">
        <v>46</v>
      </c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5"/>
      <c r="T72" s="96" t="s">
        <v>47</v>
      </c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  <c r="AF72" s="97"/>
      <c r="AG72" s="97"/>
      <c r="AH72" s="98"/>
      <c r="AI72" s="41"/>
      <c r="AJ72" s="41"/>
      <c r="AK72" s="41"/>
      <c r="AL72" s="41"/>
    </row>
    <row r="73" spans="3:38" ht="18" thickBot="1">
      <c r="C73" s="44" t="s">
        <v>48</v>
      </c>
      <c r="D73" s="44" t="s">
        <v>49</v>
      </c>
      <c r="E73" s="44" t="s">
        <v>50</v>
      </c>
      <c r="F73" s="44" t="s">
        <v>51</v>
      </c>
      <c r="G73" s="45" t="s">
        <v>52</v>
      </c>
      <c r="H73" s="45" t="s">
        <v>53</v>
      </c>
      <c r="I73" s="45" t="s">
        <v>54</v>
      </c>
      <c r="J73" s="45" t="s">
        <v>55</v>
      </c>
      <c r="K73" s="45" t="s">
        <v>56</v>
      </c>
      <c r="L73" s="45" t="s">
        <v>57</v>
      </c>
      <c r="M73" s="45" t="s">
        <v>58</v>
      </c>
      <c r="N73" s="45" t="s">
        <v>59</v>
      </c>
      <c r="O73" s="46" t="s">
        <v>60</v>
      </c>
      <c r="P73" s="46" t="s">
        <v>61</v>
      </c>
      <c r="Q73" s="46" t="s">
        <v>62</v>
      </c>
      <c r="R73" s="45" t="s">
        <v>42</v>
      </c>
      <c r="S73" s="45" t="s">
        <v>39</v>
      </c>
      <c r="T73" s="47" t="s">
        <v>63</v>
      </c>
      <c r="U73" s="42" t="s">
        <v>52</v>
      </c>
      <c r="V73" s="42" t="s">
        <v>64</v>
      </c>
      <c r="W73" s="42" t="s">
        <v>53</v>
      </c>
      <c r="X73" s="48" t="s">
        <v>65</v>
      </c>
      <c r="Y73" s="47" t="s">
        <v>54</v>
      </c>
      <c r="Z73" s="43" t="s">
        <v>66</v>
      </c>
      <c r="AA73" s="43" t="s">
        <v>56</v>
      </c>
      <c r="AB73" s="43" t="s">
        <v>67</v>
      </c>
      <c r="AC73" s="43" t="s">
        <v>68</v>
      </c>
      <c r="AD73" s="47" t="s">
        <v>42</v>
      </c>
      <c r="AE73" s="47" t="s">
        <v>39</v>
      </c>
      <c r="AF73" s="42" t="s">
        <v>59</v>
      </c>
      <c r="AG73" s="49" t="s">
        <v>69</v>
      </c>
      <c r="AH73" s="49" t="s">
        <v>70</v>
      </c>
      <c r="AI73" s="50" t="s">
        <v>71</v>
      </c>
      <c r="AJ73" s="50" t="s">
        <v>72</v>
      </c>
      <c r="AK73" s="51" t="s">
        <v>73</v>
      </c>
      <c r="AL73" s="50" t="s">
        <v>74</v>
      </c>
    </row>
    <row r="74" spans="3:38">
      <c r="C74" s="52">
        <v>0</v>
      </c>
      <c r="D74" s="53">
        <v>0</v>
      </c>
      <c r="E74" s="53">
        <v>0</v>
      </c>
      <c r="F74" s="53">
        <v>0</v>
      </c>
      <c r="G74" s="90">
        <f>COUNTA(D74:D83)</f>
        <v>10</v>
      </c>
      <c r="H74" s="87">
        <f>SUM(C74:C83)</f>
        <v>0</v>
      </c>
      <c r="I74" s="87">
        <f>SUM(D74:D83)</f>
        <v>0</v>
      </c>
      <c r="J74" s="54">
        <f t="shared" ref="J74:J83" si="28">C74*D74</f>
        <v>0</v>
      </c>
      <c r="K74" s="87">
        <f>SUM(J74:J83)</f>
        <v>0</v>
      </c>
      <c r="L74" s="54">
        <f t="shared" ref="L74:L83" si="29">C74^2</f>
        <v>0</v>
      </c>
      <c r="M74" s="87">
        <f>SUM(L74:L83)</f>
        <v>0</v>
      </c>
      <c r="N74" s="87">
        <f>(G74*M74)-(H74^2)</f>
        <v>0</v>
      </c>
      <c r="O74" s="87" t="e">
        <f>SQRT($F74^2+(S74*$E74)^2)</f>
        <v>#DIV/0!</v>
      </c>
      <c r="P74" s="87" t="e">
        <f>O74*SQRT(M74/N74)</f>
        <v>#DIV/0!</v>
      </c>
      <c r="Q74" s="87" t="e">
        <f>O74*SQRT(G74/N74)</f>
        <v>#DIV/0!</v>
      </c>
      <c r="R74" s="87" t="e">
        <f>(M74*I74-H74*K74)/N74</f>
        <v>#DIV/0!</v>
      </c>
      <c r="S74" s="87" t="e">
        <f>((G74*K74)-(H74*I74))/N74</f>
        <v>#DIV/0!</v>
      </c>
      <c r="T74" s="55" t="e">
        <f t="shared" ref="T74:T83" si="30">1/(F74^2+($S74*E74)^2)</f>
        <v>#DIV/0!</v>
      </c>
      <c r="U74" s="87" t="e">
        <f>SUM(T74:T83)</f>
        <v>#DIV/0!</v>
      </c>
      <c r="V74" s="56" t="e">
        <f t="shared" ref="V74:V83" si="31">T74*C74</f>
        <v>#DIV/0!</v>
      </c>
      <c r="W74" s="87" t="e">
        <f>SUM(V74:V83)</f>
        <v>#DIV/0!</v>
      </c>
      <c r="X74" s="54" t="e">
        <f t="shared" ref="X74:X83" si="32">T74*D74</f>
        <v>#DIV/0!</v>
      </c>
      <c r="Y74" s="87" t="e">
        <f>SUM(X74:X83)</f>
        <v>#DIV/0!</v>
      </c>
      <c r="Z74" s="57" t="e">
        <f t="shared" ref="Z74:Z83" si="33">T74*C74*D74</f>
        <v>#DIV/0!</v>
      </c>
      <c r="AA74" s="87" t="e">
        <f>SUM(Z74:Z83)</f>
        <v>#DIV/0!</v>
      </c>
      <c r="AB74" s="57" t="e">
        <f t="shared" ref="AB74:AB83" si="34">T74*L74</f>
        <v>#DIV/0!</v>
      </c>
      <c r="AC74" s="87" t="e">
        <f>SUM(AB74:AB83)</f>
        <v>#DIV/0!</v>
      </c>
      <c r="AD74" s="87" t="e">
        <f>((AC74*Y74)-(W74*AA74))/AF74</f>
        <v>#DIV/0!</v>
      </c>
      <c r="AE74" s="87" t="e">
        <f>((U74*AA74)-(W74*Y74))/AF74</f>
        <v>#DIV/0!</v>
      </c>
      <c r="AF74" s="84" t="e">
        <f>(U74*AC74)-(W74^2)</f>
        <v>#DIV/0!</v>
      </c>
      <c r="AG74" s="87" t="e">
        <f>SQRT((AC74/AF74))</f>
        <v>#DIV/0!</v>
      </c>
      <c r="AH74" s="87" t="e">
        <f>SQRT((U74/AF74))</f>
        <v>#DIV/0!</v>
      </c>
      <c r="AI74" s="81">
        <f>_xlfn.STDEV.S(C74:C83)</f>
        <v>0</v>
      </c>
      <c r="AJ74" s="81">
        <f>_xlfn.STDEV.S(D74:D83)</f>
        <v>0</v>
      </c>
      <c r="AK74" s="81">
        <f>_xlfn.COVARIANCE.S(C74:C83,D74:D83)</f>
        <v>0</v>
      </c>
      <c r="AL74" s="81" t="e">
        <f>CORREL(C74:C83,D74:D83)</f>
        <v>#DIV/0!</v>
      </c>
    </row>
    <row r="75" spans="3:38">
      <c r="C75" s="58">
        <v>0</v>
      </c>
      <c r="D75" s="59">
        <v>0</v>
      </c>
      <c r="E75" s="59">
        <v>0</v>
      </c>
      <c r="F75" s="59">
        <v>0</v>
      </c>
      <c r="G75" s="91"/>
      <c r="H75" s="88"/>
      <c r="I75" s="88"/>
      <c r="J75" s="55">
        <f t="shared" si="28"/>
        <v>0</v>
      </c>
      <c r="K75" s="88"/>
      <c r="L75" s="55">
        <f t="shared" si="29"/>
        <v>0</v>
      </c>
      <c r="M75" s="88"/>
      <c r="N75" s="88"/>
      <c r="O75" s="88"/>
      <c r="P75" s="88"/>
      <c r="Q75" s="88"/>
      <c r="R75" s="88"/>
      <c r="S75" s="88"/>
      <c r="T75" s="55" t="e">
        <f t="shared" si="30"/>
        <v>#DIV/0!</v>
      </c>
      <c r="U75" s="88"/>
      <c r="V75" s="60" t="e">
        <f t="shared" si="31"/>
        <v>#DIV/0!</v>
      </c>
      <c r="W75" s="88"/>
      <c r="X75" s="55" t="e">
        <f t="shared" si="32"/>
        <v>#DIV/0!</v>
      </c>
      <c r="Y75" s="88"/>
      <c r="Z75" s="61" t="e">
        <f t="shared" si="33"/>
        <v>#DIV/0!</v>
      </c>
      <c r="AA75" s="88"/>
      <c r="AB75" s="61" t="e">
        <f t="shared" si="34"/>
        <v>#DIV/0!</v>
      </c>
      <c r="AC75" s="88"/>
      <c r="AD75" s="88"/>
      <c r="AE75" s="88"/>
      <c r="AF75" s="85"/>
      <c r="AG75" s="88"/>
      <c r="AH75" s="88"/>
      <c r="AI75" s="82"/>
      <c r="AJ75" s="82"/>
      <c r="AK75" s="82"/>
      <c r="AL75" s="82"/>
    </row>
    <row r="76" spans="3:38">
      <c r="C76" s="58">
        <v>0</v>
      </c>
      <c r="D76" s="59">
        <v>0</v>
      </c>
      <c r="E76" s="59">
        <v>0</v>
      </c>
      <c r="F76" s="59">
        <v>0</v>
      </c>
      <c r="G76" s="91"/>
      <c r="H76" s="88"/>
      <c r="I76" s="88"/>
      <c r="J76" s="55">
        <f t="shared" si="28"/>
        <v>0</v>
      </c>
      <c r="K76" s="88"/>
      <c r="L76" s="55">
        <f t="shared" si="29"/>
        <v>0</v>
      </c>
      <c r="M76" s="88"/>
      <c r="N76" s="88"/>
      <c r="O76" s="88"/>
      <c r="P76" s="88"/>
      <c r="Q76" s="88"/>
      <c r="R76" s="88"/>
      <c r="S76" s="88"/>
      <c r="T76" s="55" t="e">
        <f t="shared" si="30"/>
        <v>#DIV/0!</v>
      </c>
      <c r="U76" s="88"/>
      <c r="V76" s="60" t="e">
        <f t="shared" si="31"/>
        <v>#DIV/0!</v>
      </c>
      <c r="W76" s="88"/>
      <c r="X76" s="55" t="e">
        <f t="shared" si="32"/>
        <v>#DIV/0!</v>
      </c>
      <c r="Y76" s="88"/>
      <c r="Z76" s="61" t="e">
        <f t="shared" si="33"/>
        <v>#DIV/0!</v>
      </c>
      <c r="AA76" s="88"/>
      <c r="AB76" s="61" t="e">
        <f t="shared" si="34"/>
        <v>#DIV/0!</v>
      </c>
      <c r="AC76" s="88"/>
      <c r="AD76" s="88"/>
      <c r="AE76" s="88"/>
      <c r="AF76" s="85"/>
      <c r="AG76" s="88"/>
      <c r="AH76" s="88"/>
      <c r="AI76" s="82"/>
      <c r="AJ76" s="82"/>
      <c r="AK76" s="82"/>
      <c r="AL76" s="82"/>
    </row>
    <row r="77" spans="3:38">
      <c r="C77" s="58">
        <v>0</v>
      </c>
      <c r="D77" s="59">
        <v>0</v>
      </c>
      <c r="E77" s="59">
        <v>0</v>
      </c>
      <c r="F77" s="59">
        <v>0</v>
      </c>
      <c r="G77" s="91"/>
      <c r="H77" s="88"/>
      <c r="I77" s="88"/>
      <c r="J77" s="55">
        <f t="shared" si="28"/>
        <v>0</v>
      </c>
      <c r="K77" s="88"/>
      <c r="L77" s="55">
        <f t="shared" si="29"/>
        <v>0</v>
      </c>
      <c r="M77" s="88"/>
      <c r="N77" s="88"/>
      <c r="O77" s="88"/>
      <c r="P77" s="88"/>
      <c r="Q77" s="88"/>
      <c r="R77" s="88"/>
      <c r="S77" s="88"/>
      <c r="T77" s="55" t="e">
        <f t="shared" si="30"/>
        <v>#DIV/0!</v>
      </c>
      <c r="U77" s="88"/>
      <c r="V77" s="60" t="e">
        <f t="shared" si="31"/>
        <v>#DIV/0!</v>
      </c>
      <c r="W77" s="88"/>
      <c r="X77" s="55" t="e">
        <f t="shared" si="32"/>
        <v>#DIV/0!</v>
      </c>
      <c r="Y77" s="88"/>
      <c r="Z77" s="61" t="e">
        <f t="shared" si="33"/>
        <v>#DIV/0!</v>
      </c>
      <c r="AA77" s="88"/>
      <c r="AB77" s="61" t="e">
        <f t="shared" si="34"/>
        <v>#DIV/0!</v>
      </c>
      <c r="AC77" s="88"/>
      <c r="AD77" s="88"/>
      <c r="AE77" s="88"/>
      <c r="AF77" s="85"/>
      <c r="AG77" s="88"/>
      <c r="AH77" s="88"/>
      <c r="AI77" s="82"/>
      <c r="AJ77" s="82"/>
      <c r="AK77" s="82"/>
      <c r="AL77" s="82"/>
    </row>
    <row r="78" spans="3:38">
      <c r="C78" s="58">
        <v>0</v>
      </c>
      <c r="D78" s="59">
        <v>0</v>
      </c>
      <c r="E78" s="59">
        <v>0</v>
      </c>
      <c r="F78" s="59">
        <v>0</v>
      </c>
      <c r="G78" s="91"/>
      <c r="H78" s="88"/>
      <c r="I78" s="88"/>
      <c r="J78" s="55">
        <f t="shared" si="28"/>
        <v>0</v>
      </c>
      <c r="K78" s="88"/>
      <c r="L78" s="55">
        <f t="shared" si="29"/>
        <v>0</v>
      </c>
      <c r="M78" s="88"/>
      <c r="N78" s="88"/>
      <c r="O78" s="88"/>
      <c r="P78" s="88"/>
      <c r="Q78" s="88"/>
      <c r="R78" s="88"/>
      <c r="S78" s="88"/>
      <c r="T78" s="55" t="e">
        <f t="shared" si="30"/>
        <v>#DIV/0!</v>
      </c>
      <c r="U78" s="88"/>
      <c r="V78" s="60" t="e">
        <f t="shared" si="31"/>
        <v>#DIV/0!</v>
      </c>
      <c r="W78" s="88"/>
      <c r="X78" s="55" t="e">
        <f t="shared" si="32"/>
        <v>#DIV/0!</v>
      </c>
      <c r="Y78" s="88"/>
      <c r="Z78" s="61" t="e">
        <f t="shared" si="33"/>
        <v>#DIV/0!</v>
      </c>
      <c r="AA78" s="88"/>
      <c r="AB78" s="61" t="e">
        <f t="shared" si="34"/>
        <v>#DIV/0!</v>
      </c>
      <c r="AC78" s="88"/>
      <c r="AD78" s="88"/>
      <c r="AE78" s="88"/>
      <c r="AF78" s="85"/>
      <c r="AG78" s="88"/>
      <c r="AH78" s="88"/>
      <c r="AI78" s="82"/>
      <c r="AJ78" s="82"/>
      <c r="AK78" s="82"/>
      <c r="AL78" s="82"/>
    </row>
    <row r="79" spans="3:38">
      <c r="C79" s="58">
        <v>0</v>
      </c>
      <c r="D79" s="59">
        <v>0</v>
      </c>
      <c r="E79" s="59">
        <v>0</v>
      </c>
      <c r="F79" s="59">
        <v>0</v>
      </c>
      <c r="G79" s="91"/>
      <c r="H79" s="88"/>
      <c r="I79" s="88"/>
      <c r="J79" s="55">
        <f t="shared" si="28"/>
        <v>0</v>
      </c>
      <c r="K79" s="88"/>
      <c r="L79" s="55">
        <f t="shared" si="29"/>
        <v>0</v>
      </c>
      <c r="M79" s="88"/>
      <c r="N79" s="88"/>
      <c r="O79" s="88"/>
      <c r="P79" s="88"/>
      <c r="Q79" s="88"/>
      <c r="R79" s="88"/>
      <c r="S79" s="88"/>
      <c r="T79" s="55" t="e">
        <f t="shared" si="30"/>
        <v>#DIV/0!</v>
      </c>
      <c r="U79" s="88"/>
      <c r="V79" s="60" t="e">
        <f t="shared" si="31"/>
        <v>#DIV/0!</v>
      </c>
      <c r="W79" s="88"/>
      <c r="X79" s="55" t="e">
        <f t="shared" si="32"/>
        <v>#DIV/0!</v>
      </c>
      <c r="Y79" s="88"/>
      <c r="Z79" s="61" t="e">
        <f t="shared" si="33"/>
        <v>#DIV/0!</v>
      </c>
      <c r="AA79" s="88"/>
      <c r="AB79" s="61" t="e">
        <f t="shared" si="34"/>
        <v>#DIV/0!</v>
      </c>
      <c r="AC79" s="88"/>
      <c r="AD79" s="88"/>
      <c r="AE79" s="88"/>
      <c r="AF79" s="85"/>
      <c r="AG79" s="88"/>
      <c r="AH79" s="88"/>
      <c r="AI79" s="82"/>
      <c r="AJ79" s="82"/>
      <c r="AK79" s="82"/>
      <c r="AL79" s="82"/>
    </row>
    <row r="80" spans="3:38">
      <c r="C80" s="58">
        <v>0</v>
      </c>
      <c r="D80" s="59">
        <v>0</v>
      </c>
      <c r="E80" s="59">
        <v>0</v>
      </c>
      <c r="F80" s="59">
        <v>0</v>
      </c>
      <c r="G80" s="91"/>
      <c r="H80" s="88"/>
      <c r="I80" s="88"/>
      <c r="J80" s="55">
        <f t="shared" si="28"/>
        <v>0</v>
      </c>
      <c r="K80" s="88"/>
      <c r="L80" s="55">
        <f t="shared" si="29"/>
        <v>0</v>
      </c>
      <c r="M80" s="88"/>
      <c r="N80" s="88"/>
      <c r="O80" s="88"/>
      <c r="P80" s="88"/>
      <c r="Q80" s="88"/>
      <c r="R80" s="88"/>
      <c r="S80" s="88"/>
      <c r="T80" s="55" t="e">
        <f t="shared" si="30"/>
        <v>#DIV/0!</v>
      </c>
      <c r="U80" s="88"/>
      <c r="V80" s="60" t="e">
        <f t="shared" si="31"/>
        <v>#DIV/0!</v>
      </c>
      <c r="W80" s="88"/>
      <c r="X80" s="55" t="e">
        <f t="shared" si="32"/>
        <v>#DIV/0!</v>
      </c>
      <c r="Y80" s="88"/>
      <c r="Z80" s="61" t="e">
        <f t="shared" si="33"/>
        <v>#DIV/0!</v>
      </c>
      <c r="AA80" s="88"/>
      <c r="AB80" s="61" t="e">
        <f t="shared" si="34"/>
        <v>#DIV/0!</v>
      </c>
      <c r="AC80" s="88"/>
      <c r="AD80" s="88"/>
      <c r="AE80" s="88"/>
      <c r="AF80" s="85"/>
      <c r="AG80" s="88"/>
      <c r="AH80" s="88"/>
      <c r="AI80" s="82"/>
      <c r="AJ80" s="82"/>
      <c r="AK80" s="82"/>
      <c r="AL80" s="82"/>
    </row>
    <row r="81" spans="3:38">
      <c r="C81" s="58">
        <v>0</v>
      </c>
      <c r="D81" s="59">
        <v>0</v>
      </c>
      <c r="E81" s="59">
        <v>0</v>
      </c>
      <c r="F81" s="59">
        <v>0</v>
      </c>
      <c r="G81" s="91"/>
      <c r="H81" s="88"/>
      <c r="I81" s="88"/>
      <c r="J81" s="55">
        <f t="shared" si="28"/>
        <v>0</v>
      </c>
      <c r="K81" s="88"/>
      <c r="L81" s="55">
        <f t="shared" si="29"/>
        <v>0</v>
      </c>
      <c r="M81" s="88"/>
      <c r="N81" s="88"/>
      <c r="O81" s="88"/>
      <c r="P81" s="88"/>
      <c r="Q81" s="88"/>
      <c r="R81" s="88"/>
      <c r="S81" s="88"/>
      <c r="T81" s="55" t="e">
        <f t="shared" si="30"/>
        <v>#DIV/0!</v>
      </c>
      <c r="U81" s="88"/>
      <c r="V81" s="60" t="e">
        <f t="shared" si="31"/>
        <v>#DIV/0!</v>
      </c>
      <c r="W81" s="88"/>
      <c r="X81" s="55" t="e">
        <f t="shared" si="32"/>
        <v>#DIV/0!</v>
      </c>
      <c r="Y81" s="88"/>
      <c r="Z81" s="61" t="e">
        <f t="shared" si="33"/>
        <v>#DIV/0!</v>
      </c>
      <c r="AA81" s="88"/>
      <c r="AB81" s="61" t="e">
        <f t="shared" si="34"/>
        <v>#DIV/0!</v>
      </c>
      <c r="AC81" s="88"/>
      <c r="AD81" s="88"/>
      <c r="AE81" s="88"/>
      <c r="AF81" s="85"/>
      <c r="AG81" s="88"/>
      <c r="AH81" s="88"/>
      <c r="AI81" s="82"/>
      <c r="AJ81" s="82"/>
      <c r="AK81" s="82"/>
      <c r="AL81" s="82"/>
    </row>
    <row r="82" spans="3:38">
      <c r="C82" s="58">
        <v>0</v>
      </c>
      <c r="D82" s="59">
        <v>0</v>
      </c>
      <c r="E82" s="59">
        <v>0</v>
      </c>
      <c r="F82" s="59">
        <v>0</v>
      </c>
      <c r="G82" s="91"/>
      <c r="H82" s="88"/>
      <c r="I82" s="88"/>
      <c r="J82" s="55">
        <f t="shared" si="28"/>
        <v>0</v>
      </c>
      <c r="K82" s="88"/>
      <c r="L82" s="55">
        <f t="shared" si="29"/>
        <v>0</v>
      </c>
      <c r="M82" s="88"/>
      <c r="N82" s="88"/>
      <c r="O82" s="88"/>
      <c r="P82" s="88"/>
      <c r="Q82" s="88"/>
      <c r="R82" s="88"/>
      <c r="S82" s="88"/>
      <c r="T82" s="55" t="e">
        <f t="shared" si="30"/>
        <v>#DIV/0!</v>
      </c>
      <c r="U82" s="88"/>
      <c r="V82" s="60" t="e">
        <f t="shared" si="31"/>
        <v>#DIV/0!</v>
      </c>
      <c r="W82" s="88"/>
      <c r="X82" s="55" t="e">
        <f t="shared" si="32"/>
        <v>#DIV/0!</v>
      </c>
      <c r="Y82" s="88"/>
      <c r="Z82" s="61" t="e">
        <f t="shared" si="33"/>
        <v>#DIV/0!</v>
      </c>
      <c r="AA82" s="88"/>
      <c r="AB82" s="61" t="e">
        <f t="shared" si="34"/>
        <v>#DIV/0!</v>
      </c>
      <c r="AC82" s="88"/>
      <c r="AD82" s="88"/>
      <c r="AE82" s="88"/>
      <c r="AF82" s="85"/>
      <c r="AG82" s="88"/>
      <c r="AH82" s="88"/>
      <c r="AI82" s="82"/>
      <c r="AJ82" s="82"/>
      <c r="AK82" s="82"/>
      <c r="AL82" s="82"/>
    </row>
    <row r="83" spans="3:38" ht="17" thickBot="1">
      <c r="C83" s="62">
        <v>0</v>
      </c>
      <c r="D83" s="63">
        <v>0</v>
      </c>
      <c r="E83" s="63">
        <v>0</v>
      </c>
      <c r="F83" s="63">
        <v>0</v>
      </c>
      <c r="G83" s="92"/>
      <c r="H83" s="89"/>
      <c r="I83" s="89"/>
      <c r="J83" s="64">
        <f t="shared" si="28"/>
        <v>0</v>
      </c>
      <c r="K83" s="89"/>
      <c r="L83" s="64">
        <f t="shared" si="29"/>
        <v>0</v>
      </c>
      <c r="M83" s="89"/>
      <c r="N83" s="89"/>
      <c r="O83" s="89"/>
      <c r="P83" s="89"/>
      <c r="Q83" s="89"/>
      <c r="R83" s="89"/>
      <c r="S83" s="89"/>
      <c r="T83" s="55" t="e">
        <f t="shared" si="30"/>
        <v>#DIV/0!</v>
      </c>
      <c r="U83" s="89"/>
      <c r="V83" s="65" t="e">
        <f t="shared" si="31"/>
        <v>#DIV/0!</v>
      </c>
      <c r="W83" s="89"/>
      <c r="X83" s="64" t="e">
        <f t="shared" si="32"/>
        <v>#DIV/0!</v>
      </c>
      <c r="Y83" s="89"/>
      <c r="Z83" s="66" t="e">
        <f t="shared" si="33"/>
        <v>#DIV/0!</v>
      </c>
      <c r="AA83" s="89"/>
      <c r="AB83" s="66" t="e">
        <f t="shared" si="34"/>
        <v>#DIV/0!</v>
      </c>
      <c r="AC83" s="89"/>
      <c r="AD83" s="89"/>
      <c r="AE83" s="89"/>
      <c r="AF83" s="86"/>
      <c r="AG83" s="89"/>
      <c r="AH83" s="89"/>
      <c r="AI83" s="83"/>
      <c r="AJ83" s="83"/>
      <c r="AK83" s="83"/>
      <c r="AL83" s="83"/>
    </row>
  </sheetData>
  <mergeCells count="135">
    <mergeCell ref="G6:S6"/>
    <mergeCell ref="T6:AH6"/>
    <mergeCell ref="G8:G17"/>
    <mergeCell ref="H8:H17"/>
    <mergeCell ref="I8:I17"/>
    <mergeCell ref="K8:K17"/>
    <mergeCell ref="M8:M17"/>
    <mergeCell ref="N8:N17"/>
    <mergeCell ref="O8:O17"/>
    <mergeCell ref="P8:P17"/>
    <mergeCell ref="AK8:AK17"/>
    <mergeCell ref="AL8:AL17"/>
    <mergeCell ref="G22:S22"/>
    <mergeCell ref="T22:AH22"/>
    <mergeCell ref="AA8:AA17"/>
    <mergeCell ref="AC8:AC17"/>
    <mergeCell ref="AD8:AD17"/>
    <mergeCell ref="AE8:AE17"/>
    <mergeCell ref="AF8:AF17"/>
    <mergeCell ref="AG8:AG17"/>
    <mergeCell ref="Q8:Q17"/>
    <mergeCell ref="R8:R17"/>
    <mergeCell ref="S8:S17"/>
    <mergeCell ref="U8:U17"/>
    <mergeCell ref="W8:W17"/>
    <mergeCell ref="Y8:Y17"/>
    <mergeCell ref="G24:G33"/>
    <mergeCell ref="H24:H33"/>
    <mergeCell ref="I24:I33"/>
    <mergeCell ref="K24:K33"/>
    <mergeCell ref="M24:M33"/>
    <mergeCell ref="N24:N33"/>
    <mergeCell ref="AH8:AH17"/>
    <mergeCell ref="AI8:AI17"/>
    <mergeCell ref="AJ8:AJ17"/>
    <mergeCell ref="AA24:AA33"/>
    <mergeCell ref="AC24:AC33"/>
    <mergeCell ref="AD24:AD33"/>
    <mergeCell ref="AE24:AE33"/>
    <mergeCell ref="O24:O33"/>
    <mergeCell ref="P24:P33"/>
    <mergeCell ref="Q24:Q33"/>
    <mergeCell ref="R24:R33"/>
    <mergeCell ref="S24:S33"/>
    <mergeCell ref="U24:U33"/>
    <mergeCell ref="P41:P50"/>
    <mergeCell ref="Q41:Q50"/>
    <mergeCell ref="R41:R50"/>
    <mergeCell ref="S41:S50"/>
    <mergeCell ref="U41:U50"/>
    <mergeCell ref="W41:W50"/>
    <mergeCell ref="AL24:AL33"/>
    <mergeCell ref="G39:S39"/>
    <mergeCell ref="T39:AH39"/>
    <mergeCell ref="G41:G50"/>
    <mergeCell ref="H41:H50"/>
    <mergeCell ref="I41:I50"/>
    <mergeCell ref="K41:K50"/>
    <mergeCell ref="M41:M50"/>
    <mergeCell ref="N41:N50"/>
    <mergeCell ref="O41:O50"/>
    <mergeCell ref="AF24:AF33"/>
    <mergeCell ref="AG24:AG33"/>
    <mergeCell ref="AH24:AH33"/>
    <mergeCell ref="AI24:AI33"/>
    <mergeCell ref="AJ24:AJ33"/>
    <mergeCell ref="AK24:AK33"/>
    <mergeCell ref="W24:W33"/>
    <mergeCell ref="Y24:Y33"/>
    <mergeCell ref="AG41:AG50"/>
    <mergeCell ref="AH41:AH50"/>
    <mergeCell ref="AI41:AI50"/>
    <mergeCell ref="AJ41:AJ50"/>
    <mergeCell ref="AK41:AK50"/>
    <mergeCell ref="AL41:AL50"/>
    <mergeCell ref="Y41:Y50"/>
    <mergeCell ref="AA41:AA50"/>
    <mergeCell ref="AC41:AC50"/>
    <mergeCell ref="AD41:AD50"/>
    <mergeCell ref="AE41:AE50"/>
    <mergeCell ref="AF41:AF50"/>
    <mergeCell ref="G55:S55"/>
    <mergeCell ref="T55:AH55"/>
    <mergeCell ref="G57:G66"/>
    <mergeCell ref="H57:H66"/>
    <mergeCell ref="I57:I66"/>
    <mergeCell ref="K57:K66"/>
    <mergeCell ref="M57:M66"/>
    <mergeCell ref="N57:N66"/>
    <mergeCell ref="O57:O66"/>
    <mergeCell ref="P57:P66"/>
    <mergeCell ref="AH57:AH66"/>
    <mergeCell ref="AI57:AI66"/>
    <mergeCell ref="AJ57:AJ66"/>
    <mergeCell ref="AK57:AK66"/>
    <mergeCell ref="AL57:AL66"/>
    <mergeCell ref="G72:S72"/>
    <mergeCell ref="T72:AH72"/>
    <mergeCell ref="AA57:AA66"/>
    <mergeCell ref="AC57:AC66"/>
    <mergeCell ref="AD57:AD66"/>
    <mergeCell ref="AE57:AE66"/>
    <mergeCell ref="AF57:AF66"/>
    <mergeCell ref="AG57:AG66"/>
    <mergeCell ref="Q57:Q66"/>
    <mergeCell ref="R57:R66"/>
    <mergeCell ref="S57:S66"/>
    <mergeCell ref="U57:U66"/>
    <mergeCell ref="W57:W66"/>
    <mergeCell ref="Y57:Y66"/>
    <mergeCell ref="O74:O83"/>
    <mergeCell ref="P74:P83"/>
    <mergeCell ref="Q74:Q83"/>
    <mergeCell ref="R74:R83"/>
    <mergeCell ref="S74:S83"/>
    <mergeCell ref="U74:U83"/>
    <mergeCell ref="G74:G83"/>
    <mergeCell ref="H74:H83"/>
    <mergeCell ref="I74:I83"/>
    <mergeCell ref="K74:K83"/>
    <mergeCell ref="M74:M83"/>
    <mergeCell ref="N74:N83"/>
    <mergeCell ref="AL74:AL83"/>
    <mergeCell ref="AF74:AF83"/>
    <mergeCell ref="AG74:AG83"/>
    <mergeCell ref="AH74:AH83"/>
    <mergeCell ref="AI74:AI83"/>
    <mergeCell ref="AJ74:AJ83"/>
    <mergeCell ref="AK74:AK83"/>
    <mergeCell ref="W74:W83"/>
    <mergeCell ref="Y74:Y83"/>
    <mergeCell ref="AA74:AA83"/>
    <mergeCell ref="AC74:AC83"/>
    <mergeCell ref="AD74:AD83"/>
    <mergeCell ref="AE74:AE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Constant de Planck</vt:lpstr>
      <vt:lpstr>Tots casos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Ribot Oliver</dc:creator>
  <cp:lastModifiedBy>Miguel Sánchez Oros</cp:lastModifiedBy>
  <dcterms:created xsi:type="dcterms:W3CDTF">2023-05-18T11:06:26Z</dcterms:created>
  <dcterms:modified xsi:type="dcterms:W3CDTF">2023-05-21T20:51:22Z</dcterms:modified>
</cp:coreProperties>
</file>